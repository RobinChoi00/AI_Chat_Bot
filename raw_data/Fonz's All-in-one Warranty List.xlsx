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 sheetId="1" r:id="rId5"/>
    <sheet state="visible" name="Summary by Mfg &amp; Model" sheetId="2" r:id="rId6"/>
    <sheet state="visible" name="Error Code Log" sheetId="3" r:id="rId7"/>
    <sheet state="visible" name="Error Code Lookup" sheetId="4" r:id="rId8"/>
  </sheets>
  <definedNames>
    <definedName hidden="1" localSheetId="1" name="_xlnm._FilterDatabase">'Summary by Mfg &amp; Model'!$A$1:$G$133</definedName>
    <definedName hidden="1" localSheetId="2" name="_xlnm._FilterDatabase">'Error Code Log'!$A$1:$I$1584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tc={79419c47-28f2-406a-b07c-19cd844ce6a4}</author>
    <author>tc={8a017be7-1559-4d34-827e-a4b0bad00429}</author>
    <author>tc={e2192283-82dd-40d0-8152-82ccbc68f24f}</author>
  </authors>
  <commentList>
    <comment authorId="0" xr:uid="{79419c47-28f2-406a-b07c-19cd844ce6a4}" ref="M4">
      <text>
        <t xml:space="preserve">[Threaded comment]
 Your version of Excel allows you to read this threaded comment; however, any edits to it will get removed if the file is opened in a newer version of Excel. Learn more: https://go.microsoft.com/fwlink/?linkid=870924
Comment:
	@alfonso.c@osakititan.com
Assigned to alfonso.c@osakititan.com
</t>
      </text>
    </comment>
    <comment authorId="1" xr:uid="{8a017be7-1559-4d34-827e-a4b0bad00429}" ref="A1">
      <text>
        <t xml:space="preserve">[Threaded comment]
 Your version of Excel allows you to read this threaded comment; however, any edits to it will get removed if the file is opened in a newer version of Excel. Learn more: https://go.microsoft.com/fwlink/?linkid=870924
Comment:
	@alfonso.c@osakititan.com
Assigned to alfonso.c@osakititan.com
Reply:
	@alfonso.c@osakititan.com 
here are some more models i had on my lists (i.e. chairs ive serviced) that are missing from your list
</t>
      </text>
    </comment>
    <comment authorId="2" xr:uid="{e2192283-82dd-40d0-8152-82ccbc68f24f}" ref="A1">
      <text>
        <t xml:space="preserve">[Threaded comment]
 Your version of Excel allows you to read this threaded comment; however, any edits to it will get removed if the file is opened in a newer version of Excel. Learn more: https://go.microsoft.com/fwlink/?linkid=870924
Comment:
	@alfonso.c@osakititan.com 
semi automated approach: basically you want a few helper columns that use regex to extract certain stings likely to preceded a part that would be sent out. so this one does the phrases "check whether the" or check the". wed prob need a few more of these, each with their own column and then we would need a way to trim and clean (e.g. some codes have multiple poss failure points like a harness or motor). even after this, you still will prob end up with a fair amount of manual tweaks
Assigned to alfonso.c@osakititan.com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tc={2254dab9-6631-4d9e-97f6-7a3ab2ce76d4}</author>
    <author>tc={bbe8a900-306a-4f5e-a1d9-b0368250cfb4}</author>
  </authors>
  <commentList>
    <comment authorId="0" xr:uid="{2254dab9-6631-4d9e-97f6-7a3ab2ce76d4}" ref="D1">
      <text>
        <t xml:space="preserve">[Threaded comment]
 Your version of Excel allows you to read this threaded comment; however, any edits to it will get removed if the file is opened in a newer version of Excel. Learn more: https://go.microsoft.com/fwlink/?linkid=870924
Comment:
	@alfonso.c@osakititan.com 
eventually you will need to separate out the different types of info within a cell (i.e. each column should be narrow to one piece of info; phenomenon is a textual description of what is prompting the code, problem description is what the possible failure points to cause are)
</t>
      </text>
    </comment>
    <comment authorId="1" xr:uid="{bbe8a900-306a-4f5e-a1d9-b0368250cfb4}" ref="A1332">
      <text>
        <t xml:space="preserve">[Threaded comment]
 Your version of Excel allows you to read this threaded comment; however, any edits to it will get removed if the file is opened in a newer version of Excel. Learn more: https://go.microsoft.com/fwlink/?linkid=870924
Comment:
	This is a sample of automating the extraction. This is from claude sonnet 5/haiku. Sonnet just did image extracts. Total cost was $.77 to run and keep in mind the extraction (or structure of data within columns can be improved...or even optimized on cost)
Reply:
	@alfonso.c@osakititan.com
</t>
      </text>
    </comment>
  </commentList>
</comments>
</file>

<file path=xl/sharedStrings.xml><?xml version="1.0" encoding="utf-8"?>
<sst xmlns="http://schemas.openxmlformats.org/spreadsheetml/2006/main" count="8827" uniqueCount="2741">
  <si>
    <t>Master Warranty Reference Map</t>
  </si>
  <si>
    <t>Manufacturers</t>
  </si>
  <si>
    <t>Manufacturer</t>
  </si>
  <si>
    <t>OTA Model Name</t>
  </si>
  <si>
    <t>Mfg Product Code</t>
  </si>
  <si>
    <t>Drive Folder Link</t>
  </si>
  <si>
    <t>Error Code Display Mechanism</t>
  </si>
  <si>
    <t>Monday Morning Mike Notes</t>
  </si>
  <si>
    <t>Annmacare</t>
  </si>
  <si>
    <t>Reflex</t>
  </si>
  <si>
    <t>AM-5110</t>
  </si>
  <si>
    <t>https://drive.google.com/drive/folders/1Guxr2dEjIGU9C6cGWVLo0OqXo_A2cHqc?usp=drive_link</t>
  </si>
  <si>
    <t>User Prompted (Entry Method)</t>
  </si>
  <si>
    <t>-Incredible progress dude</t>
  </si>
  <si>
    <t>Behealthy</t>
  </si>
  <si>
    <t>Solis</t>
  </si>
  <si>
    <t>AM-1700B</t>
  </si>
  <si>
    <t>https://drive.google.com/drive/folders/131_3CMMissMjWH1ALFuXTD0tN6R66nKO?usp=drive_link</t>
  </si>
  <si>
    <t>Tablet/Remote Display: Numeric Code</t>
  </si>
  <si>
    <t>-I will add older service manuals that are missing. I have quite a few, likely from when tech site was rebuilt</t>
  </si>
  <si>
    <t>Easepal</t>
  </si>
  <si>
    <t>Sapphire</t>
  </si>
  <si>
    <t>YA113W</t>
  </si>
  <si>
    <t>https://drive.google.com/drive/folders/1aLp-OuMzR1StTckVfg9DOco1nx8k9OV8?usp=drive_link</t>
  </si>
  <si>
    <t>Tablet/Remote Display: Timer Display</t>
  </si>
  <si>
    <t>-Adjacent projects (in terms of priority) to consider IMO:</t>
  </si>
  <si>
    <t>Fujian Rovos</t>
  </si>
  <si>
    <t>Unknown</t>
  </si>
  <si>
    <t>https://drive.google.com/drive/folders/1nm230_KtGmC42RaFbPe2OSkSn5I_ETz1?usp=drive_link</t>
  </si>
  <si>
    <t>Parts &amp; Related chair. Need to brainstorm how this works but essentially the goal would be to map related chairs (e.g. x-rest and master, nexus/maestro/hilux/3-5 others i need to sit down and fig out). AI Heavy</t>
  </si>
  <si>
    <t>GoJoy</t>
  </si>
  <si>
    <t>4000CS</t>
  </si>
  <si>
    <t>https://drive.google.com/drive/folders/1z11IbEq3O3W76NGgaSDLFIxc9HfSvAjh?usp=drive_link</t>
  </si>
  <si>
    <t>-Try my claude account. I have claude max plan so i have the newest model (fable). you'll need to set up a project (I can walk you through) but i think it make a lot of gains for you on the planning side (and really any advanced logic)</t>
  </si>
  <si>
    <t>Inada</t>
  </si>
  <si>
    <t>4000LE</t>
  </si>
  <si>
    <t>EC-5653A</t>
  </si>
  <si>
    <t>iRest</t>
  </si>
  <si>
    <t>4000LS</t>
  </si>
  <si>
    <t>EC-623B</t>
  </si>
  <si>
    <t>https://drive.google.com/drive/folders/1teV4oL4c5RcqaLqL3YgkTxT8u_lgvAlk?usp=drive_link</t>
  </si>
  <si>
    <t>Kangtai</t>
  </si>
  <si>
    <t>4000T</t>
  </si>
  <si>
    <t>EC-380D</t>
  </si>
  <si>
    <t>https://drive.google.com/drive/folders/1HVO7x1E7kqDy8_9wHs4qhubRiz9mMdMS?usp=drive_link</t>
  </si>
  <si>
    <t>Kosei</t>
  </si>
  <si>
    <t>4000XT</t>
  </si>
  <si>
    <t>EC-3205H</t>
  </si>
  <si>
    <t>https://drive.google.com/drive/folders/1xVyfj2tmIlOU9QLLx3o164wTMxPy4R2c?usp=drive_link</t>
  </si>
  <si>
    <t>Rotai</t>
  </si>
  <si>
    <t>4500LS</t>
  </si>
  <si>
    <t>Rovos</t>
  </si>
  <si>
    <t>7200H Pinnacle</t>
  </si>
  <si>
    <t>YH-8382L</t>
  </si>
  <si>
    <t>https://drive.google.com/drive/folders/1ggmyJRvMFA5K1qDhXyjYqrwDjIvs010m?usp=drive_link</t>
  </si>
  <si>
    <t>Yihocon</t>
  </si>
  <si>
    <t>Ace II</t>
  </si>
  <si>
    <t>https://drive.google.com/drive/folders/1ihioy4QmXBIxRboSurrTr15sz0xndfUS?usp=drive_link</t>
  </si>
  <si>
    <t>Zhouqi</t>
  </si>
  <si>
    <t>Admiral II</t>
  </si>
  <si>
    <t>EC-7506Q</t>
  </si>
  <si>
    <t>https://drive.google.com/drive/folders/18eY3HxpLrtyhpN9jfrPwe2PLVdV0rYsV?usp=drive_link</t>
  </si>
  <si>
    <t>Alma II</t>
  </si>
  <si>
    <t>https://drive.google.com/drive/folders/1HQGswoMFV5l1Jt02XUdH1cfuUvf88bSj?usp=drive_link</t>
  </si>
  <si>
    <t>Alpina</t>
  </si>
  <si>
    <t>https://drive.google.com/drive/folders/1Lb7RbcSTrmR3-0MVjFwkHiqxzd_H0qt4?usp=drive_link</t>
  </si>
  <si>
    <t>Alpine</t>
  </si>
  <si>
    <t>EC-621C</t>
  </si>
  <si>
    <t>https://drive.google.com/drive/folders/1eSAFNh1WLgy6XVUUDPrATrY7a9qDAS_W?usp=drive_link</t>
  </si>
  <si>
    <t>Arcadia 3D LE</t>
  </si>
  <si>
    <t>Aspire</t>
  </si>
  <si>
    <t>EC-3622A</t>
  </si>
  <si>
    <t>https://drive.google.com/drive/folders/1u2aYBj_Za7SC1UeOV5TJGQCNUSYblfo2?usp=drive_link</t>
  </si>
  <si>
    <t>Aurora</t>
  </si>
  <si>
    <t>https://drive.google.com/drive/folders/1zIFYX9OQZUkU4ihcXXoiiyxhKRTtD9AU?usp=drive_link</t>
  </si>
  <si>
    <t>Bello</t>
  </si>
  <si>
    <t>https://drive.google.com/drive/folders/1sEpMbmI8fUMsVS07IjG1u1GZE8W4nTdk?usp=drive_link</t>
  </si>
  <si>
    <t>Champ</t>
  </si>
  <si>
    <t>OGI-3210G</t>
  </si>
  <si>
    <t>https://drive.google.com/drive/folders/1xFw_gmdtx4ZINXGhFh8IQ27OoC0wxT3d?usp=drive_link</t>
  </si>
  <si>
    <t>Champ II</t>
  </si>
  <si>
    <t>YH-8380L</t>
  </si>
  <si>
    <t>https://drive.google.com/drive/folders/1SOpLuavnl0_oZmcpbAx5JImfGb7Z5Vfj?usp=drive_link</t>
  </si>
  <si>
    <t>Commander</t>
  </si>
  <si>
    <t>https://drive.google.com/drive/folders/13ncQTz2ED3q21LbWvUabJuicmoZoSooN?usp=drive_link</t>
  </si>
  <si>
    <t>Cyber</t>
  </si>
  <si>
    <t>EC-381E</t>
  </si>
  <si>
    <t>https://drive.google.com/drive/folders/1RJvx8ElWyLJ59QZL3Q3SiIVagtOz49Wj?usp=drive_link</t>
  </si>
  <si>
    <t>Emperor</t>
  </si>
  <si>
    <t>EC-8606B</t>
  </si>
  <si>
    <t>https://drive.google.com/drive/folders/1d0zV5bG3uYErO7_k-vx8HAQxBf62-z2_?usp=drive_link</t>
  </si>
  <si>
    <t>Emperor II</t>
  </si>
  <si>
    <t>EC-8608S</t>
  </si>
  <si>
    <t>Envy</t>
  </si>
  <si>
    <t>EC-7516E</t>
  </si>
  <si>
    <t>https://drive.google.com/drive/folders/1npf8fxw-vxATg-KUbDF1uKA--hyOr1W2?usp=drive_link</t>
  </si>
  <si>
    <t>Escape Duo</t>
  </si>
  <si>
    <t>EC-8638A</t>
  </si>
  <si>
    <t>https://drive.google.com/drive/folders/1GoDfLGTRow5jsCsU5_HeQtjfMELyKJ_3?usp=drive_link</t>
  </si>
  <si>
    <t>Hilux</t>
  </si>
  <si>
    <t>https://drive.google.com/drive/folders/11B0FxI_FWNeQfZ2piR_JVog6WmFiQvaD?usp=drive_link</t>
  </si>
  <si>
    <t>Hiro LT</t>
  </si>
  <si>
    <t>EI-8602A</t>
  </si>
  <si>
    <t>https://drive.google.com/drive/folders/1aF-d-pNu2efQC06blxtVSNd3xcJ3EvMC?usp=drive_link</t>
  </si>
  <si>
    <t>Honor</t>
  </si>
  <si>
    <t>https://drive.google.com/drive/folders/1la3NEwHRbxDaSV7jhEQ3PgtPtPD4a_xi?usp=drive_link</t>
  </si>
  <si>
    <t>Hypnos</t>
  </si>
  <si>
    <t>EC-6701B</t>
  </si>
  <si>
    <t>Juno II</t>
  </si>
  <si>
    <t>EC-3209M</t>
  </si>
  <si>
    <t>https://drive.google.com/drive/folders/1lKzm3-0XyS8oK5OkRzpSpNeQhYrTrAmV?usp=drive_link</t>
  </si>
  <si>
    <t>Luca V</t>
  </si>
  <si>
    <t>https://drive.google.com/drive/folders/1UuiMu753WlFBJGYQIrNWf7L6lMry-Htp?usp=drive_link</t>
  </si>
  <si>
    <t>Maestro</t>
  </si>
  <si>
    <t>EC-806A</t>
  </si>
  <si>
    <t>https://drive.google.com/drive/folders/1ci6Z_jMNS3Vz-vtNef_g49IqyO4D8BVT?usp=drive_link</t>
  </si>
  <si>
    <t>Maestro LE</t>
  </si>
  <si>
    <t>EC-806C</t>
  </si>
  <si>
    <t>https://drive.google.com/drive/folders/1HOWMMoy8m_NOgGGve9S7r2b40MA0-qd0?usp=drive_link</t>
  </si>
  <si>
    <t>Maestro LE 2.0</t>
  </si>
  <si>
    <t>EC-806R</t>
  </si>
  <si>
    <t>https://drive.google.com/drive/folders/1bazhAKh9WFATDEJ-JVsovxXQKf2OTwgf?usp=drive_link</t>
  </si>
  <si>
    <t>Manhattan Duo</t>
  </si>
  <si>
    <t>EC-8507B</t>
  </si>
  <si>
    <t>https://drive.google.com/drive/folders/1ep4m1vWDrKtlr_8l5pbK-1v3rbo1NOXP?usp=drive_link</t>
  </si>
  <si>
    <t>Master</t>
  </si>
  <si>
    <t>EI-8701C</t>
  </si>
  <si>
    <t>https://drive.google.com/drive/folders/1_RRXE43igxt3CnTDokWeeuBro03C5MB9?usp=drive_link</t>
  </si>
  <si>
    <t>Maxim</t>
  </si>
  <si>
    <t>EC-624C</t>
  </si>
  <si>
    <t>https://drive.google.com/drive/folders/1kjyCphzqcRtPM2rs9MKbGz6YlwG2Szr6?usp=drive_link</t>
  </si>
  <si>
    <t>Maxim LE</t>
  </si>
  <si>
    <t>EI-8502A</t>
  </si>
  <si>
    <t>https://drive.google.com/drive/folders/1_dUDvJjA9DT6I_kVbtloYnCQ_CnP9Tbi?usp=drive_link</t>
  </si>
  <si>
    <t>Monarch LE</t>
  </si>
  <si>
    <t>RK-1902S</t>
  </si>
  <si>
    <t>https://drive.google.com/drive/folders/1urFx4nBakJW3gfl0yHHDvngjrx3GrdbH?usp=drive_link</t>
  </si>
  <si>
    <t>Nexus</t>
  </si>
  <si>
    <t>EC-8607</t>
  </si>
  <si>
    <t>https://drive.google.com/drive/folders/1GnR2D4um0Y2G3q4gf63ewAAdIR2ctpCS?usp=drive_link</t>
  </si>
  <si>
    <t>Omni</t>
  </si>
  <si>
    <t>E-622A</t>
  </si>
  <si>
    <t>https://drive.google.com/drive/folders/1RyKamJq55rP4gdmUyx6YgYTgFnV0JYoj?usp=drive_link</t>
  </si>
  <si>
    <t>Optimus</t>
  </si>
  <si>
    <t>EI-5501C</t>
  </si>
  <si>
    <t>Opulent</t>
  </si>
  <si>
    <t>EC-7513A</t>
  </si>
  <si>
    <t>https://drive.google.com/drive/folders/1LvPkexhRVXrRvxmgogIOVR8ltEH9T1-Z?usp=drive_link</t>
  </si>
  <si>
    <t>Orion Duo</t>
  </si>
  <si>
    <t>5623A</t>
  </si>
  <si>
    <t>https://drive.google.com/drive/folders/15syKHgb7HilDi679WTnMzaQCilWbxxwh?usp=drive_link</t>
  </si>
  <si>
    <t>Otamic LE</t>
  </si>
  <si>
    <t>3300C</t>
  </si>
  <si>
    <t>https://drive.google.com/drive/folders/1tGxMbkhEab6-lzvW94nGki7vguERoMv2?usp=drive_link</t>
  </si>
  <si>
    <t>Pandora</t>
  </si>
  <si>
    <t>https://drive.google.com/drive/folders/1vo5z1yvqz31NZypXuOukJYPjLg10U8D_?usp=drive_link</t>
  </si>
  <si>
    <t>Premium</t>
  </si>
  <si>
    <t>EI-6501A</t>
  </si>
  <si>
    <t>https://drive.google.com/drive/folders/1JLtLdJB6G0nAShr9_DpFFOVS0fENUubT?usp=drive_link</t>
  </si>
  <si>
    <t>Prestige</t>
  </si>
  <si>
    <t>https://drive.google.com/drive/folders/1f83E7yme1rMPSzGEPs0xCQkaBATxp4Q8?usp=drive_link</t>
  </si>
  <si>
    <t>Prestige 2.0</t>
  </si>
  <si>
    <t>EI-6501E</t>
  </si>
  <si>
    <t>Quest</t>
  </si>
  <si>
    <t>EC-1616C</t>
  </si>
  <si>
    <t>https://drive.google.com/drive/folders/1ZlzTGyeyaoprN8hasfjBnEYuRMtHKa4p?usp=drive_link</t>
  </si>
  <si>
    <t>R7 LE</t>
  </si>
  <si>
    <t>YH-7235</t>
  </si>
  <si>
    <t>https://drive.google.com/drive/folders/1QD4gJQ_l94bVfTcxs5F0WQC20WsJlGOc?usp=drive_link</t>
  </si>
  <si>
    <t>Sigma</t>
  </si>
  <si>
    <t>EC-7512A</t>
  </si>
  <si>
    <t>https://drive.google.com/drive/folders/1Fo4tl6JU5tgkRgDKcGnZZch7qkgOqMo3?usp=drive_link</t>
  </si>
  <si>
    <t>SOHO</t>
  </si>
  <si>
    <t>EC-626F</t>
  </si>
  <si>
    <t>https://drive.google.com/drive/folders/1Fvx8hTumIrd_ozg5wwF1Ie9XO1OVlKMZ?usp=drive_link</t>
  </si>
  <si>
    <t>SOHO II</t>
  </si>
  <si>
    <t>EC-626E</t>
  </si>
  <si>
    <t>https://drive.google.com/drive/folders/19PPBzgaYIBXfkae_VtmA0rw5-h8mFoAf?usp=drive_link</t>
  </si>
  <si>
    <t>Somnus Duo</t>
  </si>
  <si>
    <t>EC-6701A</t>
  </si>
  <si>
    <t>https://drive.google.com/drive/folders/1LjJZsTPWw7bSkhXgSPBC_1wAGRs-Zgn4?usp=drive_link</t>
  </si>
  <si>
    <t>Sonno XT-1</t>
  </si>
  <si>
    <t>AG-6006A</t>
  </si>
  <si>
    <t>https://drive.google.com/drive/folders/1UeMU4uaKAxw2eTlviLj0g5xOElimN9JJ?usp=drive_link</t>
  </si>
  <si>
    <t>Sonno XT-2 Leather</t>
  </si>
  <si>
    <t>https://drive.google.com/drive/folders/12rMAfpvRGBBEiOEb_K3ZbRex6UoBKYhw?usp=drive_link</t>
  </si>
  <si>
    <t>Tecno</t>
  </si>
  <si>
    <t>https://drive.google.com/drive/folders/1nL8ELzMtDEdouFSTDV3jKbCVrsDiKa1M?usp=drive_link</t>
  </si>
  <si>
    <t>Vera</t>
  </si>
  <si>
    <t>EC-6262J</t>
  </si>
  <si>
    <t>https://drive.google.com/drive/folders/1xcj2M0hqyZaIiPPlTCizqdLlWyJoR5ru?usp=drive_link</t>
  </si>
  <si>
    <t>Vesper</t>
  </si>
  <si>
    <t>https://drive.google.com/drive/folders/1NQ60a0TnUSY_jQKPckb9QakgE3-KlcOt?usp=drive_link</t>
  </si>
  <si>
    <t>Vigor</t>
  </si>
  <si>
    <t>EC-8610E</t>
  </si>
  <si>
    <t>https://drive.google.com/drive/folders/1n7ZjcXooQiXJzVfdXRisnnj9KCajyl3y?usp=drive_link</t>
  </si>
  <si>
    <t>Vista</t>
  </si>
  <si>
    <t>EC-3211A</t>
  </si>
  <si>
    <t>https://drive.google.com/drive/folders/1QJB509yWkyLQA__5B0yubfq86Y-ML0kb?usp=drive_link</t>
  </si>
  <si>
    <t>Vito</t>
  </si>
  <si>
    <t>EC-3628G</t>
  </si>
  <si>
    <t>https://drive.google.com/drive/folders/1_q_MEyNp9DEl4eGq5qlTo67BughFtEFN?usp=drive_link</t>
  </si>
  <si>
    <t>Vivant</t>
  </si>
  <si>
    <t>EC-6706A</t>
  </si>
  <si>
    <t>X-Rest</t>
  </si>
  <si>
    <t>https://drive.google.com/drive/folders/1uwbbtF2GX4GwvOkVyxv60kghKcX3l_SQ?usp=drive_link</t>
  </si>
  <si>
    <t>Yamato</t>
  </si>
  <si>
    <t>EC-629B</t>
  </si>
  <si>
    <t>https://drive.google.com/drive/folders/1ms7c3Xn3LadZ89lOb3ymUCZZrgzRz-ax?usp=drive_link</t>
  </si>
  <si>
    <t>Yoga Flex</t>
  </si>
  <si>
    <t>EC-6607B</t>
  </si>
  <si>
    <t>https://drive.google.com/drive/folders/1a2v8NP6zHI_T4MFpXaalrRJkUAh7B-KV?usp=drive_link</t>
  </si>
  <si>
    <t>Zena</t>
  </si>
  <si>
    <t>ES-3218D1</t>
  </si>
  <si>
    <t>Q7</t>
  </si>
  <si>
    <t>https://drive.google.com/drive/folders/1dHjqekgTui3ZxULxNJ4GPiP3pgqZ0GQc?usp=drive_link</t>
  </si>
  <si>
    <t>R7</t>
  </si>
  <si>
    <t>Omega</t>
  </si>
  <si>
    <t>OPPO</t>
  </si>
  <si>
    <t>Prime</t>
  </si>
  <si>
    <t>unknown</t>
  </si>
  <si>
    <t>Robo</t>
  </si>
  <si>
    <t>HCP−LPN30000A</t>
  </si>
  <si>
    <t>A385</t>
  </si>
  <si>
    <t>3D LTX</t>
  </si>
  <si>
    <t>A202-2</t>
  </si>
  <si>
    <t>https://drive.google.com/drive/folders/1R6xxslnN2bzjCJ5jWS33Hf6US-TMRxLK?usp=drive_link</t>
  </si>
  <si>
    <t>8500</t>
  </si>
  <si>
    <t>Acro</t>
  </si>
  <si>
    <t>A502-S</t>
  </si>
  <si>
    <t>https://drive.google.com/drive/folders/1VNLXgIa_tNOYm2xuDKIJ9j8_LPqVkxWr?usp=drive_link</t>
  </si>
  <si>
    <t>Allure</t>
  </si>
  <si>
    <t>A601-2</t>
  </si>
  <si>
    <t>https://drive.google.com/drive/folders/1YMpqWkTYpMlZr2jbZsOTNZU74ZPLzpcF?usp=drive_link</t>
  </si>
  <si>
    <t>Alpha</t>
  </si>
  <si>
    <t>https://drive.google.com/drive/folders/1gA609Rs_lbilSFOXE_QD8LlqdpTgH7l9?usp=drive_link</t>
  </si>
  <si>
    <t>Aster</t>
  </si>
  <si>
    <t>https://drive.google.com/drive/folders/1fTJNkFs4_J5KimHJm0SQ14amlTUxSTX6?usp=drive_link</t>
  </si>
  <si>
    <t>Astoria</t>
  </si>
  <si>
    <t>A3232-2</t>
  </si>
  <si>
    <t>Avalon</t>
  </si>
  <si>
    <t>A661</t>
  </si>
  <si>
    <t>https://drive.google.com/drive/folders/1K15j4hEXE-640jVeHmGrs8bDMPm_6DcK?usp=drive_link</t>
  </si>
  <si>
    <t>Bliss GL</t>
  </si>
  <si>
    <t>A185</t>
  </si>
  <si>
    <t>https://drive.google.com/drive/folders/1EbA1ajSsgSd6FpNoym8IXqYoZKeSOIwg?usp=drive_link</t>
  </si>
  <si>
    <t>Bliss VL PU</t>
  </si>
  <si>
    <t>A185-2</t>
  </si>
  <si>
    <t>https://drive.google.com/drive/folders/1XYZEsgb9_qeZsZrFvafmro25QFj6iBez?usp=drive_link</t>
  </si>
  <si>
    <t>Cosmo</t>
  </si>
  <si>
    <t>https://drive.google.com/drive/folders/1PyUYW6cv_GLypU1oI4wJ_x7qsXAW9ohp?usp=drive_link</t>
  </si>
  <si>
    <t>DuoMax</t>
  </si>
  <si>
    <t>A801-5</t>
  </si>
  <si>
    <t>https://drive.google.com/drive/folders/1dq9gXoT2lavXl_0FGH2nqauvSZU5VHYA?usp=drive_link</t>
  </si>
  <si>
    <t>DuoMax SE</t>
  </si>
  <si>
    <t>https://drive.google.com/drive/folders/1BdgEVdgsns6J3c8SUZIZp2ue2A1S11AF?usp=drive_link</t>
  </si>
  <si>
    <t>eCabin</t>
  </si>
  <si>
    <t>A3501-9</t>
  </si>
  <si>
    <t>Elite</t>
  </si>
  <si>
    <t>https://drive.google.com/drive/folders/1sW9edGXlVV8J1pDktSAkKseQNnqg0Ccb?usp=drive_link</t>
  </si>
  <si>
    <t>Escape</t>
  </si>
  <si>
    <t>A802-5</t>
  </si>
  <si>
    <t>https://drive.google.com/drive/folders/1e90FKnQGwx7d_Z718MH7sjUPBFXqK3xC?usp=drive_link</t>
  </si>
  <si>
    <t>First Class</t>
  </si>
  <si>
    <t>A100</t>
  </si>
  <si>
    <t>https://drive.google.com/drive/folders/16aeLnskNFI4L7jYXj8fv0hW1YikRYN2q?usp=drive_link</t>
  </si>
  <si>
    <t>Forge</t>
  </si>
  <si>
    <t>A3201-2</t>
  </si>
  <si>
    <t>Grande XL</t>
  </si>
  <si>
    <t>A3580A</t>
  </si>
  <si>
    <t>https://drive.google.com/drive/folders/1M09WH2KzhCtU_v4bcfEVw-BKisZC7ZAm?usp=drive_link</t>
  </si>
  <si>
    <t>Hamilton LE</t>
  </si>
  <si>
    <t>https://drive.google.com/drive/folders/1KpFBG1RHzlg4nFSG-QYrv4WzV0YlWJHs?usp=drive_link</t>
  </si>
  <si>
    <t>Harmony II</t>
  </si>
  <si>
    <t>A351</t>
  </si>
  <si>
    <t>https://drive.google.com/drive/folders/1Aat2RlsBq4usXH0r3RsI3TFZWEmU-hHv?usp=drive_link</t>
  </si>
  <si>
    <t>Integra</t>
  </si>
  <si>
    <t>https://drive.google.com/drive/folders/1zHfqwtF3aPzWBMlMjPQNUKm6ueBIzIiG?usp=drive_link</t>
  </si>
  <si>
    <t>Luna</t>
  </si>
  <si>
    <t>A161</t>
  </si>
  <si>
    <t>https://drive.google.com/drive/folders/1XyFKzUCtpTQOTZMfyJFHHaUVb_TfJclF?usp=drive_link</t>
  </si>
  <si>
    <t>Luxe</t>
  </si>
  <si>
    <t>A335-5</t>
  </si>
  <si>
    <t>https://drive.google.com/drive/folders/19pEXfC299rzpYzFF9fDSd5fyG4IaRU5b?usp=drive_link</t>
  </si>
  <si>
    <t>Nova II</t>
  </si>
  <si>
    <t>A311B</t>
  </si>
  <si>
    <t>Premier</t>
  </si>
  <si>
    <t>A503-2</t>
  </si>
  <si>
    <t>https://drive.google.com/drive/folders/1LuWI4mgfjg4p6USf3vUT9eKUdcLKx26G?usp=drive_link</t>
  </si>
  <si>
    <t>Quantum</t>
  </si>
  <si>
    <t>https://drive.google.com/drive/folders/1pMHuohiwlondnOZ9TBaMhd2iqZI40-4-?usp=drive_link</t>
  </si>
  <si>
    <t>Rejuv</t>
  </si>
  <si>
    <t>A550-2</t>
  </si>
  <si>
    <t>https://drive.google.com/drive/folders/1TWvOMwpTwQvuZrw8DIMLGKJrja7ZQEIw?usp=drive_link</t>
  </si>
  <si>
    <t>Renew</t>
  </si>
  <si>
    <t>https://drive.google.com/drive/folders/1iDW13C7U3mry6neoF1uoeH9PrKBQSZF8?usp=drive_link</t>
  </si>
  <si>
    <t>Revive</t>
  </si>
  <si>
    <t>https://drive.google.com/drive/folders/1AIp9AIxy_BmdQRZTqhOkDPVEmS--lXZj?usp=drive_link</t>
  </si>
  <si>
    <t>Shogun</t>
  </si>
  <si>
    <t>Signature II</t>
  </si>
  <si>
    <t>https://drive.google.com/drive/folders/1JIn_hFNx4UyPr3mXaKfyzc604YvHFbul?usp=drive_link</t>
  </si>
  <si>
    <t>Silo</t>
  </si>
  <si>
    <t>A306-2</t>
  </si>
  <si>
    <t>https://drive.google.com/drive/folders/1-HqnKQzr7mxsppaU0xRb2gs_vuYgl2MY?usp=drive_link</t>
  </si>
  <si>
    <t>Tao</t>
  </si>
  <si>
    <t>https://drive.google.com/drive/folders/1zyGtefHRfVeX_z-KgzeO-O8h9DW1KP79?usp=drive_link</t>
  </si>
  <si>
    <t>V03</t>
  </si>
  <si>
    <t>T103</t>
  </si>
  <si>
    <t>Ventura</t>
  </si>
  <si>
    <t>A368-2</t>
  </si>
  <si>
    <t>Apex Duo</t>
  </si>
  <si>
    <t>RK9501</t>
  </si>
  <si>
    <t>Astro</t>
  </si>
  <si>
    <t>RK2008</t>
  </si>
  <si>
    <t>Atlas XL</t>
  </si>
  <si>
    <t>RK8906</t>
  </si>
  <si>
    <t>https://drive.google.com/drive/folders/19v9K0v5t_jVGcFcCZNF3Ixz5Pz409CDN?usp=drive_link</t>
  </si>
  <si>
    <t>Dreamer V2</t>
  </si>
  <si>
    <t>RK1906F</t>
  </si>
  <si>
    <t>https://drive.google.com/drive/folders/1Vh7KS5C3GoLXQGhowerS8d2u7SpF1Jeb?usp=drive_link</t>
  </si>
  <si>
    <t>Drift</t>
  </si>
  <si>
    <t>RK2003F</t>
  </si>
  <si>
    <t>Duke XL</t>
  </si>
  <si>
    <t>RK8906A</t>
  </si>
  <si>
    <t>https://drive.google.com/drive/folders/1Si-vQ58QwVT9ESIH5OEnSrDpL0OX8i7l?usp=drive_link</t>
  </si>
  <si>
    <t>Dynasty</t>
  </si>
  <si>
    <t>RK7602D</t>
  </si>
  <si>
    <t>https://drive.google.com/drive/folders/1oIqjgdWHHszQk3dpYb66sh-tEOFEa-5K?usp=drive_link</t>
  </si>
  <si>
    <t>Grand Duo</t>
  </si>
  <si>
    <t>RK8601</t>
  </si>
  <si>
    <t>https://drive.google.com/drive/folders/19Fd9uYIPp3Wm5VBkxMxOFe1XF_R3uv50?usp=drive_link</t>
  </si>
  <si>
    <t>Haven</t>
  </si>
  <si>
    <t>RK2006</t>
  </si>
  <si>
    <t>Highpointe</t>
  </si>
  <si>
    <t>Ignite Sync</t>
  </si>
  <si>
    <t>RK2003K</t>
  </si>
  <si>
    <t>Infinix</t>
  </si>
  <si>
    <t>Jupiter LE</t>
  </si>
  <si>
    <t>RK7909BA</t>
  </si>
  <si>
    <t>https://drive.google.com/drive/folders/1ieE3OVCEZxF9fgeYWCyd0JZfFBqiSeTG?usp=drive_link</t>
  </si>
  <si>
    <t>Jupiter XL</t>
  </si>
  <si>
    <t>RK7909B</t>
  </si>
  <si>
    <t>Kairos</t>
  </si>
  <si>
    <t>https://drive.google.com/drive/folders/1ER-YWkF67GfYCo0Q86teTHKKAVSZ79Xg?usp=drive_link</t>
  </si>
  <si>
    <t>Kairos Duo</t>
  </si>
  <si>
    <t>RK7602EA</t>
  </si>
  <si>
    <t>Malibu Sync</t>
  </si>
  <si>
    <t>Monarch</t>
  </si>
  <si>
    <t>RK1902S</t>
  </si>
  <si>
    <t>https://drive.google.com/drive/folders/1jzevJlKfkIiGXllTMROa3UujrpKXGnXK?usp=drive_link</t>
  </si>
  <si>
    <t>Paragon</t>
  </si>
  <si>
    <t>RK8900</t>
  </si>
  <si>
    <t>https://drive.google.com/drive/folders/189anPZrumsd4WZymR2eDq-WMqnisjs13?usp=drive_link</t>
  </si>
  <si>
    <t>Telos</t>
  </si>
  <si>
    <t>RK2003B</t>
  </si>
  <si>
    <t>Ultra 2</t>
  </si>
  <si>
    <t>RK2003F-1</t>
  </si>
  <si>
    <t>Ziva</t>
  </si>
  <si>
    <t>https://drive.google.com/drive/folders/15NcO8eVG1LJzCQWdAVARpZu7iaza9dCz?usp=drive_link</t>
  </si>
  <si>
    <t>JP650</t>
  </si>
  <si>
    <t>Achilles</t>
  </si>
  <si>
    <t>RT-6891</t>
  </si>
  <si>
    <t>https://drive.google.com/drive/folders/1G3O6FLrWVD4TRwoNBMVxOoeaKaP3Wd5l?usp=drive_link</t>
  </si>
  <si>
    <t>Atai</t>
  </si>
  <si>
    <t>https://drive.google.com/drive/folders/1IWbqf4bgLqhT0Jg-l-xmTkWHwa7Iv74d?usp=drive_link</t>
  </si>
  <si>
    <t>Atlas LE</t>
  </si>
  <si>
    <t>RT-5865</t>
  </si>
  <si>
    <t>https://drive.google.com/drive/folders/1vSqNHaH8oxFnKIOT3VkDS01wtN6ev83h?usp=drive_link</t>
  </si>
  <si>
    <t>Axiom LE</t>
  </si>
  <si>
    <t>S50</t>
  </si>
  <si>
    <t>Belmont</t>
  </si>
  <si>
    <t>RT-6890</t>
  </si>
  <si>
    <t>https://drive.google.com/drive/folders/1AP5bsiWX-wKVrA6Ep3VzOp3K20lFBFXq?usp=drive_link</t>
  </si>
  <si>
    <t>Bravo Duo</t>
  </si>
  <si>
    <t>RT-6909D</t>
  </si>
  <si>
    <t>https://drive.google.com/drive/folders/15XUjleGKjaJAbTLolfbLVPXuiEO9l7wZ?usp=drive_link</t>
  </si>
  <si>
    <t>Bravo Duo Flex</t>
  </si>
  <si>
    <t>RT6909S</t>
  </si>
  <si>
    <t>Cascade</t>
  </si>
  <si>
    <t>A503-5</t>
  </si>
  <si>
    <t>https://drive.google.com/drive/folders/1P_B34oaFrSm0gCB-mgE7EoyOXNgYf3xF?usp=drive_link</t>
  </si>
  <si>
    <t>Ekon</t>
  </si>
  <si>
    <t>Encore</t>
  </si>
  <si>
    <t>https://drive.google.com/drive/folders/11Y8r2VZUTCTaMxFqWlI2rsvOUQ2nXEPy?usp=drive_link</t>
  </si>
  <si>
    <t>Flagship</t>
  </si>
  <si>
    <t>RT-7880</t>
  </si>
  <si>
    <t>https://drive.google.com/drive/folders/1v1tfNzMGAYJw6qq9jOY9ep3ye15Lw4wg?usp=drive_link</t>
  </si>
  <si>
    <t>Flagship Duo</t>
  </si>
  <si>
    <t>https://drive.google.com/drive/folders/19T0--UH3DX5OcKErQCRDIbtdY9n9XS7L?usp=drive_link</t>
  </si>
  <si>
    <t>Fleetwood II</t>
  </si>
  <si>
    <t>RT-7900S</t>
  </si>
  <si>
    <t>https://drive.google.com/drive/folders/16mP0lHyp5gz65m7Uu2Epsp5_9nM79QN4?usp=drive_link</t>
  </si>
  <si>
    <t>Fleetwood LE</t>
  </si>
  <si>
    <t>RT-7900</t>
  </si>
  <si>
    <t>https://drive.google.com/drive/folders/1o6th4LgCanuKc9LMxvQ7RG406_y555cR?usp=drive_link</t>
  </si>
  <si>
    <t>Gemini</t>
  </si>
  <si>
    <t>Helix LE</t>
  </si>
  <si>
    <t>RT5655</t>
  </si>
  <si>
    <t>Ion</t>
  </si>
  <si>
    <t>RT5653</t>
  </si>
  <si>
    <t>Nido</t>
  </si>
  <si>
    <t>RT5920</t>
  </si>
  <si>
    <t>Oasis</t>
  </si>
  <si>
    <t>https://drive.google.com/drive/folders/1DbPvFbI9UNngPqbyOSTVeOphZqWjgNTN?usp=drive_link</t>
  </si>
  <si>
    <t>Plantaris</t>
  </si>
  <si>
    <t>Sedona LT</t>
  </si>
  <si>
    <t>RT-8720P</t>
  </si>
  <si>
    <t>https://drive.google.com/drive/folders/1Z3fhdUir4ghP-mZPvF86UZvK2mrUC8jC?usp=drive_link</t>
  </si>
  <si>
    <t>Summit Flex</t>
  </si>
  <si>
    <t>GLC231</t>
  </si>
  <si>
    <t>https://drive.google.com/drive/folders/1wrFSaXCtNrcJ6bD26wNp-u0Pl337Qrsu?usp=drive_link</t>
  </si>
  <si>
    <t>Summit LE</t>
  </si>
  <si>
    <t>Theramed Flex</t>
  </si>
  <si>
    <t>Theramed LT</t>
  </si>
  <si>
    <t>https://drive.google.com/drive/folders/1FY-CaP0LF8z9UADiUxcAITAvjGuDmDfq?usp=drive_link</t>
  </si>
  <si>
    <t>Trion Flex Duo</t>
  </si>
  <si>
    <t>RT-8902</t>
  </si>
  <si>
    <t>https://drive.google.com/drive/folders/11SEa_ZLtSQ-A3hy70Nqo6Z2auyOkI5m5?usp=drive_link</t>
  </si>
  <si>
    <t>Ultima</t>
  </si>
  <si>
    <t>https://drive.google.com/drive/folders/1OByappZe9K1_6fHBGIuLkGAbiY0nWs66?usp=drive_link</t>
  </si>
  <si>
    <t>Vivo</t>
  </si>
  <si>
    <t>RT-8901</t>
  </si>
  <si>
    <t>https://drive.google.com/drive/folders/1yAIBhJGXaAaLgw_sxPH4c5TyhaHJi4NT?usp=drive_link</t>
  </si>
  <si>
    <t>Tesoro</t>
  </si>
  <si>
    <t>7200CR</t>
  </si>
  <si>
    <t>Admiral</t>
  </si>
  <si>
    <t>https://drive.google.com/drive/folders/1JGsYVzcbzb-KCs-qkPAjvSnIEt1ICqN4?usp=drive_link</t>
  </si>
  <si>
    <t>Apex</t>
  </si>
  <si>
    <t>Icon</t>
  </si>
  <si>
    <t>POMP</t>
  </si>
  <si>
    <t>TW-Chiro</t>
  </si>
  <si>
    <t>Virtus</t>
  </si>
  <si>
    <t>Epic</t>
  </si>
  <si>
    <t>YH-9730L</t>
  </si>
  <si>
    <t>https://drive.google.com/drive/folders/1lbP62ic3el3eewfLpRJuXNxI-17BWICB?usp=drive_link</t>
  </si>
  <si>
    <t>H7</t>
  </si>
  <si>
    <t>YH-7236</t>
  </si>
  <si>
    <t>Pinnacle LE</t>
  </si>
  <si>
    <t>Regal</t>
  </si>
  <si>
    <t>YH-7231</t>
  </si>
  <si>
    <t>Royale</t>
  </si>
  <si>
    <t>YH-7232</t>
  </si>
  <si>
    <t>8500 Max</t>
  </si>
  <si>
    <t>https://drive.google.com/drive/folders/1Meg_dUpEa_gnF-jWeHIjhnL8ffQo5NJ3?usp=drive_link</t>
  </si>
  <si>
    <t>Epic LE</t>
  </si>
  <si>
    <t>Horizon 4D</t>
  </si>
  <si>
    <t>https://drive.google.com/drive/folders/1OFUO7y71Lkt_TzBmPVbCkEUkMga_-I-b?usp=drive_link</t>
  </si>
  <si>
    <t>Panorama</t>
  </si>
  <si>
    <t>Ronin</t>
  </si>
  <si>
    <t>Sonoma 4D</t>
  </si>
  <si>
    <t>Zion</t>
  </si>
  <si>
    <t>https://drive.google.com/drive/folders/1G2tURJ4ltErEjGmDjK3W9IJVGMRV4PvP?usp=drive_link</t>
  </si>
  <si>
    <t>Mfg</t>
  </si>
  <si>
    <t>Total Error Codes</t>
  </si>
  <si>
    <t>Entry Method?</t>
  </si>
  <si>
    <t>Entry Procedure</t>
  </si>
  <si>
    <t>Error Code Access Type</t>
  </si>
  <si>
    <t>No</t>
  </si>
  <si>
    <t>N/A</t>
  </si>
  <si>
    <t>(No Error Codes)</t>
  </si>
  <si>
    <t>Yes</t>
  </si>
  <si>
    <t>!HAS TIMER DISPLAYS!
KNEAD + TAP + POWER (buttons on the controller), press and hold the three buttons in two seconds to turn on the automatic analysis system mode.</t>
  </si>
  <si>
    <t>Press and hold the settings icon/button for **4 seconds** to enter the password screen. Enter the password **0592** to enter the engineering mode interface.</t>
  </si>
  <si>
    <t>No information at this time</t>
  </si>
  <si>
    <t>Press and hold the KNEAD + TAP + POWER buttons on the controller for two seconds to turn on or turn off the automatic analysis system/auto-checking model.</t>
  </si>
  <si>
    <t>Enter the settings page, press the blank at the bottom of the settings page for a long time, pop up the page and enter the password 0592, enter the mode selection page, select the AUTO key, and switch to the self-checking mode.</t>
  </si>
  <si>
    <t>On/Off: Press and hold the Settings lettering in Settings for 4 seconds to enter the password field, enter 0592, and enter the engineering mode interface.</t>
  </si>
  <si>
    <t>Select Auto Check in Menu</t>
  </si>
  <si>
    <t>!HAS TIMER DISPLAYS!</t>
  </si>
  <si>
    <t>Start/Stop : DEEP TISSUE + STRETCH + POWER  Keep press these three keys for 2 second,then it is start/stop auto-check mode</t>
  </si>
  <si>
    <t>(1) Under the condition of shutdown, At the same time, hold down the power and the bottom buttons (first and second to the left), and you will hear a beep of the hand controller in a few seconds. (2) Select one of the two project patterns shown in the following figure as needed</t>
  </si>
  <si>
    <t>- Continuously click on the product configuration, enter the password interface, input 0592 or 1234 to enter the engineering mode interface.</t>
  </si>
  <si>
    <t>(1) Under the condition of shutdown, At the same time, hold down the three keys (Power, Strengthen and Relax), and you will hear a beep of the hand controller in a few seconds.</t>
  </si>
  <si>
    <t>Long press the settings wording at the top for 4 seconds to enter the password screen, enter 0592 to access the Engineering Mode interface.</t>
  </si>
  <si>
    <t>Press and hold Settings wording at the top for 4 seconds, Enter the password interface, Password 0592, enter auto-check mode</t>
  </si>
  <si>
    <t>enter auto-check mode</t>
  </si>
  <si>
    <t>Mix;
-4 displayed numeric codes
-9 Timer Display Codes</t>
  </si>
  <si>
    <t>Continuously click the start button to enter automatic detection</t>
  </si>
  <si>
    <t>Long press Settings wording at the top for 4 seconds, enter the password interface, input 1234, enter the engineering mode interface.</t>
  </si>
  <si>
    <r>
      <rPr>
        <rFont val="Roboto"/>
        <color theme="1"/>
        <sz val="10.0"/>
      </rPr>
      <t xml:space="preserve">1. Press the 'calf down' + 'stand' buttons at the same time,
2. press the 'zero gravity' button to enter. 
</t>
    </r>
    <r>
      <rPr>
        <rFont val="Roboto"/>
        <i/>
        <color theme="1"/>
        <sz val="10.0"/>
      </rPr>
      <t>Power off to exit.</t>
    </r>
  </si>
  <si>
    <t>Key combination:
1. Press 'lower leg' + 'backrest' + 'lying down' keys at the same time
2. then press the 'menu' key.</t>
  </si>
  <si>
    <t>1. Power on
2. Key Combination: press the 'leg lower' + 'backrest up' + 'lying down' keys at the same time, 
3. Then press the 'menu' key to enter the TEST mode. 
The LC + error code display will come out; showing 00 indicates that there is no error.</t>
  </si>
  <si>
    <t>A307-8</t>
  </si>
  <si>
    <t>A801-8</t>
  </si>
  <si>
    <t xml:space="preserve">1. Enter settings on tablet. 
2. Tap "Product name 5 times" and chair will enter error detect mode
3. Return to home screen; top center of tablet will show error codes; 00=no error </t>
  </si>
  <si>
    <t>A801-33</t>
  </si>
  <si>
    <t>Combination key: press lower calf + back up + recline at the same time.</t>
  </si>
  <si>
    <t>Key combination: press Back + right navigation + lie down on the hand controller.</t>
  </si>
  <si>
    <t>A351-2</t>
  </si>
  <si>
    <t>1. Press the "calf up" key first, then press the "get up" key at the same time.
2. Release both keys and immediately press the "zero gravity" key again.
3. If there is a fault code, it will be displayed in the upper left corner of the hand control LCD screen.</t>
  </si>
  <si>
    <t>A502S-3</t>
  </si>
  <si>
    <t>LC mode entry method: key combination: press the walk down + walk up + lie down keys at the same time.</t>
  </si>
  <si>
    <t>Press the leg down + up button at same time, and then press the zero gravity button to enter in. Shut down and exit.</t>
  </si>
  <si>
    <t>Combination Key: Press Lower Leg Down + Recline + Zero Gravity 1</t>
  </si>
  <si>
    <t>Press the calf down + stand button at the same time, then press the zero gravity button to enter. Power off and exit.</t>
  </si>
  <si>
    <t>Press the rise key of backrest + rise key of calfrest at the same time, and immediately press the zero gravity key to enter the test.</t>
  </si>
  <si>
    <t>RT-5653</t>
  </si>
  <si>
    <t>RT5865</t>
  </si>
  <si>
    <t>Ekon Plus</t>
  </si>
  <si>
    <t>Endor</t>
  </si>
  <si>
    <t>Advent</t>
  </si>
  <si>
    <t>Chair Model</t>
  </si>
  <si>
    <t>Error Code</t>
  </si>
  <si>
    <t>Meaning</t>
  </si>
  <si>
    <t>Troubleshooting Steps</t>
  </si>
  <si>
    <t>Customer Repairable?</t>
  </si>
  <si>
    <t>Customer Instructions</t>
  </si>
  <si>
    <t>Display</t>
  </si>
  <si>
    <t>Parts Required</t>
  </si>
  <si>
    <t>C1 - C5</t>
  </si>
  <si>
    <t>Malfunction: Kneading motor
Possible Causes:
1. Damage to the MOS tube of the kneading motor (cannot be controlled).
2. The main PCB is broken, circle number cannot be detected, and the motor is overcurrent.
3. The connecting wire of the manipulator is disconnected, or the plug-in is loose.</t>
  </si>
  <si>
    <t>Check whether the relevant accessories and wiring harness are in good condition; reorganize and replace them.</t>
  </si>
  <si>
    <t>C6</t>
  </si>
  <si>
    <t>Malfunction: Damage to MOS tube of air pump (cannot be controlled)
Possible Causes:
1. The plug-in is loose.
2. Drive board failure.
3. Open connection harness.</t>
  </si>
  <si>
    <t>Check whether the relevant circuits, wiring harnesses, and plug-ins are in good condition; reorganize or replace them.</t>
  </si>
  <si>
    <t>C7</t>
  </si>
  <si>
    <t>Malfunction: Air pump not running, not connected
Possible Causes:
1. The plug-in is loose.
2. Drive board failure.
3. Open connection harness.</t>
  </si>
  <si>
    <t>C8</t>
  </si>
  <si>
    <t>Malfunction: Stroke and overflow of air pump
Possible Causes:
1. The plug-in is loose.
2. Drive board failure.
3. Open circuit of connecting wiring harness and overcurrent open circuit.</t>
  </si>
  <si>
    <t>C9</t>
  </si>
  <si>
    <t>Malfunction: Damage to leg heating MOS tube (cannot be controlled)
Possible Causes:
1. The plug-in is loose.
2. Drive board failure.
3. Open circuit of connecting wiring harness and overcurrent open circuit.</t>
  </si>
  <si>
    <t>CA / CB</t>
  </si>
  <si>
    <t>Malfunction: Leg heating is not running, not connected, or thermally protected
Possible Causes:
1. The plug-in is loose.
2. Drive board failure.
3. Open circuit of connecting wiring harness and overcurrent open circuit.</t>
  </si>
  <si>
    <t>E1 - E3</t>
  </si>
  <si>
    <t>Malfunction: Tapping motor
Possible Causes:
1. Damage to the MOS tube of the tapping motor (cannot be controlled).
2. The main PCB is broken, circle number cannot be detected, and the motor is overcurrent.
3. The connecting wire of the manipulator is disconnected, or the plug-in is loose.</t>
  </si>
  <si>
    <t>E4 - E9</t>
  </si>
  <si>
    <t>Malfunction: Calf electric cylinder
Possible Causes:
1. Overload or other reasons make the running speed of the calf electric cylinder very slow.
2. The main PCB is broken, plug-in looseness, and motor overcurrent.</t>
  </si>
  <si>
    <t>EA - EF</t>
  </si>
  <si>
    <t>Malfunction: Backrest electric cylinder
Possible Causes:
1. Overload or other reasons make the running speed of the backrest electric cylinder very slow.
2. The main PCB is broken, plug-in looseness, and motor overcurrent.</t>
  </si>
  <si>
    <t>F1 - F6</t>
  </si>
  <si>
    <t>Malfunction: Traveling motor
Possible Causes:
1. Damage to the MOS tube of the traveling motor (cannot be controlled).
2. The main PCB is broken, circle number cannot be detected, and the motor is overcurrent.
3. The connecting wire of the manipulator is disconnected, or the plug-in is loose.</t>
  </si>
  <si>
    <t>F7</t>
  </si>
  <si>
    <t>Malfunction: Power board 24V power supply
Possible Causes:
1. The insurance burns out and the power supply is loose.
2. Poor switching power supply.</t>
  </si>
  <si>
    <t>F8</t>
  </si>
  <si>
    <t>Malfunction: Manipulator 24V power supply
Possible Causes:
1. Poor switching power supply.
2. Main PCB failure.
3. The plug-in is loose.</t>
  </si>
  <si>
    <t>F9</t>
  </si>
  <si>
    <t>Malfunction: Manipulator communication failure
Possible Causes:
1. Drive board failure.
2. The plug-in is loose and the connecting harness is open.
3. Detect line faults.</t>
  </si>
  <si>
    <t>FA - FC</t>
  </si>
  <si>
    <t>Malfunction: Back heating
Possible Causes:
1. Drive board failure.
2. The plug-in is loose and the connecting harness is open.</t>
  </si>
  <si>
    <t>Check connections for the backpad to ensure the heating cord is securely connected</t>
  </si>
  <si>
    <t>FD - FF</t>
  </si>
  <si>
    <t>Malfunction: Roller motor
Possible Causes:
1. Damage to the MOS tube of the roller motor (cannot be controlled).
2. Motor failure.
3. Motor drive circuit problem.
4. Overload or other reasons make the motor unable to work normally.</t>
  </si>
  <si>
    <t>A5</t>
  </si>
  <si>
    <t>Malfunction: Error detection of foot roller motor drive circuit.
Possible Causes: 1. The foot roller motor drive circuit circuit problems. 2. The foot roller motor fails, resulting in excessive current. 3. Overload or other reasons cause the motor to lock up and cause excessive current.</t>
  </si>
  <si>
    <t>Check whether the relevant circuits, wiring harnesses and plug-ins are in good condition, and reorganize or replace them.</t>
  </si>
  <si>
    <t>Check connections for the Footrest to ensure the power cord is securely connected to the base</t>
  </si>
  <si>
    <t>E0</t>
  </si>
  <si>
    <t>Malfunction: The upper and lower limit switches of the manipulator detect at the same time.
Possible Causes: 1. The upper and lower limit switch lines are not connected well. 2. The upper and lower limit switches are damaged (one or two).</t>
  </si>
  <si>
    <t>Check whether the relevant accessories and wiring harness are in good condition, and reorganize and replace them.</t>
  </si>
  <si>
    <t>E1</t>
  </si>
  <si>
    <t>Malfunction: The position signal of up and down walking turns is not detected in unit time.
Possible Causes: 1. The upper and lower position signal lines are not connected well. 2. The walking detection code wheel collides with the deflection detection photoelectric pair tube. 3. Move the motor up and down. 4. Moving the motor drive circuit up and down the motherboard. 5. Overload or other reasons make the up-and-down moving motor unable to work normally.</t>
  </si>
  <si>
    <t>E2</t>
  </si>
  <si>
    <t>Malfunction: The machine does not detect upper or lower limit signals.
Possible Causes: 1. Overload or other reasons make the running speed of the up-and-down moving motor slow. 2. The upper and lower limit switches are damaged.</t>
  </si>
  <si>
    <t>E3</t>
  </si>
  <si>
    <t>Malfunction: Kneading width can not be detected.
Possible Causes: 1. Kneading width detection photoelectric pipe damage (one or two). 2. Failure of kneading motor. 3. Kneading drive circuit problem. 4. Overload or other reasons make the motor unable to work normally.</t>
  </si>
  <si>
    <t>E4</t>
  </si>
  <si>
    <t>Malfunction: The number of turns of the calf lifting motor cannot be detected.
Possible Causes: 1. The number of laps detected that Hall was damaged. 2. Motor failure. 3. Motor drive circuit problem. 4. Overload or other reasons make the motor unable to work normally.</t>
  </si>
  <si>
    <t>E5</t>
  </si>
  <si>
    <t>Malfunction: The number of turns of backrest lifting motor cannot be detected.
Possible Causes: 1. The number of laps detected that Hall was damaged. 2. Motor failure. 3. Motor drive circuit problem. 4. Overload or other reasons make the motor unable to work normally.</t>
  </si>
  <si>
    <t>E6E8</t>
  </si>
  <si>
    <t>Malfunction: The calf does not rise or fall.
Possible Causes: 1. The upper and lower limit switch lines are not connected well. 2. The upper and lower limit switches are damaged (one or two). 3. Heavy or other reasons make the motor run slowly.</t>
  </si>
  <si>
    <t>E7</t>
  </si>
  <si>
    <t>Malfunction: Upper and lower limit signals are detected at the same time when the backrest is lifted and lowered.
Possible Causes: 1. The upper and lower limit switch lines are not connected well. 2. The upper and lower limit switches are damaged (one or two).</t>
  </si>
  <si>
    <t>E9</t>
  </si>
  <si>
    <t>Malfunction: No upper limit or lower limit signal was detected for backrest lifting.
Possible Causes: 1. Heavy or other reasons make the motor run slowly. 2. The upper and lower limit switches are damaged.</t>
  </si>
  <si>
    <t>EA</t>
  </si>
  <si>
    <t>Malfunction: Flap motor drive circuit detection error.
Possible Causes: 1. The problem of beating motor drive circuit. 2. Tapping motor failure causes excessive current. 3. Overload or other reasons cause the motor to lock up and cause excessive current.</t>
  </si>
  <si>
    <t>EB</t>
  </si>
  <si>
    <t>Malfunction: Error detection of driving circuit of kneading motor.
Possible Causes: 1. Kneading motor drive circuit problem. 2. Kneading motor failure, resulting in excessive current. 3. Overload or other reasons cause the motor to lock up and cause excessive current.</t>
  </si>
  <si>
    <t>EC</t>
  </si>
  <si>
    <t>Malfunction: Error detection of driving circuit of robot walking motor.
Possible Causes: 1. Drive circuit of traveling motor. 2. The traveling motor fails, resulting in excessive current. 3. Overload or other reasons cause the motor to lock up and cause excessive current.</t>
  </si>
  <si>
    <t>ED</t>
  </si>
  <si>
    <t>Malfunction: Error detection of drive circuit of leg lifting motor.
Possible Causes: 1. The problem of driving circuit of calf lifting motor. 2. The calf lifting motor fails, resulting in excessive current. 3. Overload or other reasons cause the motor to lock up and cause excessive current.</t>
  </si>
  <si>
    <t>EE</t>
  </si>
  <si>
    <t>Malfunction: Error detection of driving circuit of backrest lifting motor.
Possible Causes: 1. Drive circuit of backrest lifting motor. 2. The backrest lifting motor fails, resulting in excessive current. 3. Overload or other reasons cause the motor to lock up and cause excessive current.</t>
  </si>
  <si>
    <t>B0</t>
  </si>
  <si>
    <t>Error in communication between massage hand and PCB</t>
  </si>
  <si>
    <t>1. J31 massage hand problem, PCB problem. 2. Massage hand connection problem or plug-in loosened.</t>
  </si>
  <si>
    <t>Check the connection of the remote to the base of the chair and ensure it is conected securely</t>
  </si>
  <si>
    <t>B1</t>
  </si>
  <si>
    <t>Error communication between massage chair and armrest shortcut key</t>
  </si>
  <si>
    <t>1. Armrest shortcut keyboard broken. 2. Link between shortcut key and massage chair loose or wire harness broken.</t>
  </si>
  <si>
    <t>Make sure there are no buttons on the side panel that are stuck</t>
  </si>
  <si>
    <t>B2</t>
  </si>
  <si>
    <t>Back heating overload or short circuit</t>
  </si>
  <si>
    <t>1. Back heating drive circuit has problem. 2. Back heating overload or short circuit.</t>
  </si>
  <si>
    <t>B3</t>
  </si>
  <si>
    <t>Backrest heating temperature sensor has problem</t>
  </si>
  <si>
    <t>1. Main board temperature detection circuit has problem. 2. Temperature probe malfunction, wirebroken, or plug-in loop.</t>
  </si>
  <si>
    <t>B4</t>
  </si>
  <si>
    <t>Back heating circuit opening</t>
  </si>
  <si>
    <t>1. Main board heating circuit malfunction. 2. Heater circuit opening, plug-in loop or wire broken.</t>
  </si>
  <si>
    <t>B5</t>
  </si>
  <si>
    <t>Error in calf kneadingmotor drive circuitdetection</t>
  </si>
  <si>
    <t>1. Calf kneading motor drive circuit has problem. 2. Calf kneading roller motor broken. 3. Overload.</t>
  </si>
  <si>
    <t>B6</t>
  </si>
  <si>
    <t>Calf kneading motor circuit opening</t>
  </si>
  <si>
    <t>1. Calf kneading motor drive circuit has problem. 2. Calf kneading motor circuit opening or plug loop.</t>
  </si>
  <si>
    <t>B7</t>
  </si>
  <si>
    <t>Error in foot roller motor drive circuit detection</t>
  </si>
  <si>
    <t>1. Foot roller motor drive circuit has problem. 2. Foot roller motor broken. 3. Overload.</t>
  </si>
  <si>
    <t>B8</t>
  </si>
  <si>
    <t>Error detection in 24V AC air pump drive circuit</t>
  </si>
  <si>
    <t>1. Air pump drive circuit has problem. 2. Air pump broken. 3. Overload.</t>
  </si>
  <si>
    <t>BF</t>
  </si>
  <si>
    <t>No SD card on bluetooth board</t>
  </si>
  <si>
    <t>1. No SD card or not connected well.</t>
  </si>
  <si>
    <t>Lower leg lift motor cycles can not be detected in unit time</t>
  </si>
  <si>
    <t>1. Circle number detection hall damage. 2. Motor broken. 3. Motor drive circuit problem. 4. The motor does not work properly due to exceptional load or other causes.</t>
  </si>
  <si>
    <t>The lower leg lift motor detected up and lower limit signal simultaneously</t>
  </si>
  <si>
    <t>1. The upper and lower limit switch lines are not connected well. 2. The upper and lower limit switches are damaged (one or two).</t>
  </si>
  <si>
    <t>When the calf lifting motor working, no signal detected inspected time from the upper or lower limited switch</t>
  </si>
  <si>
    <t>1. Overload or other causes slow the motor. 2. The upper and lower limit switch is damaged.</t>
  </si>
  <si>
    <t>leg lifting motor driver circuit detection error</t>
  </si>
  <si>
    <t>1. Leg lifting motor drive circuit has problem. 2. Leg lifting motor broken. 3. Overload or other causes slow the motor.</t>
  </si>
  <si>
    <t>Lower back lift motor cycles can not be detected in unit time</t>
  </si>
  <si>
    <t>1. Circle number detection Hall Damage. 2. Motor broken. 3. Motor drive circuit problem. 4. The motor does not work properly due to exceptional load or other causes.</t>
  </si>
  <si>
    <t>The back lift motor detected up and lower limit signal simultaneously</t>
  </si>
  <si>
    <t>E6</t>
  </si>
  <si>
    <t>When the back lifting motor working, no signal detected inspected time from the upper or lower limited switch</t>
  </si>
  <si>
    <t>back lifting motor driver circuit detection error</t>
  </si>
  <si>
    <t>1. Back lifting motor drive circuit has problem. 2. Back lifting motor broken. 3. Overload or other causes slow the motor.</t>
  </si>
  <si>
    <t>F0</t>
  </si>
  <si>
    <t>Stretching motor detected front and real limit signal simultaneously</t>
  </si>
  <si>
    <t>1. The stretch signal detection element damage. 2. Stretch detection line broken or plug-in loop.</t>
  </si>
  <si>
    <t>F1</t>
  </si>
  <si>
    <t>Hall signal 1 can't detect the number of cycles when the stretching motor working</t>
  </si>
  <si>
    <t>1. Stretch motordrive circuit has problem. 2. Stretch motor broken / Stretch detection board broken.</t>
  </si>
  <si>
    <t>F2</t>
  </si>
  <si>
    <t>Hall signal 2 can't detect the number of cycles when the stretching motor working</t>
  </si>
  <si>
    <t>1. Stretch motor drive circuit has problem. 2. Stretch motor broken. 3. Stretch detection board broken.</t>
  </si>
  <si>
    <t>F3</t>
  </si>
  <si>
    <t>No upper limit or lower limit signal is detected with 20 seconds when the stretching motor working</t>
  </si>
  <si>
    <t>1. Stretch motor drive circuit has problem. 2. Stretch motor broken. 3. Stretch detection board broken. 4. Magnet drops.</t>
  </si>
  <si>
    <t>F4</t>
  </si>
  <si>
    <t>stretching motor driver circuit detection error</t>
  </si>
  <si>
    <t>1. Stretch motor drive circuit has problem. 2. Stretch motor broken. 3. Overload or other causes slow the motor.</t>
  </si>
  <si>
    <t>F5</t>
  </si>
  <si>
    <t>Tapping motor circuit opening</t>
  </si>
  <si>
    <t>1. Tapping motor drive circuit has problem. 2. Tapping motor circuit opening, plug off, or wire broken.</t>
  </si>
  <si>
    <t>F6</t>
  </si>
  <si>
    <t>Kneading width detection signal 1 not detected</t>
  </si>
  <si>
    <t>1. Kneading width detection photoelectric tube 1 broken. 2. Kneading motor broken. 3. Kneading drive circuit problem. 4. Overload or other cause the motor does not work properly.</t>
  </si>
  <si>
    <t>Kneading width detection signal 2 not detected</t>
  </si>
  <si>
    <t>1. Kneading width detection Photoelectric tube 2 Broken. 2. Kneading motor broken. 3. Kneading drive circuit problem. 4. Overload or other cause the motor does not work properly.</t>
  </si>
  <si>
    <t>Overload or short circuit of driving circuit of kneading motor</t>
  </si>
  <si>
    <t>1. Kneading motor drive circuit problem. 2. Kneading motor broken, resulting in exceptional current. 3. Overload or other cause cause motor to turn and cause exceptional current.</t>
  </si>
  <si>
    <t>Overload or short circuit of driving circuit of walking motor</t>
  </si>
  <si>
    <t>1. Walking motor drive circuit problem. 2. Walking motor failure, resulting in exceptional current. 3. Overload or other cause of motor shutdown causing exceptional current.</t>
  </si>
  <si>
    <t>FA</t>
  </si>
  <si>
    <t>Tapping motor drive circuit has problem</t>
  </si>
  <si>
    <t>1. Tapping motor drive circuit has problem. 2. Tapping motor broken. 3. Overload or other causes slow the motor.</t>
  </si>
  <si>
    <t>FB</t>
  </si>
  <si>
    <t>The upper and lower limit switch of the massage hand detects simultaneously</t>
  </si>
  <si>
    <t>1. The upper and lower limit switch lines are not connected well. 2. Upper and lower limit switches (one or two) broken.</t>
  </si>
  <si>
    <t>FC</t>
  </si>
  <si>
    <t>The position signal of the upper and lower circles is not detected in the unit time of the massage hand</t>
  </si>
  <si>
    <t>1. The upper and lower position signal lines are not connected well. 2. Walking detection code disk collection detection photoelectric tube. 3. Up and down moving motor problem. 4. J31 Motherboard up and down moving motor drive circuit problem. 5. Overload or other reasons make the upper and lower moving motors unable to work properly.</t>
  </si>
  <si>
    <t>FD</t>
  </si>
  <si>
    <t>When the massage hand move up and down, no upper limit or lower limit signal was detected in 40 unit time.</t>
  </si>
  <si>
    <t>1. Overload or other causes slow up the motor. 2. The upper and lower limit switch is damaged.</t>
  </si>
  <si>
    <t>FE</t>
  </si>
  <si>
    <t>Shoulder position detection signal not detected</t>
  </si>
  <si>
    <t>1. Shoulder position detection slot photo coupling broken. 2. Shoulder position detection line plug loose out.</t>
  </si>
  <si>
    <t>E1 01</t>
  </si>
  <si>
    <t>Problem: Up and down problem. Reasons: 1. WIRES NOT CONNECT WELL 2. THE LIMITED SWITCH BROKEN</t>
  </si>
  <si>
    <t>E1 02</t>
  </si>
  <si>
    <t>Problem: Up and down problem. Reasons: 1. THE LIMITED SWITCH BROKEN 2. POSITION SIGNAL WIRE NOT CONNECTED 3. UP AND DOWN MOTOR BELT LOOSE 4. UP AND DOWN MOTOR PROBLEM 5. MAIN BOARD PROBLEM 6. OVER LOADED</t>
  </si>
  <si>
    <t>E1 04</t>
  </si>
  <si>
    <t>Problem: Up and down problem. Reasons: 1. OVER LOADED 2. THE LIMITED SWITCH BROKEN</t>
  </si>
  <si>
    <t>massage hand upper and lower limit switch simultaneously detected</t>
  </si>
  <si>
    <t>Probable Cause: 1. The upper and lower limit switch wires are not connected well. 2. The upper and lower limit switches are damaged (one or two). 3. The upper and lower limit signal lines are disconnected.
Troubleshooting: The software turns off the moving motor up and down</t>
  </si>
  <si>
    <t>No upper and lower position signals detected per unit time (hall switch)</t>
  </si>
  <si>
    <t>Probable Cause: 1. The upper and lower position hall switch is damaged (one or two). 2. The signal line of the upper and lower position is not connected well. 3. The upper and lower motile motor drive belt falls off.
Troubleshooting: The software turns off the moving motor up and down</t>
  </si>
  <si>
    <t>E1 03</t>
  </si>
  <si>
    <t>massage hand up or down the process, in the specified time did not detect the upper or lower limit signal.</t>
  </si>
  <si>
    <t>Probable Cause: 1. The motor running speed of up and down movement becomes slow due to overload or other reasons. 2. Upper and lower limit switch is damaged. 3. The upper and lower limit signal line is disconnected.
Troubleshooting: Cut off the load power supply</t>
  </si>
  <si>
    <t>massage hand software shut down move up and down stop, in a certain time to detect a certain number of laps</t>
  </si>
  <si>
    <t>Probable Cause: 1. The drive circuit is damaged. 2. The laps number signal wiring harness is disconnected.
Troubleshooting: Cut off the load power supply</t>
  </si>
  <si>
    <t>E1 05</t>
  </si>
  <si>
    <t>massage hand up and down motor overload</t>
  </si>
  <si>
    <t>Probable Cause: 1. massage hand walking load mechanism overload. 2. The walking motor is damaged.
Troubleshooting: The software turns off the moving motor up and down</t>
  </si>
  <si>
    <t>E2 01</t>
  </si>
  <si>
    <t>massage hand kneading motor overload</t>
  </si>
  <si>
    <t>Probable Cause: 1. massage hand kneading mechanism overload. 2. Damaged kneading motor.
Troubleshooting: Software off kneading motor</t>
  </si>
  <si>
    <t>E2 02</t>
  </si>
  <si>
    <t>massage hand width detection signal abnormal</t>
  </si>
  <si>
    <t>Probable Cause: 1. Width detection board optocoupler signal. 2. The kneading motor is damaged or blocked. 3. The signal line is disconnected.
Troubleshooting: Software off kneading motor</t>
  </si>
  <si>
    <t>E3 01</t>
  </si>
  <si>
    <t>Flapping motor overload</t>
  </si>
  <si>
    <t>Probable Cause: 1. massage hand slap machine overload. 2. The flapping motor is damaged.
Troubleshooting: The software turns off the electric cylinder motor</t>
  </si>
  <si>
    <t>E4 01</t>
  </si>
  <si>
    <t>Electric cylinder overload</t>
  </si>
  <si>
    <t>Probable Cause: 1. The electric cylinder mechanism is overloaded. 2. The electric cylinder motor is damaged.
Troubleshooting: The software turns off the electric cylinder motor</t>
  </si>
  <si>
    <t>E4 02</t>
  </si>
  <si>
    <t>No upper or lower limit signals were detected during the movement of the power cylinder for a specified period of time.</t>
  </si>
  <si>
    <t>Probable Cause: 1. The operation speed of telescopic motor becomes slow due to overload or other reasons. 2. The upper and lower limit signal line is disconnected. 3. Upper and lower limit switch is damaged.
Troubleshooting: The software turns off the electric cylinder motor</t>
  </si>
  <si>
    <t>E5 01</t>
  </si>
  <si>
    <t>Foot roller motor overloaded</t>
  </si>
  <si>
    <t>Probable Cause: 1. Foot roller mechanism overload. 2. Foot roller motor broken.
Troubleshooting: The software turns off foot roller motor</t>
  </si>
  <si>
    <t>E6 01</t>
  </si>
  <si>
    <t>The DC air pump motor is overloaded</t>
  </si>
  <si>
    <t>Probable Cause: 1. Air pump motor is damaged. 2. Drive circuit failure.
Troubleshooting: The software turns off air pump motor motor</t>
  </si>
  <si>
    <t>B1 ~ B6</t>
  </si>
  <si>
    <t>Malfunction: The calf does not stretch
Possible Cause:
* B1: Damage of MOS tube of calf telescopic motor is uncontrollable
- B2: Leg telescopic motor not running, not connected
- B3: Stroke and overcurrent of calf telescopic motor
- B4: Leg telescopic limit detection error (telescopic limit detection plate is not connected or damaged)
- B5: The number of turns of the calf telescopic motor cannot be detected
- B6: Running time-out of calf telescopic motor</t>
  </si>
  <si>
    <t>1: Calf telescopic motor 2: Leg drive plate</t>
  </si>
  <si>
    <t>B7 to B9 BA ~ BC</t>
  </si>
  <si>
    <t>Malfunction: Telescope does not work
Possible Cause:
* B7: 3D telescopic motor MOS tube is damaged and controlled
- B8: 3D telescopic motor is not running, not connected
- B9: 3D telescopic motor is blocked, over-current
- BA: 3D telescopic motor error detection limit (telescopic motor detection limit is not detected)
- BB: 3D telescopic motor is not detected timeout operation</t>
  </si>
  <si>
    <t>1: Telescopic motor 2: Drive plate 3: Manipulator drive plate</t>
  </si>
  <si>
    <t>C1 ~ C5</t>
  </si>
  <si>
    <t>Malfunction: Kneading doesn't work
Possible Cause:
* C1: kneading motor turns are not detected
- C2: kneading motor turns is not detected
- C3: kneading motor turns are blocked and damaged over-current
- C4: kneading motor turns are not running and not connected
- C5: kneading motor cannot be detected MOS tube is blocked and controlled</t>
  </si>
  <si>
    <t>1: kneading motor 2: drive plate 3: manipulator drive plate</t>
  </si>
  <si>
    <t>C6 ~ C8</t>
  </si>
  <si>
    <t>Malfunction: Non-inflatable
Possible Cause:
* C6: The damage of MOS tube of air pump is uncontrollable
- C7: Air pump not running, not connected
- C8: Stroke and over-flow of air pump</t>
  </si>
  <si>
    <t>1: Drive board 2: Air pump</t>
  </si>
  <si>
    <t>CC ~ CE</t>
  </si>
  <si>
    <t>Malfunction: Kneading doesn't work
Possible Cause:
* CC: The damage of MOS tube of calf kneading motor cannot be controlled
- CD: Leg kneading motor not running, not connected
- CE: The leg rubbing motor is locked and overcurrent</t>
  </si>
  <si>
    <t>1: Calf kneading motor 2: Drive board</t>
  </si>
  <si>
    <t>CF</t>
  </si>
  <si>
    <t>Malfunction: Calf does not work
Possible Cause:
CF: calf communication failure</t>
  </si>
  <si>
    <t>1: Lower leg drive plate 3: Drive plate</t>
  </si>
  <si>
    <t>E1 ~ E3</t>
  </si>
  <si>
    <t>Malfunction: Flapping doesn't work
Possible Cause:
* E1: Beating motor is blocked and over-current
- E2: Beating motor is not running or connected
- E3: Beating motor MOS tube is damaged and cannot be controlled</t>
  </si>
  <si>
    <t>1: Flapping motor 3: Manipulator drive plate 4: Detection plate</t>
  </si>
  <si>
    <t>Malfunction: Calf does not stretch
Possible Cause:
* E4: The MOS tube of the lower leg electric rod is detected and cannot be controlled
- E5: The lower leg electric rod is not running, not
- E6: The lower leg electric rod is blocked, over-current
- E7: The lower leg electric rod error (the lower leg electric rod detection limit is not detected or rod operation)
- E8: The lower leg electric rod is not running</t>
  </si>
  <si>
    <t>1: Lower leg electric cylinder 2: Drive plate</t>
  </si>
  <si>
    <t>EA ~ EF</t>
  </si>
  <si>
    <t>Malfunction: Don't lie down
Possible Cause:
* EA: Damage of MOS tube of backrest electric rod is uncontrollable
- EB: Backrest power lever not running, not connected
- EC: The backrest electric rod is locked and overcurrent
- ED: Error in detecting the limit of backrest electric rod (the travel limit detection plate is not connected or damaged)
- EE: The number of turns of backrest electric lever cannot be detected
- EF: Backrest electric lever running overtime</t>
  </si>
  <si>
    <t>1: Backrest electric cylinder 2: See the driving board for details</t>
  </si>
  <si>
    <t>F1 to F6</t>
  </si>
  <si>
    <t>Malfunction: Manipulator does not walk
Possible Cause:
* F1: The number of turns of the detected motor travel cannot be detected
- F2: The travel limit error (the travel limit board is not damaged or damaged)
- F3: The blocked motor is blocked, current
- F4: The travel limit is not running, not running
- F5: The travel limit is overtime
- F6: The MOS detection of the motor is connected and cannot be controlled</t>
  </si>
  <si>
    <t>1: Travel motor 3: Manipulator drive plate 4: Detection plate</t>
  </si>
  <si>
    <t>Malfunction: The complete machine does not work
Possible Cause:
F7: 24V power failure of switching power supply</t>
  </si>
  <si>
    <t>1: Switching power supply</t>
  </si>
  <si>
    <t>FA ~ FC</t>
  </si>
  <si>
    <t>Malfunction: No heating
Possible Cause:
* FA: back heating MOS tube protection is running and cannot be controlled
- FB: back heating is not running, not connected, or thermal protection
- FC: back heating overcurrent protection</t>
  </si>
  <si>
    <t>1: Heating wire</t>
  </si>
  <si>
    <t>FD ~ FF</t>
  </si>
  <si>
    <t>Malfunction: Sole roller does not work
Possible Cause:
* FD: The MOS tube of the roller motor is damaged and cannot be controlled
- FE: The roller motor is not running or connected
- FF: The roller motor is blocked and over-current</t>
  </si>
  <si>
    <t>1: Foot roller motor 2: Lower leg drive plate</t>
  </si>
  <si>
    <t>1</t>
  </si>
  <si>
    <t>Ground switch failure</t>
  </si>
  <si>
    <t>Calf mainboard / Related Plug-ins / ground switch</t>
  </si>
  <si>
    <t>2</t>
  </si>
  <si>
    <t>Faulty heel switch on the left side</t>
  </si>
  <si>
    <t>Calf mainboard / Related Plug-ins / heel switch</t>
  </si>
  <si>
    <t>3</t>
  </si>
  <si>
    <t>Malfunctioning heel switch on the right side</t>
  </si>
  <si>
    <t>A0</t>
  </si>
  <si>
    <t>Communication error between movement and motherboard</t>
  </si>
  <si>
    <t>Robot mainboard / main board / robotic plug-in</t>
  </si>
  <si>
    <t>A1~A5</t>
  </si>
  <si>
    <t>walking fault</t>
  </si>
  <si>
    <t>Robot mainboard / Walking motors / related inserts / limit detection circuit boards / circle detection boards</t>
  </si>
  <si>
    <t>A7~A9, AA</t>
  </si>
  <si>
    <t>Kneading motor faults</t>
  </si>
  <si>
    <t>Kneading motors / related inserts / width detection boards / Robot mainboard</t>
  </si>
  <si>
    <t>AB/AC</t>
  </si>
  <si>
    <t>Tapping Motor Failure</t>
  </si>
  <si>
    <t>Tapping motors / related inserts / Robot mainboard</t>
  </si>
  <si>
    <t>AD~AF, A6, B0, EF</t>
  </si>
  <si>
    <t>Stretch Motor Failure</t>
  </si>
  <si>
    <t>Robot mainboard / retractable motor / related inserts / limit detection board / circle detection board</t>
  </si>
  <si>
    <t>B1~B5</t>
  </si>
  <si>
    <t>Backrest electric cylinder failure</t>
  </si>
  <si>
    <t>Mainboards / related plug-ins / electric cylinders</t>
  </si>
  <si>
    <t>B6~B9</t>
  </si>
  <si>
    <t>Calf electric cylinder failure</t>
  </si>
  <si>
    <t>BA~BF</t>
  </si>
  <si>
    <t>Foot stretch malfunction</t>
  </si>
  <si>
    <t>Calf mainboards / associated inserts / foot stretch motors</t>
  </si>
  <si>
    <t>C0~C4</t>
  </si>
  <si>
    <t>Leg Stretch Failure</t>
  </si>
  <si>
    <t>Calf mainBoard / Stretch Motor / Related Inserts / Limit Detection Board / Calf Adapter Board</t>
  </si>
  <si>
    <t>C5~C6</t>
  </si>
  <si>
    <t>Kneading motor failure</t>
  </si>
  <si>
    <t>Calf main Boards / Kneading Motors / Related Inserts / Calf Adapter Boards</t>
  </si>
  <si>
    <t>C7~C8</t>
  </si>
  <si>
    <t>Roller motor failure</t>
  </si>
  <si>
    <t>Calf main Board / Roller Motor / Related Inserts</t>
  </si>
  <si>
    <t>Calf and motherboard communication error</t>
  </si>
  <si>
    <t>Calf main Board / Related Inserts / main Board</t>
  </si>
  <si>
    <t>CA, CB, EA, EB</t>
  </si>
  <si>
    <t>Air pump failure</t>
  </si>
  <si>
    <t>Air pump / Related Inserts / main Board</t>
  </si>
  <si>
    <t>CC~CD</t>
  </si>
  <si>
    <t>Backrest heating malfunction</t>
  </si>
  <si>
    <t>Related Inserts / main Board</t>
  </si>
  <si>
    <t>CE</t>
  </si>
  <si>
    <t>Switching Power Supply 24V Fault</t>
  </si>
  <si>
    <t>Switching Power / Related Plug-ins</t>
  </si>
  <si>
    <t>D0</t>
  </si>
  <si>
    <t>Upper back mechanism heating failure</t>
  </si>
  <si>
    <t>Back mechanism mainboards / related plug-ins</t>
  </si>
  <si>
    <t>D1</t>
  </si>
  <si>
    <t>Lower back mechanism heating failure</t>
  </si>
  <si>
    <t>D2~D7</t>
  </si>
  <si>
    <t>Lower back mechanism Travel Malfunction</t>
  </si>
  <si>
    <t>Back mechanism mainboards / related plug-ins / Travel motor / circle detection board / limit detection board</t>
  </si>
  <si>
    <t>D8, D9, DA, DB</t>
  </si>
  <si>
    <t>Lower back mechanism kneading malfunction</t>
  </si>
  <si>
    <t>Back mechanism mainboards / related plug-ins / Kneading motor / width detection board</t>
  </si>
  <si>
    <t>DC, DD</t>
  </si>
  <si>
    <t>Lower back mechanism Tap Failure</t>
  </si>
  <si>
    <t>Back mechanism mainboards / related plug-ins / Tapping motor</t>
  </si>
  <si>
    <t>Left armrest motor failure</t>
  </si>
  <si>
    <t>Left mainBoard / Related Inserts / Left Armrest Motor</t>
  </si>
  <si>
    <t>Right armrest motor malfunction</t>
  </si>
  <si>
    <t>Right main board / Related Plug-ins / Left armrest motor</t>
  </si>
  <si>
    <t>Right armrest communication error</t>
  </si>
  <si>
    <t>main board / Armrest mainBoard / Related Plug-ins</t>
  </si>
  <si>
    <t>Left armrest communication error</t>
  </si>
  <si>
    <t>E5~E9</t>
  </si>
  <si>
    <t>Seat frame electric cylinder failure</t>
  </si>
  <si>
    <t>main board / Related Plug-ins / electric cylinder</t>
  </si>
  <si>
    <t>Robot not detecting main board communication</t>
  </si>
  <si>
    <t>main board / Related Plug-ins / back mechanisms</t>
  </si>
  <si>
    <t>Mainboard +5VC not detected</t>
  </si>
  <si>
    <t>main board / Bad supply MOS tube</t>
  </si>
  <si>
    <t>Lower robot not detecting main board communication</t>
  </si>
  <si>
    <t>main board Related Plug-ins / back mechanisms</t>
  </si>
  <si>
    <t>F3~F4, F8</t>
  </si>
  <si>
    <t>Back mechanism mainBoard / Related Plug-ins / heating head</t>
  </si>
  <si>
    <t>F5, F7</t>
  </si>
  <si>
    <t>[No Code Shown/Blank]</t>
  </si>
  <si>
    <t>Malfunction: In the operation of the stretch motor of the massage hand, the position signal of the walking circle is not detected within the specified range.
Possible Causes:
1. Backrest lift motor drive circuit problem. 2. The backrest lift motor is broken, causing excessive current. 3. If the load is too heavy or other causes the motor is blocked, the current is too large.</t>
  </si>
  <si>
    <t>Software close the motor</t>
  </si>
  <si>
    <t>Malfunction: Communication error between massage hand and main board
Possible Causes:
1. Massage hand J31 has problem 2. The mainboard is faulty, the cable is disconnected, or the plug-in is loose.</t>
  </si>
  <si>
    <t>Check whether the relevant parts are in good condition, reassemble and replace</t>
  </si>
  <si>
    <t>Malfunction: Communication error between massage chair and armrest shortcut key
Possible Causes:
1. The shortcut key board is faulty 2. The connection plug between the button and the massage chair is loose or the wire harness is broken</t>
  </si>
  <si>
    <t>Check whether wiring harness, driving circuit and plug-in are in good condition, reassemble or replace</t>
  </si>
  <si>
    <t>Malfunction: Backrest heating overload or short circuit
Possible Causes:
1. Backrest heating drive circuit problem 2. Backrest heating overload or short circuit</t>
  </si>
  <si>
    <t>Malfunction: The backrest heating temperature sensor is faulty
Possible Causes:
1. The mainboard heating circuit is faulty 2. Open heater, plug loose or wire broken</t>
  </si>
  <si>
    <t>Malfunction: Back heating open circuit
Possible Causes:
1. The mainboard heating circuit is faulty 2. Open heater, plug loose or wire broken</t>
  </si>
  <si>
    <t>Malfunction: Calf kneading drive circuit detection error
Possible Causes:
1. Calf kneading motor failure, resulting in excessive current 2. Excessive current caused by heavy load or blocking rotation by kneading .</t>
  </si>
  <si>
    <t>Check whether wiring harness, kneading motor, driving circuit and plug-in are in good condition, reassemble or replace</t>
  </si>
  <si>
    <t>Malfunction: Calf kneading motor open circuit
Possible Causes:
1. Calf kneading circuit problem 2. Calf motor open circuit or plug-in is not plugged in properly</t>
  </si>
  <si>
    <t>Malfunction: Foot roller motor drive circuit detection error
Possible Causes:
1. Foot roller motor drive circuit problem. 2. The foot roller motor is broken, causing excessive current. 3. If the load is too heavy or other causes the motor is blocked, the current is too large.</t>
  </si>
  <si>
    <t>Check whether wiring harness, foot motor, driving circuit and plug-in are in good condition, reassemble or replace</t>
  </si>
  <si>
    <t>Malfunction: 24V AC air pump drive circuit detection error
Possible Causes:
1. Air pump driving circuit problems, air pump problem 2. Heavy load or air pump blocking caused by excessive current</t>
  </si>
  <si>
    <t>Malfunction: The number of calf lift motor laps per unit time is not detected
Possible Causes:
1. The lap detection Hall is damaged. 2. Motor broken. 3. Motor drive circuit has problem. 4. The load is too heavy or other causes the motor to not work properly.</t>
  </si>
  <si>
    <t>Check whether the linear actuator wiring harness, driving circuit and plug-in are in good condition, reassemble or replace</t>
  </si>
  <si>
    <t>Malfunction: The calf lift motor limit switch detects the limit at the same time
Possible Causes:
1. The upper and lower limit switch wires are not connected well. 2. The upper and lower limit switches are damaged (one or two).</t>
  </si>
  <si>
    <t>Malfunction: In the operation of the calf lifting motor, the upper limit or lower limit signal is not detected within the specified time.
Possible Causes:
1. Overload or other reasons make the motor run very slowly. 2. The upper and lower limit switches are damaged.</t>
  </si>
  <si>
    <t>Malfunction: Calf lift motor drive circuit detection error
Possible Causes:
1. Calf lifting motor drive circuit problem. 2. The calf lifting motor is broken, causing excessive current. 3. If the load is too heavy or other causes the motor is blocked, the current is too large.</t>
  </si>
  <si>
    <t>Software closes the calf lift motor</t>
  </si>
  <si>
    <t>Malfunction: The number of laps of the backrest lift motor is not detected per unit time
Possible Causes:
1. The lap detection Hall is damaged. 2. Motor broken. 3. Motor drive circuit has problem. 4. Overload or other causes the motor not to work properly.</t>
  </si>
  <si>
    <t>Malfunction: When the backrest lift motor is walking, the upper and lower limit signals are detected at the same time.
Possible Causes:
1. The upper and lower limit switch wires are not connected well. 2. The upper and lower limit switches are damaged (one or two).</t>
  </si>
  <si>
    <t>Malfunction: During the operation of the backrest lift motor, the upper limit or lower limit signal is not detected within the specified time.
Possible Causes:
1. Overload or other reasons make the motor run very slowly. 2. The upper and lower limit switches are damaged.</t>
  </si>
  <si>
    <t>Malfunction: Backrest lift motor drive circuit detection error
Possible Causes:
1. Backrest lift motor drive circuit problem. 2. The backrest lift motor is broken, causing excessive current. 3. If the load is too heavy or other causes the motor is blocked, the current is too large.</t>
  </si>
  <si>
    <t>Malfunction: The massage hand stretch motor detects both front and rear limit signals
Possible Causes:
1. Backrest lift motor drive circuit problem. 2. The backrest lift motor is broken, causing excessive current. 3. If the load is too heavy or other causes the motor is blocked, the current is too large.</t>
  </si>
  <si>
    <t>Check whether the stretch detection board, wire harness, limit switch, stretch motor, drive circuit and plug-in are in good condition, can be reassembled or replaced</t>
  </si>
  <si>
    <t>Malfunction: When massage hand stretch motor is working, hall signal 2 can not detect the number of laps
Possible Causes:
1. stretch motor drive circuit problem 2. Stretch motor malfunction, resulting in excessive current 3. The detection board of the number of laps is damaged</t>
  </si>
  <si>
    <t>Malfunction: When massage hand stretch motor is working in 20 seconds, it can not detect the upper limit or lower limit
Possible Causes:
1. stretch motor drive circuit problem; the motor fault 2. The detection board of the number of laps is damaged 3. magnets of stretch detection whether fall</t>
  </si>
  <si>
    <t>Malfunction: massage hand stretch motor drive circuit detection error
Possible Causes:
1. Backrest lift motor drive circuit problem. 2. The backrest lift motor is broken, causing excessive current. 3. If the load is too heavy or other causes the motor is blocked, the current is too large.</t>
  </si>
  <si>
    <t>Check whether wiring harness, stretch motor, drive circuit and plug-in are in good condition, reassemble or replace</t>
  </si>
  <si>
    <t>Malfunction: tapping motor open circuit
Possible Causes:
1. The tapping motor drive circuit is faulty 2. The tapping motor is open, the plug-in is not inserted or the wire is broken</t>
  </si>
  <si>
    <t>Check whether wiring harness, tapping motor, drive circuit and plug-in are in good condition, reassemble or replace</t>
  </si>
  <si>
    <t>Malfunction: Kneading width is not detected
Possible Causes:
1. Kneading width detection photoelectric damage to the tube (one or two) 2. The kneading motor is broken. 3. Kneading drive circuit has problem. 4. Overload or other reasons make the motor not working properly</t>
  </si>
  <si>
    <t>Check whether the width detection board, wiring harness, kneading motor, driving circuit and plug-in are in good condition, reassemble or replace</t>
  </si>
  <si>
    <t>Malfunction: Kneading width detection signal 2 cannot be detected
Possible Causes:
1. Kneading width to detect photoelectric damage to tube 2 2. Kneading motor problem 3. Kneading drive circuit problem 4. The motor cannot work properly due to heavy load or other reasons</t>
  </si>
  <si>
    <t>Malfunction: Kneading motor drive circuit overload or short circuit
Possible Causes:
1. Kneading motor drive circuit problem 2. Kneading motor problem, resulting in excessive current 3. Excessive current caused by heavy load or motor blocking</t>
  </si>
  <si>
    <t>Malfunction: Walking motor drive circuit overload or short circuit
Possible Causes:
1. The driving circuit of the walking motor is faulty and the motor is faulty, resulting in excessive. 2. Excessive current caused by heavy load or motor blocking</t>
  </si>
  <si>
    <t>Check whether the stroke detection board, walking motor, driving circuit and wiring harness are in good condition, reassemble or replace</t>
  </si>
  <si>
    <t>Malfunction: Tapping motor drive circuit detection error
Possible Causes:
1. Tapping motor drive circuit problem. 2. The tapping motor failed, causing the current to be too large. 3. If the load is too heavy or other causes the motor is blocked, the current is too large.</t>
  </si>
  <si>
    <t>Malfunction: The lower limit switch on the massage hand is detected at the same time
Possible Causes:
1. The upper and lower limit switch lines are not connected well. 2. The upper and lower limit switches are damaged (one or two).</t>
  </si>
  <si>
    <t>Software closes up and down moving motor</t>
  </si>
  <si>
    <t>Malfunction: No position signal of up and down walking circle detected in unit time
Possible Causes:
1. The upper and lower position signal lines are not connected. 2. The walking detection code wheel collides and detects the photoelectric pair tube. 3. Moving motor is broken. 4. The moving motor drive circuit has problem. 5. Overloader other reasons make the up and down moving motor not work properly.</t>
  </si>
  <si>
    <t>Malfunction: During the up or down process of the massage hand, the upper limit or lower limit signal is not detected within the specified time
Possible Causes:
1. Overload or other causes the moving speed of the up and down moving motor to become very slow. 2. The upper and lower limit switches are damaged.</t>
  </si>
  <si>
    <t>Software closes up and down moving motor and cut off the power</t>
  </si>
  <si>
    <t>Malfunction: Shoulder position detection signal cannot be detected
Possible Causes:
1. Shoulder position sensor groove photocoupler is broken 2. The connector for detecting the shoulder position is loose</t>
  </si>
  <si>
    <t>Check whether the shoulder inspection board, wiring harness and plug-in are in good condition, reassemble or replace</t>
  </si>
  <si>
    <t>Footrest touch switch</t>
  </si>
  <si>
    <t>1. Touch Hall switch damaged. 2. Touch ground switch connector crooked.</t>
  </si>
  <si>
    <t>A1</t>
  </si>
  <si>
    <t>Communication problem between massage chair and calf rest</t>
  </si>
  <si>
    <t>1. Circuit board problem. 2. Plug loosen or wire harness between calf rest and massage chair broken.</t>
  </si>
  <si>
    <t>A2</t>
  </si>
  <si>
    <t>Foot stretching motor detected upper and lower limit signal simultaneously</t>
  </si>
  <si>
    <t>A3</t>
  </si>
  <si>
    <t>can't detect the upper and lower limit signal when the stretching motor working in specified time</t>
  </si>
  <si>
    <t>A4</t>
  </si>
  <si>
    <t>can't detect the number of cycles when the stretching motor working in specified time</t>
  </si>
  <si>
    <t>1. Hall broken. 2. Stretching motor broken. 3. Stretching motor. 4. Overload.</t>
  </si>
  <si>
    <t>1. The upper and lower position signal lines are not connected well. 2. Walking detection code disk collision detection photoelectric pair tube. 3. Up and down moving motor problem. 4. Motherboard up and down moving motor drive circuit problem. 5. Overload or other reasons make the upper and lower moving motors unable to work properly.</t>
  </si>
  <si>
    <t>When the massage hand move up and down, no upper limit or lower limit signal was detected in specified time.</t>
  </si>
  <si>
    <t>Kneading width detection signal not detected</t>
  </si>
  <si>
    <t>1. Kneading width detection Photoelectric Pitch 1 broken. 2. Kneading motor broken. 3. Kneading drive circuit problem. 4. Overload or other cause the motor does not work properly.</t>
  </si>
  <si>
    <t>lower leg lift motor cycles can not be detected in unit time</t>
  </si>
  <si>
    <t>1. Circle number detection Hall damage. 2. Motor broken. 3. Motor drive circuit problem. 4. The motor does not work properly due to excessive load or other causes.</t>
  </si>
  <si>
    <t>lower back lift motor cycles can not be detected in unit time</t>
  </si>
  <si>
    <t>E8</t>
  </si>
  <si>
    <t>When the calf lifting motor working, no signal detected in specified time from the upper or lower limited switch</t>
  </si>
  <si>
    <t>When the back lifting motor working, no signal detected in specified time from the upper or lower limited switch</t>
  </si>
  <si>
    <t>Stretching motor detected front and rear limit signal simultaneously</t>
  </si>
  <si>
    <t>1. The stretch signal detection element damage. 2. Stretch detection line broken or plug-in loose.</t>
  </si>
  <si>
    <t>Can't detect the number of cycles when the stretching motor working</t>
  </si>
  <si>
    <t>No upper limit or lower limit signal is detected within 20 seconds when the stretching motor working</t>
  </si>
  <si>
    <t>1. Stretch motor drive circuit has problem. 2. Stretch motor broken. 3. Overload.</t>
  </si>
  <si>
    <t>The tapping motor position signal can not be detected in unit time</t>
  </si>
  <si>
    <t>1. Tapping motor broken. 2. The pulley fell off. 3. Detection board signal damaged.</t>
  </si>
  <si>
    <t>Calf touch ground switch</t>
  </si>
  <si>
    <t>Possible Reason: 1. The grounding Hall switch is damaged. 2. The metal pin on the grounding switch is bended. 3. Whether there are other items on the ground covered the calf, then touch ground switch can't receive the signal. 4. After the magnet enables the Hall signal to be valid, after the switch detects the spring reset, the magnet still enables the Hall signal because the reset distance is not enough.
Troubleshooting: [Blank in Manual]</t>
  </si>
  <si>
    <t>Right heel signal</t>
  </si>
  <si>
    <t>Possible Reason: [Blank in Manual]
Troubleshooting: [Blank in Manual]</t>
  </si>
  <si>
    <t>Left heel signal</t>
  </si>
  <si>
    <t>Massage chair and calf communication failure</t>
  </si>
  <si>
    <t>Possible Reason: 1. Circuit board failure 2. The connection between the calf and the massage chair is loose or the harness is broken.
Troubleshooting: [Blank in Manual]</t>
  </si>
  <si>
    <t>Foot stretch motor limit switch detects the limit at the same time</t>
  </si>
  <si>
    <t>Possible Reason: 1. The upper and lower limit switch wires are not connected. 2. The upper and lower limit switches are damaged (one or two).
Troubleshooting: Software closes the foot stretch motor</t>
  </si>
  <si>
    <t>In the work of the foot stretch motor, the upper limit or lower is not detected within the specified time. Limit signal.</t>
  </si>
  <si>
    <t>Possible Reason: 1. Overload or other reasons make the motor run very slowly. 2. The upper and lower limit switches are damaged.
Troubleshooting: Software closes the foot stretch motor</t>
  </si>
  <si>
    <t>The number of stretch motor laps in the unit can not be detected in unit time</t>
  </si>
  <si>
    <t>Possible Reason: 1. The lap detection Hall is damaged. 2. Motor failure. 3. Motor drive circuit problem. 4. The load is too heavy or other causes the motor to not work properly.
Troubleshooting: Software closes the foot stretch lift motor</t>
  </si>
  <si>
    <t>Foot roller motor drive circuit detection error</t>
  </si>
  <si>
    <t>Possible Reason: 1. Foot roller motor drive circuit problem. 2. The foot roller motor is broken, causing excessive current. 3. If the load is too heavy or other causes the motor is blocked, the current is too large.
Troubleshooting: Software closes the foot roller motor</t>
  </si>
  <si>
    <t>A6</t>
  </si>
  <si>
    <t>Foot stretch motor drive circuit detection error</t>
  </si>
  <si>
    <t>Possible Reason: 1. Foot stretch motor drive circuit problem. 2. The foot stretch motor is broken, causing excessive current. 3. If the load is too heavy or other causes the motor is blocked, the current is too large.
Troubleshooting: Software closes the foot stretch motor</t>
  </si>
  <si>
    <t>A7</t>
  </si>
  <si>
    <t>Leg stretch motor limit switches detects the limit at the same time</t>
  </si>
  <si>
    <t>Possible Reason: 1. The upper and lower limit switch wires are not connected well. 2. The upper and lower limit switches are damaged (one or two).
Troubleshooting: Software closes the leg stretch motor</t>
  </si>
  <si>
    <t>A8</t>
  </si>
  <si>
    <t>The leg stretch motor didn't detected up and lower limit signal within the specified time.</t>
  </si>
  <si>
    <t>Possible Reason: 1. Overload or other reasons make the motor run very slowly. 2. The upper and lower limit switches are damaged.
Troubleshooting: Software closes the leg stretch motor</t>
  </si>
  <si>
    <t>A9</t>
  </si>
  <si>
    <t>The leg stretch motor didn't detected circles signal in unit time</t>
  </si>
  <si>
    <t>Possible Reason: 1. The circle detection Hall is damaged. 2. Motor failure. 3. Motor drive circuit problem. 4. the load is too heavy or other reasons make the motor not working properly.
Troubleshooting: Software closes the leg stretch lift motor</t>
  </si>
  <si>
    <t>AA</t>
  </si>
  <si>
    <t>Leg stretch motor drive circuit detection error</t>
  </si>
  <si>
    <t>Possible Reason: 1. leg stretch motor drive circuit problems. 2. The leg stretch motor is broken, causing excessive current. 3. If the load is too heavy or other causes the motor is blocked, the current is too large.
Troubleshooting: Software closes the leg stretch motor</t>
  </si>
  <si>
    <t>AB</t>
  </si>
  <si>
    <t>Calf kneading motor drive circuit detection error</t>
  </si>
  <si>
    <t>Possible Reason: 1. Foot roller motor drive circuit problem. 2. The foot roller motor is broken, causing excessive current. 3. If the load is too heavy or other causes the motor is blocked, the current is too large.
Troubleshooting: [Blank in Manual]</t>
  </si>
  <si>
    <t>The lower limit switch on the massage hand is detected at the same time</t>
  </si>
  <si>
    <t>Possible Reason: 1. The upper and lower limit switch lines are not connected well. 2. The upper and lower limit switches are damaged (one or two).
Troubleshooting: Software closes up and down moving motor</t>
  </si>
  <si>
    <t>No position signal of up and down walking circle detected in unit time</t>
  </si>
  <si>
    <t>Possible Reason: 1. The upper and lower position signal lines are not connected. 2. The walking detection code wheel collides and detects the photoelectric pair tube. 3. Moving motor is broken. 4. The moving motor drive circuit has problem. 5. Overloader other reasons make the up and down moving motor not work properly.
Troubleshooting: Software closes up and down moving motor</t>
  </si>
  <si>
    <t>During the up or down process of the massage hand, the upper limit or lower limit signal is not detected within the specified time.</t>
  </si>
  <si>
    <t>Possible Reason: 1. Overload or other causes the moving speed of the up and down moving motor to become very slow. 2. The upper and lower limit switches are damaged.
Troubleshooting: Software closes up and down moving motor and cut off the power</t>
  </si>
  <si>
    <t>Kneading width is not detected</t>
  </si>
  <si>
    <t>Possible Reason: 1. Kneading width detection photoelectric damage to the tube (one or two) 2. The kneading motor is broken. 3. Kneading drive circuit has problem. 4. Overload or other reasons make the motor not working properly
Troubleshooting: [Blank in Manual]</t>
  </si>
  <si>
    <t>The number of lap lift motor laps per unit time is not detected</t>
  </si>
  <si>
    <t>Possible Reason: 1. The lap detection Hall is damaged. 2. Motor broken. 3. Motor drive circuit has problem. 4. The load is too heavy or other causes the motor to not work properly.
Troubleshooting: Software closes the calf lift motor</t>
  </si>
  <si>
    <t>The number of laps of the backrest lift motor is not detected per unit time</t>
  </si>
  <si>
    <t>Possible Reason: 1. The lap detection Hall is damaged. 2. Motor broken. 3. Motor drive circuit has problem. 4. Overload or other causes the motor not to work properly.
Troubleshooting: Software closes the back lift motor</t>
  </si>
  <si>
    <t>The lower leg lift motor limit switch detects the limit at the same time</t>
  </si>
  <si>
    <t>Possible Reason: 1. The upper and lower limit switch wires are not connected well. 2. The upper and lower limit switches are damaged (one or two).
Troubleshooting: Software closes the back lift motor</t>
  </si>
  <si>
    <t>When the backrest lift motor is walking, the upper and lower limit signals are detected at the same time.</t>
  </si>
  <si>
    <t>In the operation of the calf lifting motor, the upper limit or lower limit signal is not detected within the specified time.</t>
  </si>
  <si>
    <t>Possible Reason: 1. Overload or other reasons make the motor run very slowly. 2. The upper and lower limit switches are damaged.
Troubleshooting: Software closes the back lift motor</t>
  </si>
  <si>
    <t>During the operation of the backrest lift motor, the upper limit or lower limit signal is not detected within the specified time.</t>
  </si>
  <si>
    <t>Tapping motor drive circuit detection error</t>
  </si>
  <si>
    <t>Possible Reason: 1. Tapping motor drive circuit problem. 2. The tapping motor failed, causing the current to be too large. 3. If the load is too heavy or other causes the motor is blocked, the current is too large.
Troubleshooting: Software closes tapping motor</t>
  </si>
  <si>
    <t>Kneading motor drive circuit detection error</t>
  </si>
  <si>
    <t>Possible Reason: 1. Kneading motor drive circuit problem. 2. The kneading motor malfunctions, causing excessive current. 3. If the load is too heavy or other causes the motor is blocked, the current is too large.
Troubleshooting: Software closes kneading motor</t>
  </si>
  <si>
    <t>Massage hand walking motor drive circuit detection error</t>
  </si>
  <si>
    <t>Possible Reason: 1. Walking motor drive circuit problem. 2. The travel motor is broken, causing excessive current. 3. If the load is too heavy or other causes the motor is blocked, the current is too large.
Troubleshooting: Software closes travel motor</t>
  </si>
  <si>
    <t>Calf lift motor drive circuit detection error</t>
  </si>
  <si>
    <t>Possible Reason: 1. Calf lifting motor drive circuit problem. 2. The calf lifting motor is broken, causing excessive current. 3. If the load is too heavy or other causes the motor is blocked, the current is too large.
Troubleshooting: Software closes the calf lift motor</t>
  </si>
  <si>
    <t>Backrest lift motor drive circuit detection error</t>
  </si>
  <si>
    <t>Possible Reason: 1. Backrest lift motor drive circuit problem. 2. The backrest lift motor is broken, causing excessive current. 3. If the load is too heavy or other causes the motor is blocked, the current is too large.
Troubleshooting: Software close the motor</t>
  </si>
  <si>
    <t>EF</t>
  </si>
  <si>
    <t>massage hand stretch motor drive circuit detection error</t>
  </si>
  <si>
    <t>The massage hand stretch motor detects both front and rear limit signals</t>
  </si>
  <si>
    <t>In the operation of the stretch motor of the massage hand, the position signal of the walking circle is not detected within the specified range.</t>
  </si>
  <si>
    <t>In the operation of the stretch motor of the massage hand, the upper limit or lower limit is detected after the specified time.</t>
  </si>
  <si>
    <t>The unit positioning signal of the tapping motor is not detected within the unit time.</t>
  </si>
  <si>
    <t>Possible Reason: 1. The motor is damaged. 2. The belt sheave is off. 3. The detection board signal is damaged.
Troubleshooting: [Blank in Manual]</t>
  </si>
  <si>
    <t>Communication error between movement and mainboard</t>
  </si>
  <si>
    <t>Possible Reason: 1. Failure of the massage hand drive board 2. Main board failure 3. Massage hand connecting line disconnected, or plug-in loose
Checking Method: Check for loose massage hand drive boards, main boards, connecting wires, and plug-ins.</t>
  </si>
  <si>
    <t>Simultaneous detection of massage hand upper and lower limit switches</t>
  </si>
  <si>
    <t>Possible Reason: 1. Upper and lower limit switch wires are not connected properly 2. Damaged upper and lower limit switches (one or two)
Checking Method: Detection of upper and lower limit switches, connection cables</t>
  </si>
  <si>
    <t>Possible Reason: 1. Up and down position signal line is not connected well 2. Walking detection code plate hit crooked detection photoelectric pair tube 3. Up and down movement motor problem 4. Driving up and down the motor drive circuit board problems 5. The load is too heavy or other reasons so that the up and down movement motor can not work properly.
Checking Method: 1. Check whether the back frame signal cable is plugged in properly. 2. Check the upper and lower limit sensors 3. Drive board circuit</t>
  </si>
  <si>
    <t>No upper limit level or lower limit level signal is detected for a specified time during massage hand up or down.</t>
  </si>
  <si>
    <t>Possible Reason: 1. Heavy load or other reasons make the up and down movement motor run very slowly. 2. Damaged upper and lower limit switches
Checking Method: Check travel motors, connecting wires, limit switches</t>
  </si>
  <si>
    <t>Overload or short circuit of travel motor drive circuit</t>
  </si>
  <si>
    <t>Possible Reason: 1. Traveling motor drive circuit problem 2. Traveling motor failure, resulting in excessive current 3. Too heavy load or other reasons make the motor blocked, resulting in excessive current.
Checking Method: Check the travel motor, guideway motion mechanism, and connecting wires.</t>
  </si>
  <si>
    <t>Upper and lower travel motors not running, not connected</t>
  </si>
  <si>
    <t>Possible Reason: 1. Damaged motor 2. Plug-in disconnected 3. Connection wire disconnected
Checking Method: Check motors, plug-ins, connecting wires</t>
  </si>
  <si>
    <t>Kneading motor overload or short circuit</t>
  </si>
  <si>
    <t>Possible Reason: 1. Kneading motor drive circuit problem 2. Kneading motor failure, resulting in high current 3. Heavy load or other reasons make the motor blocked, resulting in excessive current.
Checking Method: Check the kneading motor, motion mechanism, and connecting wires.</t>
  </si>
  <si>
    <t>Kneading motor not running, not connected</t>
  </si>
  <si>
    <t>Kneading width detection origin not detected</t>
  </si>
  <si>
    <t>Possible Reason: 1. Kneading width detection sensor (photoelectric photocoupler or Hall switch) is damaged. 2. Kneading motor failure 3. Kneading drive circuit problem 4. Too heavy load or other reasons make the motor can't work normally.
Checking Method: 1. Replace the width detection board 2. Replace the detection signal line 3. Replace the motor</t>
  </si>
  <si>
    <t>Kneading motor turns not detected</t>
  </si>
  <si>
    <t>Possible Reason: 1. Kneading width detection sensor (photoelectric photocoupler or Hall switch) is damaged. 2. Kneading motor failure 3. Kneading drive circuit problem
Checking Method: 1. Replace the width detection board 2. Replace the detection signal line 3. Replace the motor</t>
  </si>
  <si>
    <t>Tapping motor not running, not connected</t>
  </si>
  <si>
    <t>AC</t>
  </si>
  <si>
    <t>Tapping motor blocking, overcurrent</t>
  </si>
  <si>
    <t>Possible Reason: 1. Problems with the tapping motor drive circuit 2. Failure of the tapping motor, resulting in excessive current. 3. Excessive load or other reasons cause the motor to be blocked, resulting in excessive current.
Checking Method: Check the tapping motor, motion mechanism, and connecting wires.</t>
  </si>
  <si>
    <t>No upper/lower limit signal is detected for a specified period of time during operation of the electric backrest lifting cylinder.</t>
  </si>
  <si>
    <t>Possible Reason: 1. The motor runs very slowly due to overload or other reasons. 2. Damaged upper and lower limit switches
Checking Method: 1. Check the inspection board 2. Check the connecting wire 3. Check limit switch 4. Check the load</t>
  </si>
  <si>
    <t>Backrest electric cylinder blocking, overcurrent</t>
  </si>
  <si>
    <t>Possible Reason: 1. Motor failure, resulting in excessive current 2. Excessive load or other reasons make the motor blocked, resulting in excessive current.
Checking Method: Check the electric cylinder motor, motion mechanism, and connecting wires.</t>
  </si>
  <si>
    <t>Backrest motorized cylinder not running, not connected</t>
  </si>
  <si>
    <t>B9</t>
  </si>
  <si>
    <t>Calf electric cylinder blocking, overcurrent</t>
  </si>
  <si>
    <t>Possible Reason: 1. Motor failure, resulting in excessive current. 2. Excessive load or other reasons make the motor blocked, resulting in excessive current.
Checking Method: Check the electric cylinder motor, motion mechanism, and connecting wires.</t>
  </si>
  <si>
    <t>Sole roller motor not running, not connected</t>
  </si>
  <si>
    <t>Possible Reason: 1. Damaged roller motor 2. Plug-in detached 3. Connection wire disconnected
Checking Method: Check motors, plug-ins, connecting wires</t>
  </si>
  <si>
    <t>Sole roller motor blocked, overloaded</t>
  </si>
  <si>
    <t>Possible Reason: 1. Damaged roller motor 2. Connecting wire short circuit
Checking Method: Check motors, plug-ins, connecting wires</t>
  </si>
  <si>
    <t>CA</t>
  </si>
  <si>
    <t>Air pump 1 not running, not connected</t>
  </si>
  <si>
    <t>Possible Reason: 1. Damaged air pump 2. Plug-in detached 3. Connection line disconnected
Checking Method: Check motors, plug-ins, connecting wires</t>
  </si>
  <si>
    <t>CC</t>
  </si>
  <si>
    <t>Backrest heating overload or short circuit</t>
  </si>
  <si>
    <t>Possible Reason: 1. Backrest heating drive circuit problem 2. Backrest heating overload or short circuit
Checking Method: Check heating drive circuit, heating wire</t>
  </si>
  <si>
    <t>CD</t>
  </si>
  <si>
    <t>Backrest heating open circuit</t>
  </si>
  <si>
    <t>Possible Reason: 1. Motherboard heating circuit failure 2. Heater open circuit, loose plug-in or broken wire
Checking Method: Check heating drive circuits, heating wires, inserts</t>
  </si>
  <si>
    <t>Switching Power Supply 24V Power Failure</t>
  </si>
  <si>
    <t>Possible Reason: 1. Switching power supply 24V output damage 2. Drive board or peripheral load short circuit
Checking Method: Check switching power supply, load</t>
  </si>
  <si>
    <t>Tap motor turns not detected</t>
  </si>
  <si>
    <t>Possible Reason: 1. Bad tapping motor or loose plugin 2. Beat the motor circle detection sensor bad or loose wires 3. Failure of tapping driving circuit
Checking Method: Replacement of the tapping motor, replacement of the tapping circle detection board, or replacement of the main board</t>
  </si>
  <si>
    <t>C1~C5</t>
  </si>
  <si>
    <t>kneading motor</t>
  </si>
  <si>
    <t>Possible Causes: 1. The MOS tube of the kneading motor is damaged and cannot be controlled. 2. Mainboard Fault, the number of turns cannot be detected, and the motor is over-current. 3. The robot connection cable is disconnected or the plug-in is loose.
Fault handling: Check whether the relevant accessories and wiring harness are in good condition, reassemble and replace them.</t>
  </si>
  <si>
    <t>Damage to the air pump MOS tube cannot be controlled</t>
  </si>
  <si>
    <t>Possible Causes: 1. The plug-in is loose 2. Mainboard Fault 3. The connection harness is open circuit
Fault handling: Check whether the relevant accessories and wiring harness are in good condition, reassemble and replace them.</t>
  </si>
  <si>
    <t>Air pump not running, not connected</t>
  </si>
  <si>
    <t>Air pump blocked, overflow</t>
  </si>
  <si>
    <t>Calf heating MOS tube is damaged and cannot be controlled</t>
  </si>
  <si>
    <t>CA/CB</t>
  </si>
  <si>
    <t>Calf heating not operating, not connected, or thermally protected</t>
  </si>
  <si>
    <t>E1~E3</t>
  </si>
  <si>
    <t>flapping motor</t>
  </si>
  <si>
    <t>Possible Causes: 1. The MOS tube of the slapping motor is damaged and cannot be controlled. 2. Mainboard Fault, the number of turns cannot be detected, and the motor is over-current. 3. The robot connection cable is disconnected or the plug-in is loose.
Fault handling: Check whether the relevant accessories and wiring harness are in good condition, reassemble and replace them.</t>
  </si>
  <si>
    <t>E4~E9</t>
  </si>
  <si>
    <t>calf electric cylinder</t>
  </si>
  <si>
    <t>Possible Causes: 1. Overload or other reasons cause the electric rod motor to run very slowly. 2. Mainboard Fault, plug-in is loose, motor overcurrent
Fault handling: Check whether the relevant accessories and wiring harness are in good condition, reassemble and replace them.</t>
  </si>
  <si>
    <t>EA~EF</t>
  </si>
  <si>
    <t>Backrest electric cylinder</t>
  </si>
  <si>
    <t>F1~F6</t>
  </si>
  <si>
    <t>walking motor</t>
  </si>
  <si>
    <t>Possible Causes: 1. The walking motor MOS tube is damaged and cannot be controlled. 2. Mainboard Fault, the number of turns cannot be detected, and the motor is over-current. 3. The robot connection cable is disconnected or the plug-in is loose.
Fault handling: Check whether the relevant accessories and wiring harness are in good condition, reassemble and replace them.</t>
  </si>
  <si>
    <t>Switching power supply 24V power supply failure</t>
  </si>
  <si>
    <t>Possible Causes: 1. The fuse is burned out and the power supply is loose. 2. Defective switching power supply
Fault handling: Check whether the relevant accessories and wiring harness are in good condition, reassemble and replace them.</t>
  </si>
  <si>
    <t>Robot 24V power supply Fault</t>
  </si>
  <si>
    <t>Possible Causes: 1. Defective switching power supply 2. Mainboard Fault 3. The plug-in is loose
Fault handling: Check whether the relevant accessories and wiring harness are in good condition, reassemble and replace them.</t>
  </si>
  <si>
    <t>Robot communication Fault</t>
  </si>
  <si>
    <t>Possible Causes: 1. Mainboard Fault 2. The plug-in is loose and the connection harness is disconnected. 3. Detection line Fault
Fault handling: Check whether the relevant accessories and wiring harness are in good condition, reassemble and replace them.</t>
  </si>
  <si>
    <t>FA~FC</t>
  </si>
  <si>
    <t>Back heating</t>
  </si>
  <si>
    <t>Possible Causes: 1. Mainboard Fault 2. The plug-in is loose and the connection harness is disconnected.
Fault handling: Check whether the relevant accessories and wiring harness are in good condition, reassemble and replace them.</t>
  </si>
  <si>
    <t>FD~FF</t>
  </si>
  <si>
    <t>roller motor</t>
  </si>
  <si>
    <t>Possible Causes: 1. The MOS tube of the roller motor is damaged and cannot be controlled. 2. Motor Fault. 3. Motor drive circuit problem 4. The motor cannot work normally due to excessive load or other reasons.
Fault handling: Check whether the relevant accessories and wiring harness are in good condition, reassemble and replace them.</t>
  </si>
  <si>
    <t>Causes: 1. kneading motor MOS tube damage can not be controlled 2. main PCB broken, coil number can not be detected, motor overcurrent 3. The manipulator connection wire is disconnected, or the plug-in is loose
Troubleshooting: Check whether the relevant accessories and wiring harness are in good condition, reassemble or replace</t>
  </si>
  <si>
    <t>Air pump MOS tube damaged can not be controlled</t>
  </si>
  <si>
    <t>Causes: 1. The plug-in is loose 2. The main PCB broken 3. Open circuit
Troubleshooting: Check whether the relevant accessories and wiring harness are in good condition, reassemble or replace</t>
  </si>
  <si>
    <t>The air pump is blocked and overflowed</t>
  </si>
  <si>
    <t>Causes: 1. The plug-in is loose 2. The main PCB broken 3. Open circuit, overflowerd
Troubleshooting: Check whether the relevant accessories and wiring harness are in good condition, reassemble or replace</t>
  </si>
  <si>
    <t>leg heating MOS tube damaged can not be controlled</t>
  </si>
  <si>
    <t>leg heating not running, not connected, or overheat protection</t>
  </si>
  <si>
    <t>tapping motor</t>
  </si>
  <si>
    <t>Causes: 1. taping motor MOS tube damage can not be controlled 2. main PCB broken, coil number can not be detected, motor overcurrent 3. The manipulator connection wire is disconnected, or the plug-in is loose
Troubleshooting: Check whether the relevant accessories and wiring harness are in good condition, reassemble or replace</t>
  </si>
  <si>
    <t>E4 ~ E9</t>
  </si>
  <si>
    <t>footrest cylinder</t>
  </si>
  <si>
    <t>Causes: 1. overload or other reasons make the electric cylinder motor running very slow 2. Main PCB broken, plugs loosen, motor overcurrent
Troubleshooting: Check whether the relevant accessories and wiring harness are in good condition, reassemble or replace</t>
  </si>
  <si>
    <t>backrest cylinder</t>
  </si>
  <si>
    <t>Causes: 1. overload or other reasons make the electric cylinder motor running very slow 2. Main PCB broken, plugs loosen, motor overcurrent.
Troubleshooting: Check whether the relevant accessories and wiring harness are in good condition, reassemble or replace</t>
  </si>
  <si>
    <t>F1 ~ F6</t>
  </si>
  <si>
    <t>Causes: 1. walking motor MOS tube damage can not be controlled 2. main PCB broken, coil number can not be detected, motor overcurrent 3. The manipulator connection wire is disconnected, or the plug-in is loose
Troubleshooting: Check whether the relevant accessories and wiring harness are in good condition, reassemble or replace</t>
  </si>
  <si>
    <t>24V power supply problem on the power board</t>
  </si>
  <si>
    <t>Causes: 1. The insurance is burnt out or the power cord is loose 2. power board broken
Troubleshooting: Check whether the relevant accessories and wiring harness are in good condition, reassemble or replace</t>
  </si>
  <si>
    <t>24V power supply problem on the manipulator</t>
  </si>
  <si>
    <t>Causes: 1. Power board broken 2. Main PCB broken 3. The plug-in is loose
Troubleshooting: Check whether the relevant accessories and wiring harness are in good condition, reassemble or replace</t>
  </si>
  <si>
    <t>Manipulator communication problem</t>
  </si>
  <si>
    <t>Causes: 1. Main PCB broken 2. The plug-in is loose, wiring harness is disconnected 3. Detecting line has problem
Troubleshooting: Check whether the relevant accessories and wiring harness are in good condition, reassemble or replace</t>
  </si>
  <si>
    <t>back heating</t>
  </si>
  <si>
    <t>Causes: 1. Main PCB broken 2. The plug-in is loose, wiring harness is disconnected
Troubleshooting: Check whether the relevant accessories and wiring harness are in good condition, reassemble or replace</t>
  </si>
  <si>
    <t>foot roller</t>
  </si>
  <si>
    <t>Causes: 1. Roller motor MOS tube damage can not be controlled. 2. Motor broken. 3. Motor drive circuit problem 4. Overload or other reasons
Troubleshooting: Check whether the relevant accessories and wiring harness are in good condition, reassemble or replace</t>
  </si>
  <si>
    <t>Fault: Communication error of quick keys on armrest
Possible Causes:
1. Quick key board failure.</t>
  </si>
  <si>
    <t>Check the key board, drive board, and connectors for looseness and replace related components if necessary.</t>
  </si>
  <si>
    <t>B2, B4</t>
  </si>
  <si>
    <t>Fault Description: Backrest heating does not work
Possible Causes:
1. Backrest heating drive circuit issue. 2. Overload or short circuit of the backrest heating. 3. Fault in the mainboard heating circuit. 4. The heater is open-circuited, the plug-in is loose or the wire is broken.</t>
  </si>
  <si>
    <t>Check the drive board, backrest pad, heating wire connector, and harness for looseness and replace related components.</t>
  </si>
  <si>
    <t>Fault Description: Foot roller motor does not work
Possible Causes:
1. Foot roller motor drive circuit issue. 2. The foot roller motor malfunctioned, causing excessive current. 3. Excessive current is caused by motor blockage due to excessive load or other reasons.</t>
  </si>
  <si>
    <t>Check the calf junction board motor connector, drive board connector, harness, and motor for looseness and replace related components.</t>
  </si>
  <si>
    <t>Fault Description: Air pump does not work
Possible Causes:
1. Air pump drive circuit issue. 2. The air pump malfunctions, causing excessive current. 3. Excessive current occurs when the air pump is blocked due to overloading or other reasons.</t>
  </si>
  <si>
    <t>Check the drive board and air pump for looseness and replace related components.</t>
  </si>
  <si>
    <t>BB, BC</t>
  </si>
  <si>
    <t>Fault Description: Calf heating does not work
Possible Causes:
1. Calf heating drive circuit issue. 2. Overload or short circuit of the calf heating. 3. Fault in the mainboard heating circuit. 4. The heater is open-circuited, the plug-in is loose or the wire is broken.</t>
  </si>
  <si>
    <t>Check the calf junction board connector, drive board connector, harness, and heating wire for looseness and replace related components.</t>
  </si>
  <si>
    <t>Fault: Communication error between mechanical hand and main board
Possible Causes:
1. J31 mechanical hand failure.</t>
  </si>
  <si>
    <t>Check the mechanical hand drive board, drive board, wiring, and connectors for looseness and replace related components if necessary.</t>
  </si>
  <si>
    <t>E0, E1, E2, E3</t>
  </si>
  <si>
    <t>Fault Description: Footrest does not lift
Possible Causes:
1. Travel detection Hall element damaged. 2. Motor failure. 3. Motor drive circuit issues. 4. The motor fails to work properly due to excessive load or other reasons. 5. The upper and lower limit switch wires are not properly connected. 6. The upper and lower limit switches are damaged (one or two).</t>
  </si>
  <si>
    <t>Replace the electric cylinder of the lower leg, the drive board, and inspect the connection plug-in and wiring harness of the electric cylinder.</t>
  </si>
  <si>
    <t>E4, E5, E6, E7</t>
  </si>
  <si>
    <t>Fault Description: Backrest does not lift
Possible Causes:
1. Circle detection Hall element damaged. 2. Motor failure. 3. Motor drive circuit issues. 4. The motor fails to work properly due to excessive load or other reasons.</t>
  </si>
  <si>
    <t>Replace the backrest electric cylinder and drive board, and check whether the wiring harness and plug-in of the backrest electric cylinder are properly connected.</t>
  </si>
  <si>
    <t>F0~F4</t>
  </si>
  <si>
    <t>Fault Description: stretch motor has problem
Possible Causes:
1. Problems with the drive circuit of the telescopic motor. 2. The telescopic motor malfunctioned, causing excessive current. 3. The detection plate for the number of turns that can be extended or retracted is damaged. 4. Check if the magnet for the telescopic detection has fallen off.</t>
  </si>
  <si>
    <t>Check whether the stretch detection board, stretch motor, stretch upper and lower magnets, the drive circuit of the mechanical hand drive board and related plug-ins are loose and in good condition, and replace the relevant parts.</t>
  </si>
  <si>
    <t>F6~F8</t>
  </si>
  <si>
    <t>Fault: Kneading width detection signal not detected
Possible Causes:
1. Kneading width detection photoelectric pair 1/2 is damaged.</t>
  </si>
  <si>
    <t>Check the width detection board, kneading motor, mechanical hand drive board drive circuit, and associated connectors for looseness and replace related components if necessary.</t>
  </si>
  <si>
    <t>Fault: Overload or short circuit in travel motor drive circuit
Possible Causes:
1. Travel motor drive circuit issues.</t>
  </si>
  <si>
    <t>Check the circle detection board, travel motor, mechanical hand drive board drive circuit, and associated connectors for looseness and replace related components if necessary.</t>
  </si>
  <si>
    <t>FA, F5</t>
  </si>
  <si>
    <t>Fault Description: Tapping motor has problem
Possible Causes:
1. There is a problem with the motor drive circuit. 2. The tapping motor malfunctioned, causing excessive current. 3. Excessive current is caused by motor blockage due to overloading or other reasons.</t>
  </si>
  <si>
    <t>Check whether the width detection board, the tapping motor, the drive circuit of the massage hand drive board and the related plug-ins are loose and in good condition, and replace the relevant accessories.</t>
  </si>
  <si>
    <t>Fault: Mechanical hand limit switch detected simultaneously
Possible Causes:
1. Upper and lower limit switch wires are not properly connected.</t>
  </si>
  <si>
    <t>Check the magnet holder, magnet, and travel detection board connectors for looseness and replace related components if necessary.</t>
  </si>
  <si>
    <t>FC, FD</t>
  </si>
  <si>
    <t>Fault: Upper travel position not detected / Lower travel position not detected
Possible Causes:
1. Upper and lower position signal wires are not properly connected.</t>
  </si>
  <si>
    <t>Fault: Shoulder position detection signal not detected
Possible Causes:
1. Shoulder position detection slot-type optocoupler is damaged.</t>
  </si>
  <si>
    <t>Check the shoulder detection board, connectors, and mechanical hand drive board for looseness and replace related components if necessary.</t>
  </si>
  <si>
    <t>B1~B6</t>
  </si>
  <si>
    <t>Fault Description: No stretching function
Possible Reasons:
* B1: footrest stretch motor MOS tube damage can not be controlled
- B2: footrest stretch motor not running, not connected
- B3: footrest stretch motor not running, not connected
- B4: footrest stretch motor limit detection error (stretch limit detection board is not connected or damaged)
- B5: the circle number of the footrest stretch motor can’t be detected
- B6: footrest stretch motor runs out of time</t>
  </si>
  <si>
    <t>1. replace a new footrest stretch motor
2. replace a new footrest PCB
3. replace a footrest travel stroke detection board
4. replace a new footrest circle number detection board</t>
  </si>
  <si>
    <t>B7~B9, BA~BC</t>
  </si>
  <si>
    <t>Fault Description: massage hand stretch not work
Possible Reasons:
* B7: 3D stretch motor MOS tube damage can not be controlled
- B8: 3D stretch motor not running, not connected
- B9: 3D stretch motor is blocked and overcurrent
- BA: 3D stretch limit detection error (stretch limit detection board is not connected or damaged)
- BB: the circle number of the 3D stretch motor can’t be detected
- BC: 3D stretch motor runs out of time</t>
  </si>
  <si>
    <t>1. replace a new 3D stretch motor
2. replace a new stretch detection board
3. replace a new massage hand PCB</t>
  </si>
  <si>
    <t>Fault Description: kneading motor
Possible Reasons:
* C1: Kneading motor circle number is not detected
- C2: Kneading motor origin place cannot be detected
- C3: Kneading motor blocking, overcurrent
- C4: Kneading motor not running, not connected
- C5: Kneading motor MOS tube damage can not be controlled</t>
  </si>
  <si>
    <t>1. replace a new kneading motor
2. replace a new massage hand PCB
3. replace a new width detection board
4. replace a new kneading circle number detection board</t>
  </si>
  <si>
    <t>C6~C8</t>
  </si>
  <si>
    <t>Fault Description: Part of the airbags don’t work
Possible Reasons:
* C6: air pump MOS tube damage can not be controlled
- C7: air pump not running, not connected
- C8: air pump is blocked and overcurrent</t>
  </si>
  <si>
    <t>1. replace a new PCB
2. replace a new air pump
3. replace a new PCB on the right armrest</t>
  </si>
  <si>
    <t>Fault Description: footrest not work
Possible Reasons:
CF: Footrest communication problem</t>
  </si>
  <si>
    <t>1. replace a new footrest PCB
3. replace a new PCB</t>
  </si>
  <si>
    <t>Fault Description: tapping motor
Possible Reasons:
* E1: The tapping motor is blocked and overcurrent
- E2: tapping motor not running, not connected
- E3: tapping motor MOS tube damage can not be controlled</t>
  </si>
  <si>
    <t>1. replace a new tapping motor
2. replace a new massage hand PCB</t>
  </si>
  <si>
    <t>Fault Description: No footrest lifting function
Possible Reasons:
* E4: footrest lifting motor MOS tube damage can not be controlled
- E5: footrest lifting motor not running, not connected
- E6: footrest lifting motor is blocked and overcurrent
- E7: footrest lifting motor limit detection error (travel limit detection board is not connected or damaged)
- E8: the circle number of the footrest lifting motor can’t be detected
- E9: footrest lifting motor runs out of time</t>
  </si>
  <si>
    <t>1. replace a new footrest lifting motor
2. replace a new PCB</t>
  </si>
  <si>
    <t>Fault Description: No backrest lifting function
Possible Reasons:
* EA: backrest lifting motor MOS tube damage can not be controlled
- EB: backrest lifting motor not running, not connected
- EC: backrest lifting motor is blocked and overcurrent
- ED: backrest lifting motor limit detection error (travel limit detection board is not connected or damaged)
- EE: the circle number of the backrest lifting motor can’t be detected
- EF: backrest lifting motor runs out of time</t>
  </si>
  <si>
    <t>1. replace a new backrest lifting motor
2. replace a new PCB</t>
  </si>
  <si>
    <t>Fault Description: walking motor
Possible Reasons:
* F1: Walking motor circle number is not detected
- F2: Travel limit detection error (travel limit detection board is not connected or damaged)
- F3: The walking motor is blocked and overcurrent
- F4: Walking motor not running, not connected
- F5: Walking motor runs out of time
- F6: Walking motor MOS tube damage can not be controlled</t>
  </si>
  <si>
    <t>1. replace a new walking motor
2. replace a new massage hand PCB
3. replace a new travel circle number detection board
4. replace a new travel stroke detection board</t>
  </si>
  <si>
    <t>Fault Description: no power
Possible Reasons:
F7: The 24V switching power supply has problem</t>
  </si>
  <si>
    <t>1. replace a new power board
2. replace a new remote
3. replace a new PCB
4. replace a new fuse</t>
  </si>
  <si>
    <t>Fault Description: massage hand don’t work
Possible Reasons:
F9: massage hand communication failure</t>
  </si>
  <si>
    <t>1. replace a new massage hand PCB
2. replace a new PCB</t>
  </si>
  <si>
    <t>Fault Description: No back heating function
Possible Reasons:
* FA: back heating MOS tube damage can not be controlled
- FB: not running, not connected or thermal protection
- FC: back heating overcurrent protection</t>
  </si>
  <si>
    <t>1. replace a new heating part
2. back heating</t>
  </si>
  <si>
    <t>Fault Description: No foot roller function
Possible Reasons:
* FD: foot roller motor MOS tube damage can not be controlled
- FE: foot roller motor not running, not connected
- FF: foot roller motor is blocked and overcurrent</t>
  </si>
  <si>
    <t>1. replace a new foot roller motor
2. replace a new footrest PCB</t>
  </si>
  <si>
    <t>01</t>
  </si>
  <si>
    <t>Meaning: No Function When Starting.
Description: The LCD isn't illuminating:
1. Fuse(s) burn out (the one is in the Power Source Box and the other one on the main PCB).
2. Power supply circuit poorly connected.
3. EMC Board fails.
4. main PCB fails.</t>
  </si>
  <si>
    <t>1. Replace Fuse(s).
2. Replace the power supply cord.
3. Replace EMC Board.
4. Replace main PCB.
Refer to: 1. Page 25/20 2. (Ellipsis) 3. &amp; 4. Page 23-24/18</t>
  </si>
  <si>
    <t>02</t>
  </si>
  <si>
    <t>Meaning: No function when starting.
Description: The LCD is illuminating:
1. The Up or Down Stroke Photo-electricity fails. Main PCB fails.
2. Kneading is on without pressing any key when starting and no response by pressing other keys.</t>
  </si>
  <si>
    <t>1. Replace the Up or Down Stroke Photo-electricity.
2. Replace the main PCB.
3. Width Inspection Board of PCB fails, replace it.
Refer to: 1. Page 19/8 2. Page 23-24/18 3. Page 18/7.1</t>
  </si>
  <si>
    <t>03</t>
  </si>
  <si>
    <t>Meaning: No Width switchover.
Description: 1. The terminals of Width Inspection on main PCB and wires are poorly connected. 2. The terminals of Width Inspection on massage mechanical and wires are poorly connected. 3. Width Inspection fails. 4. Main PCB fails.</t>
  </si>
  <si>
    <t>Troubleshooting Steps: 1. &amp; 2. Plug the terminal securely or replace the wires. 3. Replace Width Inspection. 4. Replace the main PCB.
Refer to: 1. &amp; 2. &amp; 3. Page 18/7.1 4. Page 23-24/18</t>
  </si>
  <si>
    <t>04</t>
  </si>
  <si>
    <t>Meaning: No Rolling.
Description: 1. Terminal or Wire Poorly Contacts. 2. Down-stroke Photo-Electricity Subassembly Fails. 3. Up-stroke Photo-electricity Subassembly Fails. 4. Rolling Motor Fails. 5. Main PCB Fails.</t>
  </si>
  <si>
    <t>Troubleshooting Steps: 1. Plug the terminal securely or replace the wires. 2. Replace Down-Stroke Subassembly. 3. Replace Up-Stroke Subassembly. 4. Replace Rolling Motor. 5. Replace main PCB.
Refer to: 1. Page 23-24/18 2. &amp; 3. Page 19/8 4. Page 17/6.2 5. Page 23-24/18</t>
  </si>
  <si>
    <t>05</t>
  </si>
  <si>
    <t>Meaning: No kneading.
Description: 1. The terminals on main PCB and wires are poorly connected. 2. Kneading motor fails. 3. Main PCB fails.</t>
  </si>
  <si>
    <t>Troubleshooting Steps: 1. Plug the terminal securely or replace the wires. 2. Replace the kneading motor. 3. Replace main PCB.
Refer to: 1. &amp; 3. Page 23-24/18 2. Page 16-17/6.1</t>
  </si>
  <si>
    <t>06</t>
  </si>
  <si>
    <t>Meaning: No tapping.
Description: 1. The terminals on main PCB and wires are poorly connected. 2. Tapping motor fails. 3. Main PCB fails.</t>
  </si>
  <si>
    <t>Troubleshooting Steps: 1. Plug the terminal securely. 2. Replace the tapping motor. 3. Replace main PCB.
Refer to: 1. &amp; 3. Page 23-24/18 2. Page 18/6.3</t>
  </si>
  <si>
    <t>07</t>
  </si>
  <si>
    <t>Meaning: No response when pressing the keys on the remote controller.
Description: 1. The terminals and wires are poorly connected. 2. The PCB in the remote controller fails.</t>
  </si>
  <si>
    <t>Troubleshooting Steps: 1. Plug the terminal securely or replace the wires. 2. Replace the remote controller.
Refer to: 1. Page 20/11 2. Page 20/10</t>
  </si>
  <si>
    <t>08</t>
  </si>
  <si>
    <t>Meaning: Back rest cannot be reclined or raised.
Description: 1. The terminals of reclining actuator and wires are poorly connected. 2. The reclining actuator fails. 3. Main PCB fails.</t>
  </si>
  <si>
    <t>Troubleshooting Steps: 1. Plug the terminal securely. 2. Replace reclining actuator. 3. Replace main PCB.
Refer to: 1. &amp; 2. Page 22/15 2. Page 23-24/18</t>
  </si>
  <si>
    <t>09</t>
  </si>
  <si>
    <t>Meaning: Foot rest cannot be raised or lowered.
Description: 1. The terminals of foot rest actuator and wires are poorly connected. 2. The foot rest actuator fails. 3. Main PCB fails.</t>
  </si>
  <si>
    <t>Troubleshooting Steps: 1. Plug the terminal securely. 2. Replace foot rest actuator. 3. Replace main PCB.
Refer to: 1. &amp; 2. Page 22-23/16 2. Page 23-24/18</t>
  </si>
  <si>
    <t>Meaning: No gas charging in the seat-pad.
Description: 1. The terminal of the snuffle valves and wires are poorly connected. 2. The snuffle valves fail. 3. The inflator pump fails. 4. Main PCB fails.</t>
  </si>
  <si>
    <t>Troubleshooting Steps: 1. Plug the terminal securely. 2. Replace the snuffle valves. 3. Replace the inflator pump. 4. Replace main PCB.
Refer to: 1. &amp; 2. &amp; 3. Page 24/19 4. Page 23-24/18</t>
  </si>
  <si>
    <t>Meaning: No gas charging in the foot rest.
Description: 1. The terminal of the snuffle valves and wires are poorly connected. 2. The snuffle valves fail. 3. The inflator pump fails. 4. Main PCB fails.</t>
  </si>
  <si>
    <t>Meaning: No gas charging in the veil for backrest.
Description: 1. The terminal of the snuffle valves and wires are poorly connected. 2. The snuffle valves fail. 3. The inflator pump fails. 4. Main PCB fails.</t>
  </si>
  <si>
    <t>Troubleshooting Steps: 1. Plug the terminal well. 2. Replace the snuffle valves. 3. Replace the inflator pump. 4. Replace main PCB.
Refer to: 1. &amp; 2. &amp; 3. Page 24/19 4. Page 23-24/18</t>
  </si>
  <si>
    <t>Meaning: No extending Or shrinking of the calves-rest.
Description: 1. The terminals and wires are poorly connected. 2. The output voltage is not 24VAC. 3. The limit sensor fail. 4. Motor fails.</t>
  </si>
  <si>
    <t>Troubleshooting Steps: 1. Plug the terminal well. 2. Replace the main PCB. 3. Replace the limit sensor. 4. Replace the motor.
Refer to: 1. Page 25/22 2. Page 23-24/18 3. Page 27/24 4. Page 26-27/23</t>
  </si>
  <si>
    <r>
      <rPr>
        <rFont val="Arial"/>
        <color theme="1"/>
      </rPr>
      <t xml:space="preserve">Meaning: remote control tested any key pressed more than 40 seconds
Description: 1. one of the KEY has been blocked.
</t>
    </r>
    <r>
      <rPr>
        <rFont val="Arial"/>
        <b/>
        <color rgb="FFFF0000"/>
      </rPr>
      <t>Timer Display: [Timer Display: 5-minute dot is lit yellow]</t>
    </r>
    <r>
      <rPr>
        <rFont val="Arial"/>
        <color theme="1"/>
      </rPr>
      <t xml:space="preserve">
Action: turn on the chair</t>
    </r>
  </si>
  <si>
    <t>1. check the key of the remote control</t>
  </si>
  <si>
    <r>
      <rPr>
        <rFont val="Arial"/>
        <color theme="1"/>
      </rPr>
      <t>Meaning: remote control did not connected more than 4s.
Description: 1. remote control wire is broken or the remote control is disconnected</t>
    </r>
    <r>
      <rPr>
        <rFont val="Arial"/>
        <b/>
        <color rgb="FFFF0000"/>
      </rPr>
      <t xml:space="preserve">
Timer Display: [Timer Display: 10-minute dot is lit yellow</t>
    </r>
    <r>
      <rPr>
        <rFont val="Arial"/>
        <color theme="1"/>
      </rPr>
      <t>]
Action: turn on the chair</t>
    </r>
  </si>
  <si>
    <t>1. reconnecte the remote control or change the remote control wire.</t>
  </si>
  <si>
    <r>
      <rPr>
        <rFont val="Arial"/>
        <color theme="1"/>
      </rPr>
      <t>Meaning: backrest signal is abnormity
Description: 1. backrest wire (black) is not well connected. 2. up &amp; down limit sensor is broken
Ti</t>
    </r>
    <r>
      <rPr>
        <rFont val="Arial"/>
        <b/>
        <color rgb="FFFF0000"/>
      </rPr>
      <t>mer Display: [Timer Display: 5 and 10-minute dots are lit yellow]
A</t>
    </r>
    <r>
      <rPr>
        <rFont val="Arial"/>
        <color theme="1"/>
      </rPr>
      <t>ction: turn on the chair</t>
    </r>
  </si>
  <si>
    <t>1. check whether the backrest wire (black) is well connected 2. change the up &amp; down limit sensor</t>
  </si>
  <si>
    <r>
      <rPr>
        <rFont val="Arial"/>
        <color theme="1"/>
      </rPr>
      <t xml:space="preserve">Meaning: backrest signal is abnormity
Description: 1. backrest wire (black) is not well connected. 2. the counting sensor of the rolling motor is broken
</t>
    </r>
    <r>
      <rPr>
        <rFont val="Arial"/>
        <b/>
        <color rgb="FFFF0000"/>
      </rPr>
      <t>Timer Display: [Timer Display: 15-minute dot is lit yellow]
Ac</t>
    </r>
    <r>
      <rPr>
        <rFont val="Arial"/>
        <color theme="1"/>
      </rPr>
      <t>tion: start the rolling function</t>
    </r>
  </si>
  <si>
    <t>1. check whether the backrest wire (black) is well connected 2. change the counting sensor of the rolling motor</t>
  </si>
  <si>
    <r>
      <rPr>
        <rFont val="Arial"/>
        <color theme="1"/>
      </rPr>
      <t xml:space="preserve">Meaning: tested more than 2 wideth inspection signal
Description: 1. wideth inspection board is broken 2. wideth inspection wire is not well connected
</t>
    </r>
    <r>
      <rPr>
        <rFont val="Arial"/>
        <b/>
        <color rgb="FFFF0000"/>
      </rPr>
      <t>Timer Display: [Timer Display: 5 and 15-minute dots are lit yellow]</t>
    </r>
    <r>
      <rPr>
        <rFont val="Arial"/>
        <color theme="1"/>
      </rPr>
      <t xml:space="preserve">
Action: start the rolling function</t>
    </r>
  </si>
  <si>
    <t>1. change wideth inspection board 2. change backrest wires. (black)</t>
  </si>
  <si>
    <r>
      <rPr>
        <rFont val="Arial"/>
        <color theme="1"/>
      </rPr>
      <t xml:space="preserve">Meaning: more than 5 seconds did not tested the wide signal
Description: 1. wideth inspection board is broken 2. the wire connect to the wideth inspection board is disconnected 3. kneading motor is broken or kneading belt is lost
</t>
    </r>
    <r>
      <rPr>
        <rFont val="Arial"/>
        <b/>
        <color rgb="FFFF0000"/>
      </rPr>
      <t>Timer Display: [Timer Display: 15 and 20-minute dots are lit yellow]</t>
    </r>
    <r>
      <rPr>
        <rFont val="Arial"/>
        <color theme="1"/>
      </rPr>
      <t xml:space="preserve">
Action: enter auto-check model</t>
    </r>
  </si>
  <si>
    <t>1. change wideth inspection board 2. change backrest wires. (black and gray) 3. change kneading motor</t>
  </si>
  <si>
    <r>
      <rPr>
        <rFont val="Arial"/>
        <color theme="1"/>
      </rPr>
      <t xml:space="preserve">Meaning: more than 5 seconds did not tested the middle signal
Description: 1. wideth inspection board is broken 2. the wire connect to the wideth inspection board is disconnected 3. kneading motor is broken or kneading belt is lost
</t>
    </r>
    <r>
      <rPr>
        <rFont val="Arial"/>
        <b/>
        <color rgb="FFFF0000"/>
      </rPr>
      <t xml:space="preserve">Timer Display: [Timer Display: 5, 15, and 20-minute dots are lit yellow]
</t>
    </r>
    <r>
      <rPr>
        <rFont val="Arial"/>
        <color theme="1"/>
      </rPr>
      <t>Action: enter auto-check model</t>
    </r>
  </si>
  <si>
    <r>
      <rPr>
        <rFont val="Arial"/>
        <color theme="1"/>
      </rPr>
      <t xml:space="preserve">Meaning: more than 5 seconds did not tested the narrow signal
Description: 1. wideth inspection board is broken 2. the wire connect to the wideth inspection board is disconnected 3. kneading motor is broken or kneading belt is lost
</t>
    </r>
    <r>
      <rPr>
        <rFont val="Arial"/>
        <b/>
        <color rgb="FFFF0000"/>
      </rPr>
      <t xml:space="preserve">Timer Display: [Timer Display: 10, 15, and 20-minute dots are lit yellow]
</t>
    </r>
    <r>
      <rPr>
        <rFont val="Arial"/>
        <color theme="1"/>
      </rPr>
      <t>Action: enter auto-check model</t>
    </r>
  </si>
  <si>
    <r>
      <rPr>
        <rFont val="Arial"/>
        <color theme="1"/>
      </rPr>
      <t>Meaning: more than 10 seconds didn't tested kneading signal
Description: 1. Main PCB is broken
Ti</t>
    </r>
    <r>
      <rPr>
        <rFont val="Arial"/>
        <b/>
        <color rgb="FFFF0000"/>
      </rPr>
      <t>mer Display: [Timer Display: 20-minute dot is lit yellow]
Acti</t>
    </r>
    <r>
      <rPr>
        <rFont val="Arial"/>
        <color theme="1"/>
      </rPr>
      <t>on: enter auto-check model</t>
    </r>
  </si>
  <si>
    <t>1. change PCB</t>
  </si>
  <si>
    <r>
      <rPr>
        <rFont val="Arial"/>
        <color theme="1"/>
      </rPr>
      <t>Meaning: tested signals from up &amp; down limit sensor at the same time.
Description: 1. up &amp; down limit sensor are broken 2. backrest wire (black) is disconnected.
Ti</t>
    </r>
    <r>
      <rPr>
        <rFont val="Arial"/>
        <b/>
        <color rgb="FFFF0000"/>
      </rPr>
      <t>mer Display: [Timer Display: 5 and 20-minute dots are lit yellow]
A</t>
    </r>
    <r>
      <rPr>
        <rFont val="Arial"/>
        <color theme="1"/>
      </rPr>
      <t>ction: enter auto-check model</t>
    </r>
  </si>
  <si>
    <t>1. Change up &amp; down limit sensor 2. check whether the backrest wire (black) is well connected</t>
  </si>
  <si>
    <r>
      <rPr>
        <rFont val="Arial"/>
        <color theme="1"/>
      </rPr>
      <t>Meaning: more than 40s didn't tested the signal from the up limit sensor
Description: 1. upper limit sensor is broken. 2. backrest wires (black and gray) are disconnected 3. rolling motor is broken or rolling motor wire disconnected
T</t>
    </r>
    <r>
      <rPr>
        <rFont val="Arial"/>
        <b/>
        <color rgb="FFFF0000"/>
      </rPr>
      <t>imer Display: [Timer Display: 10 and 20-minute dots are lit green]</t>
    </r>
    <r>
      <rPr>
        <rFont val="Arial"/>
        <color theme="1"/>
      </rPr>
      <t xml:space="preserve">
Action: enter auto-check model</t>
    </r>
  </si>
  <si>
    <t>1. change upper limit sensor 2. check whether the backrest wire (black) is well connected. 3. change rolling motor or rolling motor wire.</t>
  </si>
  <si>
    <r>
      <rPr>
        <rFont val="Arial"/>
        <color theme="1"/>
      </rPr>
      <t>Meaning: height counting signal error
Description: 1. the counting sensor of the rolling motor is broken 2. backrest wire (black) is disconnected</t>
    </r>
    <r>
      <rPr>
        <rFont val="Arial"/>
        <b/>
        <color rgb="FFFF0000"/>
      </rPr>
      <t xml:space="preserve">
Timer Display: [Timer Display: 5, 10, and 20-minute dots are lit green]</t>
    </r>
    <r>
      <rPr>
        <rFont val="Arial"/>
        <color theme="1"/>
      </rPr>
      <t xml:space="preserve">
Action: enter auto-check model</t>
    </r>
  </si>
  <si>
    <t>1. change the counting sensor of the rolling motor. 2. check whether the backrest wire (black) is well connected.</t>
  </si>
  <si>
    <r>
      <rPr>
        <rFont val="Arial"/>
        <color theme="1"/>
      </rPr>
      <t>Meaning: after tested signal from up limit sensor then tested signal from down limit sensor in 2 seconds.
Description: 1. down limit sensor is broken
T</t>
    </r>
    <r>
      <rPr>
        <rFont val="Arial"/>
        <b/>
        <color rgb="FFFF0000"/>
      </rPr>
      <t>imer Display: [Timer Display: 25-minute dot is lit green]
Act</t>
    </r>
    <r>
      <rPr>
        <rFont val="Arial"/>
        <color theme="1"/>
      </rPr>
      <t>ion: enter auto-check model</t>
    </r>
  </si>
  <si>
    <t>1. change down limit sensor 2. check whether the backrest wire (black) is well connected. 3. change rolling motor</t>
  </si>
  <si>
    <r>
      <rPr>
        <rFont val="Arial"/>
        <color theme="1"/>
      </rPr>
      <t>Meaning: more than 40s didn't tested the signal from the up limit sensor
Description: 1. down limit sensor is broken 2. the backrest wire (black) is disconnected. 3. rolling motor is broken or disconnected</t>
    </r>
    <r>
      <rPr>
        <rFont val="Arial"/>
        <b/>
        <color rgb="FFFF0000"/>
      </rPr>
      <t xml:space="preserve">
Timer Display: [Timer Display: 5 and 25-minute dots are lit green</t>
    </r>
    <r>
      <rPr>
        <rFont val="Arial"/>
        <color theme="1"/>
      </rPr>
      <t>]
Action: enter auto-check model</t>
    </r>
  </si>
  <si>
    <r>
      <rPr>
        <rFont val="Arial"/>
        <color theme="1"/>
      </rPr>
      <t>Meaning: after tested signal from down limit sensor then tested signal from up limit sensor in 2 seconds.
Description: 1. upper limit sensor is broken.
T</t>
    </r>
    <r>
      <rPr>
        <rFont val="Arial"/>
        <b/>
        <color rgb="FFFF0000"/>
      </rPr>
      <t xml:space="preserve">imer Display: [Timer Display: 10 and 25-minute dots are lit green]
</t>
    </r>
    <r>
      <rPr>
        <rFont val="Arial"/>
        <color theme="1"/>
      </rPr>
      <t>Action: enter auto-check model</t>
    </r>
  </si>
  <si>
    <t>1. change upper limit sensor</t>
  </si>
  <si>
    <r>
      <rPr>
        <rFont val="Arial"/>
        <color theme="1"/>
      </rPr>
      <t>Meaning: can't test signal from foot rest recline actuator
Description: 1. foot rest recline actuator is broken 2. foot rest actuator motor wire is disconnected 3. the signal wire of foot rest actuator is disconnected</t>
    </r>
    <r>
      <rPr>
        <rFont val="Arial"/>
        <b/>
        <color rgb="FFFF0000"/>
      </rPr>
      <t>.
Timer Display: [Timer Display: 25 and 30-minute dots are lit yello</t>
    </r>
    <r>
      <rPr>
        <rFont val="Arial"/>
        <color theme="1"/>
      </rPr>
      <t>w]
Action: enter auto-check model</t>
    </r>
  </si>
  <si>
    <t>1. change foot rest recline actuator 2. check whether the foot rest recline actuator motor wire is well connected. 3. check whether the signal wire of foot rest actuator is well</t>
  </si>
  <si>
    <r>
      <rPr>
        <rFont val="Arial"/>
        <color theme="1"/>
      </rPr>
      <t xml:space="preserve">Meaning: when start the backrest recline actuator, there is no counting signal for more than 2.5 seconds
Description: 1. backrest recline actuator is broken 2. backrest recline actuator wire is disconnected 3. the signal wire of the backrest recline wire is disconnected
</t>
    </r>
    <r>
      <rPr>
        <rFont val="Arial"/>
        <b/>
        <color rgb="FFFF0000"/>
      </rPr>
      <t>Timer Display: [Timer Display: 20 and 25-minute dots are lit green]</t>
    </r>
    <r>
      <rPr>
        <rFont val="Arial"/>
        <color theme="1"/>
      </rPr>
      <t xml:space="preserve">
Action: enter auto-check model</t>
    </r>
  </si>
  <si>
    <t>1. change backrest recline actuator 2. check whether backrest recline actuator motor wire is well connected. 3. check whether the signal wire of the backrest recline actuator is well connected</t>
  </si>
  <si>
    <r>
      <rPr>
        <rFont val="Arial"/>
        <color theme="1"/>
      </rPr>
      <t xml:space="preserve">Meaning: remote control tested any key pressed more than 40 seconds
Description: 1. one of the KEY has been blocked.
</t>
    </r>
    <r>
      <rPr>
        <rFont val="Arial"/>
        <b/>
        <color rgb="FFFF0000"/>
      </rPr>
      <t>Timer Display: [Timer Display: 5-minute dot is lit yellow]</t>
    </r>
    <r>
      <rPr>
        <rFont val="Arial"/>
        <color theme="1"/>
      </rPr>
      <t xml:space="preserve">
Action: turn on the chair</t>
    </r>
  </si>
  <si>
    <r>
      <rPr>
        <rFont val="Arial"/>
        <color theme="1"/>
      </rPr>
      <t>Meaning: remote control did not connected more than 4s.
Description: 1. remote control wire is broken or the remote control is disconnected</t>
    </r>
    <r>
      <rPr>
        <rFont val="Arial"/>
        <b/>
        <color rgb="FFFF0000"/>
      </rPr>
      <t xml:space="preserve">
Timer Display: [Timer Display: 10-minute dot is lit yellow</t>
    </r>
    <r>
      <rPr>
        <rFont val="Arial"/>
        <color theme="1"/>
      </rPr>
      <t>]
Action: turn on the chair</t>
    </r>
  </si>
  <si>
    <r>
      <rPr>
        <rFont val="Arial"/>
        <color theme="1"/>
      </rPr>
      <t>Meaning: backrest signal is abnormity
Description: 1. backrest wire (black) is not well connected. 2. up &amp; down limit sensor is broken
Ti</t>
    </r>
    <r>
      <rPr>
        <rFont val="Arial"/>
        <b/>
        <color rgb="FFFF0000"/>
      </rPr>
      <t>mer Display: [Timer Display: 5 and 10-minute dots are lit yellow]
A</t>
    </r>
    <r>
      <rPr>
        <rFont val="Arial"/>
        <color theme="1"/>
      </rPr>
      <t>ction: turn on the chair</t>
    </r>
  </si>
  <si>
    <r>
      <rPr>
        <rFont val="Arial"/>
        <color theme="1"/>
      </rPr>
      <t xml:space="preserve">Meaning: backrest signal is abnormity
Description: 1. backrest wire (black) is not well connected. 2. the counting sensor of the rolling motor is broken
</t>
    </r>
    <r>
      <rPr>
        <rFont val="Arial"/>
        <b/>
        <color rgb="FFFF0000"/>
      </rPr>
      <t>Timer Display: [Timer Display: 15-minute dot is lit yellow]
Ac</t>
    </r>
    <r>
      <rPr>
        <rFont val="Arial"/>
        <color theme="1"/>
      </rPr>
      <t>tion: start the rolling function</t>
    </r>
  </si>
  <si>
    <r>
      <rPr>
        <rFont val="Arial"/>
        <color theme="1"/>
      </rPr>
      <t xml:space="preserve">Meaning: tested more than 2 wideth inspection signal
Description: 1. wideth inspection board is broken 2. wideth inspection wire is not well connected
</t>
    </r>
    <r>
      <rPr>
        <rFont val="Arial"/>
        <b/>
        <color rgb="FFFF0000"/>
      </rPr>
      <t>Timer Display: [Timer Display: 5 and 15-minute dots are lit yellow]</t>
    </r>
    <r>
      <rPr>
        <rFont val="Arial"/>
        <color theme="1"/>
      </rPr>
      <t xml:space="preserve">
Action: start the rolling function</t>
    </r>
  </si>
  <si>
    <r>
      <rPr>
        <rFont val="Arial"/>
        <color theme="1"/>
      </rPr>
      <t xml:space="preserve">Meaning: more than 5 seconds did not tested the wide signal
Description: 1. wideth inspection board is broken 2. the wire connect to the wideth inspection board is disconnected 3. kneading motor is broken or kneading belt is lost
</t>
    </r>
    <r>
      <rPr>
        <rFont val="Arial"/>
        <b/>
        <color rgb="FFFF0000"/>
      </rPr>
      <t>Timer Display: [Timer Display: 15 and 20-minute dots are lit yellow]</t>
    </r>
    <r>
      <rPr>
        <rFont val="Arial"/>
        <color theme="1"/>
      </rPr>
      <t xml:space="preserve">
Action: enter auto-check model</t>
    </r>
  </si>
  <si>
    <r>
      <rPr>
        <rFont val="Arial"/>
        <color theme="1"/>
      </rPr>
      <t xml:space="preserve">Meaning: more than 5 seconds did not tested the middle signal
Description: 1. wideth inspection board is broken 2. the wire connect to the wideth inspection board is disconnected 3. kneading motor is broken or kneading belt is lost
</t>
    </r>
    <r>
      <rPr>
        <rFont val="Arial"/>
        <b/>
        <color rgb="FFFF0000"/>
      </rPr>
      <t xml:space="preserve">Timer Display: [Timer Display: 5, 15, and 20-minute dots are lit yellow]
</t>
    </r>
    <r>
      <rPr>
        <rFont val="Arial"/>
        <color theme="1"/>
      </rPr>
      <t>Action: enter auto-check model</t>
    </r>
  </si>
  <si>
    <r>
      <rPr>
        <rFont val="Arial"/>
        <color theme="1"/>
      </rPr>
      <t xml:space="preserve">Meaning: more than 5 seconds did not tested the narrow signal
Description: 1. wideth inspection board is broken 2. the wire connect to the wideth inspection board is disconnected 3. kneading motor is broken or kneading belt is lost
</t>
    </r>
    <r>
      <rPr>
        <rFont val="Arial"/>
        <b/>
        <color rgb="FFFF0000"/>
      </rPr>
      <t xml:space="preserve">Timer Display: [Timer Display: 10, 15, and 20-minute dots are lit yellow]
</t>
    </r>
    <r>
      <rPr>
        <rFont val="Arial"/>
        <color theme="1"/>
      </rPr>
      <t>Action: enter auto-check model</t>
    </r>
  </si>
  <si>
    <r>
      <rPr>
        <rFont val="Arial"/>
        <color theme="1"/>
      </rPr>
      <t>Meaning: more than 10 seconds didn't tested kneading signal
Description: 1. Main PCB is broken
Ti</t>
    </r>
    <r>
      <rPr>
        <rFont val="Arial"/>
        <b/>
        <color rgb="FFFF0000"/>
      </rPr>
      <t>mer Display: [Timer Display: 20-minute dot is lit yellow]
Acti</t>
    </r>
    <r>
      <rPr>
        <rFont val="Arial"/>
        <color theme="1"/>
      </rPr>
      <t>on: enter auto-check model</t>
    </r>
  </si>
  <si>
    <r>
      <rPr>
        <rFont val="Arial"/>
        <color theme="1"/>
      </rPr>
      <t>Meaning: tested signals from up &amp; down limit sensor at the same time.
Description: 1. up &amp; down limit sensor are broken 2. backrest wire (black) is disconnected.
Ti</t>
    </r>
    <r>
      <rPr>
        <rFont val="Arial"/>
        <b/>
        <color rgb="FFFF0000"/>
      </rPr>
      <t>mer Display: [Timer Display: 5 and 20-minute dots are lit yellow]
A</t>
    </r>
    <r>
      <rPr>
        <rFont val="Arial"/>
        <color theme="1"/>
      </rPr>
      <t>ction: enter auto-check model</t>
    </r>
  </si>
  <si>
    <r>
      <rPr>
        <rFont val="Arial"/>
        <color theme="1"/>
      </rPr>
      <t>Meaning: more than 40s didn't tested the signal from the up limit sensor
Description: 1. upper limit sensor is broken. 2. backrest wires (black and gray) are disconnected 3. rolling motor is broken or rolling motor wire disconnected
T</t>
    </r>
    <r>
      <rPr>
        <rFont val="Arial"/>
        <b/>
        <color rgb="FFFF0000"/>
      </rPr>
      <t>imer Display: [Timer Display: 10 and 20-minute dots are lit green]</t>
    </r>
    <r>
      <rPr>
        <rFont val="Arial"/>
        <color theme="1"/>
      </rPr>
      <t xml:space="preserve">
Action: enter auto-check model</t>
    </r>
  </si>
  <si>
    <r>
      <rPr>
        <rFont val="Arial"/>
        <color theme="1"/>
      </rPr>
      <t>Meaning: height counting signal error
Description: 1. the counting sensor of the rolling motor is broken 2. backrest wire (black) is disconnected</t>
    </r>
    <r>
      <rPr>
        <rFont val="Arial"/>
        <b/>
        <color rgb="FFFF0000"/>
      </rPr>
      <t xml:space="preserve">
Timer Display: [Timer Display: 5, 10, and 20-minute dots are lit green]</t>
    </r>
    <r>
      <rPr>
        <rFont val="Arial"/>
        <color theme="1"/>
      </rPr>
      <t xml:space="preserve">
Action: enter auto-check model</t>
    </r>
  </si>
  <si>
    <r>
      <rPr>
        <rFont val="Arial"/>
        <color theme="1"/>
      </rPr>
      <t>Meaning: after tested signal from up limit sensor then tested signal from down limit sensor in 2 seconds.
Description: 1. down limit sensor is broken
T</t>
    </r>
    <r>
      <rPr>
        <rFont val="Arial"/>
        <b/>
        <color rgb="FFFF0000"/>
      </rPr>
      <t>imer Display: [Timer Display: 25-minute dot is lit green]
Act</t>
    </r>
    <r>
      <rPr>
        <rFont val="Arial"/>
        <color theme="1"/>
      </rPr>
      <t>ion: enter auto-check model</t>
    </r>
  </si>
  <si>
    <r>
      <rPr>
        <rFont val="Arial"/>
        <color theme="1"/>
      </rPr>
      <t>Meaning: more than 40s didn't tested the signal from the up limit sensor
Description: 1. down limit sensor is broken 2. the backrest wire (black) is disconnected. 3. rolling motor is broken or disconnected</t>
    </r>
    <r>
      <rPr>
        <rFont val="Arial"/>
        <b/>
        <color rgb="FFFF0000"/>
      </rPr>
      <t xml:space="preserve">
Timer Display: [Timer Display: 5 and 25-minute dots are lit green</t>
    </r>
    <r>
      <rPr>
        <rFont val="Arial"/>
        <color theme="1"/>
      </rPr>
      <t>]
Action: enter auto-check model</t>
    </r>
  </si>
  <si>
    <r>
      <rPr>
        <rFont val="Arial"/>
        <color theme="1"/>
      </rPr>
      <t>Meaning: after tested signal from down limit sensor then tested signal from up limit sensor in 2 seconds.
Description: 1. upper limit sensor is broken.
T</t>
    </r>
    <r>
      <rPr>
        <rFont val="Arial"/>
        <b/>
        <color rgb="FFFF0000"/>
      </rPr>
      <t xml:space="preserve">imer Display: [Timer Display: 10 and 25-minute dots are lit green]
</t>
    </r>
    <r>
      <rPr>
        <rFont val="Arial"/>
        <color theme="1"/>
      </rPr>
      <t>Action: enter auto-check model</t>
    </r>
  </si>
  <si>
    <r>
      <rPr>
        <rFont val="Arial"/>
        <color theme="1"/>
      </rPr>
      <t>Meaning: can't test signal from foot rest recline actuator
Description: 1. foot rest recline actuator is broken 2. foot rest actuator motor wire is disconnected 3. the signal wire of foot rest actuator is disconnected</t>
    </r>
    <r>
      <rPr>
        <rFont val="Arial"/>
        <b/>
        <color rgb="FFFF0000"/>
      </rPr>
      <t>.
Timer Display: [Timer Display: 25 and 30-minute dots are lit yello</t>
    </r>
    <r>
      <rPr>
        <rFont val="Arial"/>
        <color theme="1"/>
      </rPr>
      <t>w]
Action: enter auto-check model</t>
    </r>
  </si>
  <si>
    <r>
      <rPr>
        <rFont val="Arial"/>
        <color theme="1"/>
      </rPr>
      <t xml:space="preserve">Meaning: when start the backrest recline actuator, there is no counting signal for more than 2.5 seconds
Description: 1. backrest recline actuator is broken 2. backrest recline actuator wire is disconnected 3. the signal wire of the backrest recline wire is disconnected
</t>
    </r>
    <r>
      <rPr>
        <rFont val="Arial"/>
        <b/>
        <color rgb="FFFF0000"/>
      </rPr>
      <t>Timer Display: [Timer Display: 20 and 25-minute dots are lit green]</t>
    </r>
    <r>
      <rPr>
        <rFont val="Arial"/>
        <color theme="1"/>
      </rPr>
      <t xml:space="preserve">
Action: enter auto-check model</t>
    </r>
  </si>
  <si>
    <t>No function
A. LCD NO DISPLAY
1. Fuse melts (in the Power Source Box and main PCB)
2. Power supply circuit Poorly connected
3. EMC Board Failed
4. Main PCB failed
B. LCD HAS DISPLAY
1. Mechanical switch fails or it's wire is broken
2. Up or Down Stroke Photoelectricity was failed
3. Main PCB failed
4. kneading all the time from power and no response with other button</t>
  </si>
  <si>
    <t>For A (LCD NO DISPLAY):
1. Replace Fuse
2. Replace Power Box
3. Replace EMC Board
4. Replace main PCB
For B (LCD HAS DISPLAY):
1. replace mechanical switch or wire
2. Replace stroke photoelecruicity
3. Replace main PCB
4. Replace Width Inspection Board</t>
  </si>
  <si>
    <t>the Width switchover isn't change
1. The terminals of Width Inspection on main PCB with wires were poorly connected
2. The terminals of Width Inspection on mechanical with wires were poorly connected
3. Width Inspection failed
4. Main PCB failed</t>
  </si>
  <si>
    <t>1. &amp; 2. Plug the terminals well or replace the wires
2. Replace Width Inspection
3. Replace the main PCB</t>
  </si>
  <si>
    <t>NO Rolling
1. Terminals or Wire Poorly Contact
2. UP/Down-stroke Photoelectricitity Subassembly Failed
3. Rolling Motor Failed
4. Main PCB failed</t>
  </si>
  <si>
    <t>1. Plug the terminal well or replace the wires
2. Replace UP/Down-Stroke Subassembly
3. Replace gear box
4. Replace main PCB</t>
  </si>
  <si>
    <t>No kneading
1. The terminals on main PCB and wires are poorly connected
2. Kneading motor failed
3. Main PCB failed</t>
  </si>
  <si>
    <t>1. Plug the terminal well or replace the wires
2. Replace gear box
3. Replace main PCB</t>
  </si>
  <si>
    <t>No tapping
1. The terminals on main PCB and wires are poorly connected
2. Tapping motor faild
3. Main PCB failed</t>
  </si>
  <si>
    <t>1. Plug the terminal well
2. Replace gear box
3. Replace main PCB</t>
  </si>
  <si>
    <t>The all buttons of controller aren't response
1. The terminals and wires are poorly connected
2. The PCB in the controller failed</t>
  </si>
  <si>
    <t>1. Plug the terminal well or replace the wires
2. Replace the controller</t>
  </si>
  <si>
    <t>backrest can't recline or lift
1. The terminal of electrically operated pusher and wires are poorly connected
2. The electrically operated pusher failed
3. Main PCB failed</t>
  </si>
  <si>
    <t>1. Plug the terminal well
2. Replace the electrically operated pusher
3. Replace main PCB</t>
  </si>
  <si>
    <t>calves-rest can't lift or recline
1. The terminal of electrically operated pusher and wires are poorly connected
2. The electrically operated pusher failed
3. Main PCB failed</t>
  </si>
  <si>
    <t>1. Plug the terminal well
2. Replace the electrically operated pushe
3. Replace main PCB</t>
  </si>
  <si>
    <t>no gas charging in the calves-rest
1. The terminal of the snuffle valves and wires are poorly connected
2. The snuffle valves fail
3. The inflator pump failed
4. Main PCB fails</t>
  </si>
  <si>
    <t>1. Plug the terminal well
2. Replace the snuffle valves
3. Replace the inflator pump
4. Replace main PCB</t>
  </si>
  <si>
    <r>
      <rPr>
        <rFont val="Arial"/>
        <color theme="1"/>
      </rPr>
      <t xml:space="preserve">Meaning: remote control tested any key pressed more than 25 seconds
Description: 1. one of the KEY has been blocked.
</t>
    </r>
    <r>
      <rPr>
        <rFont val="Arial"/>
        <b/>
        <color rgb="FFFF0000"/>
      </rPr>
      <t>Timer Display: [Timer Display: 0 and 5-minute segments are lit orange]</t>
    </r>
    <r>
      <rPr>
        <rFont val="Arial"/>
        <color theme="1"/>
      </rPr>
      <t xml:space="preserve">
Remarks: turn on the chair</t>
    </r>
  </si>
  <si>
    <r>
      <rPr>
        <rFont val="Arial"/>
        <color theme="1"/>
      </rPr>
      <t>Meaning: remote control did not connected
Description: 1. the remote control wire is broken or the remote control wire is disconn</t>
    </r>
    <r>
      <rPr>
        <rFont val="Arial"/>
        <b/>
        <color rgb="FFFF0000"/>
      </rPr>
      <t xml:space="preserve">ected
Timer Display: [Timer Display: 0, 5, and 10-minute segments are lit </t>
    </r>
    <r>
      <rPr>
        <rFont val="Arial"/>
        <color theme="1"/>
      </rPr>
      <t>orange]
Remarks: turn on the chair</t>
    </r>
  </si>
  <si>
    <t>1. reconnecte the remote control wire or change the remote control wire.</t>
  </si>
  <si>
    <r>
      <rPr>
        <rFont val="Arial"/>
        <color theme="1"/>
      </rPr>
      <t xml:space="preserve">Meaning: backrest signal is abnormity
Description: 1. backrest wire(black) is not well connected. 2. up &amp; down limit sensor is </t>
    </r>
    <r>
      <rPr>
        <rFont val="Arial"/>
        <b/>
        <color rgb="FFFF0000"/>
      </rPr>
      <t>broken
Timer Display: [Timer Display: 0, 5, 10, and 15-minute segments are lit</t>
    </r>
    <r>
      <rPr>
        <rFont val="Arial"/>
        <color theme="1"/>
      </rPr>
      <t xml:space="preserve"> orange]
Remarks: turn on the chair</t>
    </r>
  </si>
  <si>
    <t>1. check whether the backrest wire(black) is well connected 2. change the up &amp; down limit sensor</t>
  </si>
  <si>
    <r>
      <rPr>
        <rFont val="Arial"/>
        <color theme="1"/>
      </rPr>
      <t xml:space="preserve">Meaning: backrest signal is abnormity
Description: 1. backrest wire(black) is not well connected. 2. the counting sensor of the rolling motor </t>
    </r>
    <r>
      <rPr>
        <rFont val="Arial"/>
        <b/>
        <color rgb="FFFF0000"/>
      </rPr>
      <t xml:space="preserve">is broken
Timer Display: [Timer Display: 0, 5, 10, 15, and 20-minute segments are </t>
    </r>
    <r>
      <rPr>
        <rFont val="Arial"/>
        <color theme="1"/>
      </rPr>
      <t>lit orange]
Remarks: activate the Rolling function</t>
    </r>
  </si>
  <si>
    <t>1. check whether the backrest wire(black) is well connected 2. change the counting sensor of the rolling motor</t>
  </si>
  <si>
    <r>
      <rPr>
        <rFont val="Arial"/>
        <color theme="1"/>
      </rPr>
      <t xml:space="preserve">Meaning: tested more than 2 wideth inspection signal
Description: 1. wideth inspection board is broken 2. wideth inspection wire is not well </t>
    </r>
    <r>
      <rPr>
        <rFont val="Arial"/>
        <b/>
        <color rgb="FFFF0000"/>
      </rPr>
      <t xml:space="preserve">connected
Timer Display: [Timer Display: 0, 5, 10, 15, 20, 25, and 30-minute segments are </t>
    </r>
    <r>
      <rPr>
        <rFont val="Arial"/>
        <color theme="1"/>
      </rPr>
      <t>lit orange]
Remarks: activate the Rolling function</t>
    </r>
  </si>
  <si>
    <r>
      <rPr>
        <rFont val="Arial"/>
        <color theme="1"/>
      </rPr>
      <t>Meaning: nore than 5 seconds did not tested the wide signal
Description: 1. wideth inspection board is broken 2. the wire connect to the wideth inspection board is disconnected 3. kneading motor is broken or kneading b</t>
    </r>
    <r>
      <rPr>
        <rFont val="Arial"/>
        <b/>
        <color rgb="FFFF0000"/>
      </rPr>
      <t>elt is lost
Timer Display: [Timer Display: 0, 5, 10, and 30-minute segments ar</t>
    </r>
    <r>
      <rPr>
        <rFont val="Arial"/>
        <color theme="1"/>
      </rPr>
      <t>e lit orange]
Remarks: activate auto-check model</t>
    </r>
  </si>
  <si>
    <r>
      <rPr>
        <rFont val="Arial"/>
        <color theme="1"/>
      </rPr>
      <t>Meaning: more than 5 seconds did not tested the middle signal
Description: 1. wideth inspection board is broken 2. the wire connect to the wideth inspection board is disconnected 3. kneading motor is broken or kneading b</t>
    </r>
    <r>
      <rPr>
        <rFont val="Arial"/>
        <b/>
        <color rgb="FFFF0000"/>
      </rPr>
      <t>elt is lost
Timer Display: [Timer Display: 0, 5, 10, 15, and 30-minute segments ar</t>
    </r>
    <r>
      <rPr>
        <rFont val="Arial"/>
        <color theme="1"/>
      </rPr>
      <t>e lit orange]
Remarks: activate auto-check model</t>
    </r>
  </si>
  <si>
    <t>10</t>
  </si>
  <si>
    <r>
      <rPr>
        <rFont val="Arial"/>
        <color theme="1"/>
      </rPr>
      <t>Meaning: more than 5 seconds did not tested the narrow signal
Description: 1. wideth inspection board is broken 2. the wire connect to the wideth inspection board is disconnected 3. kneading motor is broken or kneading b</t>
    </r>
    <r>
      <rPr>
        <rFont val="Arial"/>
        <b/>
        <color rgb="FFFF0000"/>
      </rPr>
      <t>elt is lost
Timer Display: [Timer Display: 0, 5, 10, 15, 20, and 30-minute segments ar</t>
    </r>
    <r>
      <rPr>
        <rFont val="Arial"/>
        <color theme="1"/>
      </rPr>
      <t>e lit orange]
Remarks: activate auto-check model</t>
    </r>
  </si>
  <si>
    <t>11</t>
  </si>
  <si>
    <r>
      <rPr>
        <rFont val="Arial"/>
        <color theme="1"/>
      </rPr>
      <t xml:space="preserve">Meaning: more than 10 seconds didn't tested kneading signal
Description: 1. Main PCB is </t>
    </r>
    <r>
      <rPr>
        <rFont val="Arial"/>
        <b/>
        <color rgb="FFFF0000"/>
      </rPr>
      <t>broken
Timer Display: [Timer Display: 0, 5, 10, 15, 20, 25, and 30-minute segments are lit</t>
    </r>
    <r>
      <rPr>
        <rFont val="Arial"/>
        <color theme="1"/>
      </rPr>
      <t xml:space="preserve"> orange]
Remarks: activate auto-check model</t>
    </r>
  </si>
  <si>
    <t>12</t>
  </si>
  <si>
    <r>
      <rPr>
        <rFont val="Arial"/>
        <color theme="1"/>
      </rPr>
      <t>Meaning: when not kneading but the wideth inspection signal still can be tested
Description: 1. Main PCB i</t>
    </r>
    <r>
      <rPr>
        <rFont val="Arial"/>
        <b/>
        <color rgb="FFFF0000"/>
      </rPr>
      <t>s broken
Timer Display: [Timer Display: 0, 5, 25, and 30-minute segments are l</t>
    </r>
    <r>
      <rPr>
        <rFont val="Arial"/>
        <color theme="1"/>
      </rPr>
      <t>it orange]
Remarks: activate auto-check model</t>
    </r>
  </si>
  <si>
    <t>1. Change PCB</t>
  </si>
  <si>
    <t>13</t>
  </si>
  <si>
    <r>
      <rPr>
        <rFont val="Arial"/>
        <color theme="1"/>
      </rPr>
      <t>Meaning: tested signals from up &amp; down limit sensor at the same time.
Description: 1. up &amp; down limit sensor are broken 2. backrest wire(black) is disc</t>
    </r>
    <r>
      <rPr>
        <rFont val="Arial"/>
        <b/>
        <color rgb="FFFF0000"/>
      </rPr>
      <t xml:space="preserve">onnected.
Timer Display: [Timer Display: 0, 5, 10, 25, and 30-minute segments are </t>
    </r>
    <r>
      <rPr>
        <rFont val="Arial"/>
        <color theme="1"/>
      </rPr>
      <t>lit orange]
Remarks: activate auto-check model</t>
    </r>
  </si>
  <si>
    <t>1. Change up &amp; down limit sensor 2. check whether the backrest wire(black) is well connected</t>
  </si>
  <si>
    <t>14</t>
  </si>
  <si>
    <r>
      <rPr>
        <rFont val="Arial"/>
        <color theme="1"/>
      </rPr>
      <t>Meaning: more than 40s didn't tested the signal from the up limit sensor
Description: 1. upper limit sensor is broken. 2. backrest wires( black and gray) are disconnected 3. rolling motor is broken or rolling motor wire</t>
    </r>
    <r>
      <rPr>
        <rFont val="Arial"/>
        <b/>
        <color rgb="FFFF0000"/>
      </rPr>
      <t xml:space="preserve"> disconnected
Timer Display: [Timer Display: 0, 5, 10, 15, 25, and 30-minute segments </t>
    </r>
    <r>
      <rPr>
        <rFont val="Arial"/>
        <color theme="1"/>
      </rPr>
      <t>are lit orange]
Remarks: activate auto-check model</t>
    </r>
  </si>
  <si>
    <t>1. change upper limit sensor 2. check whether the backrest wire(black) is well connected. 3. change rolling motor or rolling motor wire.</t>
  </si>
  <si>
    <t>15</t>
  </si>
  <si>
    <r>
      <rPr>
        <rFont val="Arial"/>
        <color theme="1"/>
      </rPr>
      <t xml:space="preserve">Meaning: height counting signal error
Description: 1. the counting sensor of the rolling motor is broken 2. backrest wire(black) is </t>
    </r>
    <r>
      <rPr>
        <rFont val="Arial"/>
        <b/>
        <color rgb="FFFF0000"/>
      </rPr>
      <t>disconnected
Timer Display: [Timer Display: 0, 5, 10, 15, 20, 25, and 30-minute segments a</t>
    </r>
    <r>
      <rPr>
        <rFont val="Arial"/>
        <color theme="1"/>
      </rPr>
      <t>re lit orange]
Remarks: activate auto-check model</t>
    </r>
  </si>
  <si>
    <t>1. change the counting sensor of the rolling motor. 2. check whether the backrest wire(black) is well connected.</t>
  </si>
  <si>
    <t>16</t>
  </si>
  <si>
    <r>
      <rPr>
        <rFont val="Arial"/>
        <color theme="1"/>
      </rPr>
      <t xml:space="preserve">Meaning: after tested signal from up limit sensor then tested signal from down limit sensor in 2 seconds.
Description: 1. down limit </t>
    </r>
    <r>
      <rPr>
        <rFont val="Arial"/>
        <b/>
        <color rgb="FFFF0000"/>
      </rPr>
      <t xml:space="preserve">sensor is broken
Timer Display: [Timer Display: 0, 5, 10, 15, 20, 25, and 30-minute segments are lit </t>
    </r>
    <r>
      <rPr>
        <rFont val="Arial"/>
        <color theme="1"/>
      </rPr>
      <t>orange (Full Arc)]
Remarks: activate auto-check model</t>
    </r>
  </si>
  <si>
    <t>1. change down limit sensor 2. check whether the backrest wire(black) is well connected. 3. change rolling motor</t>
  </si>
  <si>
    <t>17</t>
  </si>
  <si>
    <r>
      <rPr>
        <rFont val="Arial"/>
        <color theme="1"/>
      </rPr>
      <t xml:space="preserve">Meaning: more than 40s didn't tested the signal from the up limit sensor
Description: 1. down limit sensor is broken 2. the backrest wire(black) is disconnected. 3. rolling motor is broken </t>
    </r>
    <r>
      <rPr>
        <rFont val="Arial"/>
        <b/>
        <color rgb="FFFF0000"/>
      </rPr>
      <t>or disconnected
Timer Display: [Timer Display: 0, 5, 10, 20, 25, and 30-minute segment</t>
    </r>
    <r>
      <rPr>
        <rFont val="Arial"/>
        <color theme="1"/>
      </rPr>
      <t>s are lit orange]
Remarks: activate auto-check model</t>
    </r>
  </si>
  <si>
    <t>18</t>
  </si>
  <si>
    <r>
      <rPr>
        <rFont val="Arial"/>
        <color theme="1"/>
      </rPr>
      <t>Meaning: after tested signal from down limit sensor then tested signal from up limit sensor in 2 seconds.
Description: 1. upper limit sens</t>
    </r>
    <r>
      <rPr>
        <rFont val="Arial"/>
        <b/>
        <color rgb="FFFF0000"/>
      </rPr>
      <t>or is broken.
Timer Display: [Timer Display: 0, 5, 10, 15, 20, 25, and 30-minute segments are lit ora</t>
    </r>
    <r>
      <rPr>
        <rFont val="Arial"/>
        <color theme="1"/>
      </rPr>
      <t>nge (Full Arc)]
Remarks: activate auto-check model</t>
    </r>
  </si>
  <si>
    <t>19</t>
  </si>
  <si>
    <r>
      <rPr>
        <rFont val="Arial"/>
        <color theme="1"/>
      </rPr>
      <t>Meaning: can't test signal from foot rest recline actuator
Description: 1. foot rest recline actuator is broken 2. foot rest actuator motor wire is disconnected 3. the signal wire of foot rest actuator i</t>
    </r>
    <r>
      <rPr>
        <rFont val="Arial"/>
        <b/>
        <color rgb="FFFF0000"/>
      </rPr>
      <t>s disconnected.
Timer Display: [Timer Display: 0, 5, 10, 15, 20, 25, and 30-minute segments are lit o</t>
    </r>
    <r>
      <rPr>
        <rFont val="Arial"/>
        <color theme="1"/>
      </rPr>
      <t>range (Full Arc)]
Remarks: activate auto-check model</t>
    </r>
  </si>
  <si>
    <t>1. change foot rest recline actuator 2. check whether the foot rest recline actuator motor wire is well connected. 3. check whether the signal wire of foot rest actuator is well connected</t>
  </si>
  <si>
    <t>20</t>
  </si>
  <si>
    <r>
      <rPr>
        <rFont val="Arial"/>
        <color theme="1"/>
      </rPr>
      <t>Meaning: test signals from front sensor and rear sensor at the same time.
Description: 1. the 6 core signal wire is disconnected. 2. up &amp; down limit sensor of the foot r</t>
    </r>
    <r>
      <rPr>
        <rFont val="Arial"/>
        <b/>
        <color rgb="FFFF0000"/>
      </rPr>
      <t>est are broken
Timer Display: [Timer Display: 0, 5, 10, 15, 20, 25, and 30-minute segments are lit or</t>
    </r>
    <r>
      <rPr>
        <rFont val="Arial"/>
        <color theme="1"/>
      </rPr>
      <t>ange (Full Arc)]
Remarks: activate auto-check model</t>
    </r>
  </si>
  <si>
    <t>1. check whether the 6 core signal wire is well connected. 2. change up &amp; down limit sensor of the foot rest.</t>
  </si>
  <si>
    <t>21</t>
  </si>
  <si>
    <r>
      <rPr>
        <rFont val="Arial"/>
        <color theme="1"/>
      </rPr>
      <t xml:space="preserve">Meaning: didn't test signal from front sensor of the footrest more than 20 seconds.
Description: 1. the down limit sensor of the foot rest is broken 2. foot rest extending motor is broken </t>
    </r>
    <r>
      <rPr>
        <rFont val="Arial"/>
        <b/>
        <color rgb="FFFF0000"/>
      </rPr>
      <t>or disconnected
Timer Display: [Timer Display: 0, 5, 10, 15, 20, 25, and 30-minute segments are lit o</t>
    </r>
    <r>
      <rPr>
        <rFont val="Arial"/>
        <color theme="1"/>
      </rPr>
      <t>range (Full Arc)]
Remarks: activate auto-check model</t>
    </r>
  </si>
  <si>
    <t>1. change down limit sensor of the footrest 2. change the footrest extending motor or check whether the motor wire is well connected.</t>
  </si>
  <si>
    <t>22</t>
  </si>
  <si>
    <r>
      <rPr>
        <rFont val="Arial"/>
        <color theme="1"/>
      </rPr>
      <t xml:space="preserve">Meaning: After tested front sensor signal, then tested front sensor signal in 2.5 seconds.
Description: 1. the upper limit sensor of foot </t>
    </r>
    <r>
      <rPr>
        <rFont val="Arial"/>
        <b/>
        <color rgb="FFFF0000"/>
      </rPr>
      <t xml:space="preserve">rest is broken
Timer Display: [Timer Display: 0 and 5-minute segments </t>
    </r>
    <r>
      <rPr>
        <rFont val="Arial"/>
        <color theme="1"/>
      </rPr>
      <t>are lit orange]
Remarks: activate auto-check model</t>
    </r>
  </si>
  <si>
    <t>1. change the upper limit sensor of the footrest.</t>
  </si>
  <si>
    <t>23</t>
  </si>
  <si>
    <r>
      <rPr>
        <rFont val="Arial"/>
        <color theme="1"/>
      </rPr>
      <t>Meaning: didn't tested rear sensor signal in 20 seconds
Description: 1. the upper limit sensor of foot rest is broken 2. foot rest extending motor is broken or the motor wire is</t>
    </r>
    <r>
      <rPr>
        <rFont val="Arial"/>
        <b/>
        <color rgb="FFFF0000"/>
      </rPr>
      <t xml:space="preserve"> disconnected.
Timer Display: [Timer Display: 0, 5, 10, and 15-minute segments</t>
    </r>
    <r>
      <rPr>
        <rFont val="Arial"/>
        <color theme="1"/>
      </rPr>
      <t xml:space="preserve"> are lit orange]
Remarks: activate auto-check model</t>
    </r>
  </si>
  <si>
    <t>1. change upper limit sensor of the foot rest. 2. change foot rest exteding motor</t>
  </si>
  <si>
    <t>24</t>
  </si>
  <si>
    <r>
      <rPr>
        <rFont val="Arial"/>
        <color theme="1"/>
      </rPr>
      <t>Meaning: After tested rear sensor signal, hen tested front sensor signal in 2.5 seconds.
Description: 1. the lower limit sensor of the fo</t>
    </r>
    <r>
      <rPr>
        <rFont val="Arial"/>
        <b/>
        <color rgb="FFFF0000"/>
      </rPr>
      <t>ot rest is broken
Timer Display: [Timer Display: 0, 5, and 15-minute segme</t>
    </r>
    <r>
      <rPr>
        <rFont val="Arial"/>
        <color theme="1"/>
      </rPr>
      <t>nts are lit orange]
Remarks: activate auto-check model</t>
    </r>
  </si>
  <si>
    <t>1. change footrest lower limit sensor</t>
  </si>
  <si>
    <t>25</t>
  </si>
  <si>
    <r>
      <rPr>
        <rFont val="Arial"/>
        <color theme="1"/>
      </rPr>
      <t>Meaning: when start the backrest recline actuator, there is no counting signal for more than 2.5 seconds
Description: 1. backrest recline actuator is broken 2. backrest recline actuator wire is disconnected 3. the signal wire of the backrest recline wir</t>
    </r>
    <r>
      <rPr>
        <rFont val="Arial"/>
        <b/>
        <color rgb="FFFF0000"/>
      </rPr>
      <t>e is disconnected
Timer Display: [Timer Display: 0, 5, 10, and 15-minute segme</t>
    </r>
    <r>
      <rPr>
        <rFont val="Arial"/>
        <color theme="1"/>
      </rPr>
      <t>nts are lit orange]
Remarks: activate auto-check model</t>
    </r>
  </si>
  <si>
    <t>1. change backrest recline actuator 2. check whether the backrest recline actuator motor wire is well connected. 3. check whether the signal wire of the backrest recline actuator is well connected</t>
  </si>
  <si>
    <t>26</t>
  </si>
  <si>
    <r>
      <rPr>
        <rFont val="Arial"/>
        <color theme="1"/>
      </rPr>
      <t xml:space="preserve">Meaning: when start the zero-gravity actuator, there is no counting signal for more than 2.5 seconds
Description: 1. Zero-gravity actuator is broken 2. zero-gravity actuator wire is disconnected. 3. the signal wire of zero-gravity actuator </t>
    </r>
    <r>
      <rPr>
        <rFont val="Arial"/>
        <b/>
        <color rgb="FFFF0000"/>
      </rPr>
      <t>is disconnected
Timer Display: [Timer Display: 0, 5, 10, 15, and 20-minute segment</t>
    </r>
    <r>
      <rPr>
        <rFont val="Arial"/>
        <color theme="1"/>
      </rPr>
      <t>s are lit orange]
Remarks: activate auto-check model</t>
    </r>
  </si>
  <si>
    <t>1. change zero-gravity actuator 2. check whether the zero-gravity motor wire is well connected. 3. check whether the signal wire of zero-gravity actuator is well connected</t>
  </si>
  <si>
    <t>Meaning: remote control tested any key pressed more than 45 seconds
Description: 1. one of the KEY has been blocked.
Remark: turn on the chair</t>
  </si>
  <si>
    <t>Meaning: remote control did not connected
Description: 1. remote control wire is broken or the remote control is disconnected
Remark: turn on the chair</t>
  </si>
  <si>
    <t>Meaning: backrest signal is abnormity
Description: 1. The connector of the backrest wire is not well connected 2. Backrest wire Broken
Remark: enter auto-check model</t>
  </si>
  <si>
    <t>1. check the connector of backrest wire 2. change the backrest wire</t>
  </si>
  <si>
    <t>Meaning: rolling signal is abnormity
Description: 1. The connector of the backrest wire is not well connected 2. rolling sensor broken
Remark: enter auto-check model</t>
  </si>
  <si>
    <t>1. check the connector of backrest wire 2. rolling sensor broken</t>
  </si>
  <si>
    <t>Meaning: tested more than 2 wideth inspection signal
Description: 1. wideth inspection board is broken 2. wideth inspection wire is not well connected
Remark: start the rolling function</t>
  </si>
  <si>
    <t>Meaning: more than 5 seconds did not tested the wide signal
Description: 1. wideth inspection board is broken 2. the wire connect to the wideth inspection board is disconnected 3. kneading motor is broken or kneading belt is lost
Remark: enter auto-check model</t>
  </si>
  <si>
    <t>Meaning: more than 5 seconds did not tested the middle signal
Description: 1. wideth inspection board is broken 2. the wire connect to the wideth inspection board is disconnected 3. kneading motor is broken or kneading belt is lost
Remark: enter auto-check model</t>
  </si>
  <si>
    <t>Meaning: more than 5 seconds did not tested the narrow signal
Description: 1. wideth inspection board is broken 2. the wire connect to the wideth inspection board is disconnected [text missing from original image, completed based on context] 3. kneading motor is broken or kneading belt is lost [text cut off in original image]
Action: enter auto-check model</t>
  </si>
  <si>
    <t>1. change wideth inspection board 2. change backrest wires. (black and gray) 3. change kneading motor [text cut off in original manual]</t>
  </si>
  <si>
    <t>Meaning: more than 10 seconds didn't tested kneading signal [No Kneading text matches image 47c9c4]
Description: 1. Main PCB is broken
Remark: enter auto-check model</t>
  </si>
  <si>
    <t>Meaning: tested signals from up &amp; down limit sensor at the same time.
Description: 1. up &amp; down limit sensor are broken 2. backrest wire(black) is disconnected.
Remark: enter auto-check model</t>
  </si>
  <si>
    <t>Meaning: more than 40s didn't tested the signal from the up limit sensor
Description: 1. upper limit sensor is broken. 2. backrest wires( black and gray) are disconnected 3. rolling motor is broken or rolling motor wire disconnected
Remark: enter auto-check model</t>
  </si>
  <si>
    <t>1. change upper limit sensor 2. check whether the backrest wire(black) is well connected 3. change rolling motor or rolling motor wire.</t>
  </si>
  <si>
    <t>Meaning: height counting signal error
Description: 1. the counting sensor of the rolling motor is broken 2. backrest wire(black) is disconnected
Remark: enter auto-check model</t>
  </si>
  <si>
    <t>1. change the counting sensor of the rolling motor. 2. check whether the backrest wire(black) is well connected</t>
  </si>
  <si>
    <t>Meaning: after tested signal from up limit sensor then tested signal from down limit sensor in 2 seconds.
Description: 1. down limit sensor is broken
Remark: enter auto-check model</t>
  </si>
  <si>
    <t>1. change down limit sensor 2. check whether the backrest wire(black) is well connected 3. change rolling motor</t>
  </si>
  <si>
    <t>Meaning: more than 40s didn't tested the signal from the down limit sensor
Description: 1. down limit sensor is broken 2. the backrest wire(black) is disconnected. 3. rolling motor is broken or disconnected [Note: partially obscured in layout]
Remark: enter auto-check model</t>
  </si>
  <si>
    <t>Meaning: after tested signal from down limit sensor then tested signal from up limit sensor in 2 seconds.
Description: 1. upper limit sensor is broken.
Remark: enter auto-check model</t>
  </si>
  <si>
    <t>Meaning: can't test signal from foot rest recline actuator
Description: 1. foot rest recline actuator is broken 2. foot rest actuator motor wire is disconnected 3. the signal wire of foot rest actuator is disconnected.
Remark: enter auto-check model</t>
  </si>
  <si>
    <t>Meaning: test signals from front sensor and rear sensor at the same time (fot rest)
Description: 1. the 6 core signal wire is disconnected. 2. up &amp; down limit sensor of the foot rest are broken
Remark: enter auto-check model</t>
  </si>
  <si>
    <t>1. check whether the 6 core signal wire is well connected 2. change up &amp; down limit sensor of the foot rest.</t>
  </si>
  <si>
    <t>Meaning: didn't test signal from front sensor of the footrest more than 20 seconds.
Description: 1. the front limit sensor of the foot rest is broken 2. foot rest extending motor is broken or disconnected
Remark: enter auto-check model</t>
  </si>
  <si>
    <t>1. change front limit sensor of the footrest 2. change the footrest extending motor or check whether the motor wire is connected</t>
  </si>
  <si>
    <t>Meaning: After tested rear sensor signal, then tested front sensor signal in 2.5 seconds.
Description: 1. the rear limit sensor of foot rest is broken
Remark: enter auto-check model</t>
  </si>
  <si>
    <t>1. change the rear limit sensor of the footrest.</t>
  </si>
  <si>
    <t>Meaning: didn't tested rear sensor signal in 20 seconds (foot rest)
Description: 1. the rear limit sensor of foot rest is broken 2. foot rest extending motor is broken or the motor wire is disconnected.
Remark: enter auto-check model</t>
  </si>
  <si>
    <t>1. change rear limit sensor of the foot rest. 2. change foot rest exteding motor</t>
  </si>
  <si>
    <t>Meaning: After tested rear sensor signal, then tested front sensor signal in 2.5 seconds. (foot rest)
Description: 1. the rear limit sensor of the foot rest is broken
Remark: enter auto-check model</t>
  </si>
  <si>
    <t>1. change footrest rear limit sensor</t>
  </si>
  <si>
    <t>Meaning: when start the backrest recline actuator, there is no counting signal for more than 2.5 seconds
Description: 1. backrest recline actuator is broken 2. backrest recline actuator wire is disconnected 3. the signal wire of the backrest recline wire is disconnected
Remark: enter auto-check model</t>
  </si>
  <si>
    <t>Meaning: when start the zero-gravity actuator, there is no counting signal for more than 2.5 seconds
Description: 1. Zero-gravity actuator is broken 2. zero-gravity actuator wire is disconnected. 3. the signal wire of zero-gravity actuator is disconnected
Remark: enter auto-check model</t>
  </si>
  <si>
    <t>1. change zero-gravity actuator 2. check whether zero-gravity motor wire is well connected. 3. check whether the signal wire of zero-gravity actuator is well connected</t>
  </si>
  <si>
    <t>Meaning: test signals from 3D front limit sensor and the signals from 3D rear limit sensor at the same time
Description: 1. the wire or terminal discontent 2. limit sensor broken
Remark: enter auto-check model</t>
  </si>
  <si>
    <t>1. change sensor 2. check the wire</t>
  </si>
  <si>
    <t>Meaning: didn't tested the 3D limit sensor signal in 10 seconds (3D)
Description: 1. 3D limit sensor brken 2. the sensor wire connect not well 3. 3D motor broken or the wire broken 4. light shield of the 3D sensor release
Remark: enter auto-check model</t>
  </si>
  <si>
    <t>1. change 3D limit sensor 2. test the wire of 3D sensor 3. change the motor of the wire 4. change the light shield</t>
  </si>
  <si>
    <t>Meaning: 3D counting signal error (3D)
Description: 1. the counting sensor of the rolling motor is broken 2. counting sensor... [text cut off in original table]
Remark: enter auto-check model</t>
  </si>
  <si>
    <t>1. change the counting sensor 2. check the wire</t>
  </si>
  <si>
    <t>Meaning: after tested signal from 3D limit sensor then tested signal from the other side 3D limit sensor in 2 seconds. (3D)
Description: 1. 3D limit sensor brken
Remark: enter auto-check model</t>
  </si>
  <si>
    <t>1. change 3D limit sensor</t>
  </si>
  <si>
    <t>Meaning: Press and hold the power button on the side panel for more than 40s
Description: 1. one of the KEY has been blocked.
Remark: turn on the chair</t>
  </si>
  <si>
    <t>1. check the key of the side panel</t>
  </si>
  <si>
    <t>Meaning: remote control tested any key pressed more than 40 seconds
Description: 1. one of the KEY has been blocked.
Remark: turn on the chair</t>
  </si>
  <si>
    <t>Meaning: remote control did not connected well
Description: 1. remote control wire is broken or the remote control is disconnected
Remark: turn on the chair</t>
  </si>
  <si>
    <t>Meaning: tested signals from up &amp; down limit sensor at the same time
Description: 1. backrest cable didn't connect well
2. up &amp; down limit sensor broken
Remark: turn on the chair</t>
  </si>
  <si>
    <t>1. check the connector of backrest wire
2. replace the backrest wire
3. replace the limit sensor</t>
  </si>
  <si>
    <t>Meaning: rolling signal is abnormity
Description: 1. The connector of the backrest wire is not well connected
2. rolling counting sensor broken
Remark: turn on the chair</t>
  </si>
  <si>
    <t>1. check the connector of backrest wire
2. rolling counting sensor broken</t>
  </si>
  <si>
    <t>Meaning: leg rest tested more than 4 seconds
Description: 1. connector of leg rest wire not well
2. wire of leg rest broken
Remark: turn the power</t>
  </si>
  <si>
    <t>1. check the connector of leg rest wire
2. change the wire of leg rest</t>
  </si>
  <si>
    <t>Meaning: more than 5 seconds did not tested the wide signal
Description: 1. wideth inspection board is broken
2. the wire connect to the wideth inspection board is disconnected
3. kneading motor is broken or kneading belt is lost
Remark: turn on the chair</t>
  </si>
  <si>
    <t>1. change wideth inspection board
2. change backrest wires.
3. change kneading motor
4. change gear box</t>
  </si>
  <si>
    <t>Meaning: more than 5 seconds did not tested the narrow signal
Description: 1. wideth inspection board is broken
2. the wire connect to the wideth inspection board is disconnected
3. kneading motor is broken or kneading belt is lost
Remark: turn on the chair</t>
  </si>
  <si>
    <t>Meaning: tested signals from up &amp; down limit sensor at the same time.
Description: 1. up &amp; down limit sensor are broken
2. backrest wire is disconnected.
Remark: turn on the chair</t>
  </si>
  <si>
    <t>1. Change up &amp; down limit sensor
2. check whether the backrest wire is well connected</t>
  </si>
  <si>
    <t>Meaning: more than 40s didn't tested the signal from the up limit sensor
Description: 1. upper limit sensor is broken.
2. backrest wires( black and gray) are disconnected
3. rolling motor is broken or rolling motor wire disconnected
Remark: turn on the chair</t>
  </si>
  <si>
    <t>1. change upper limit sensor
2. check whether the backrest wire is well connected.
3. change rolling motor or rolling motor wire.</t>
  </si>
  <si>
    <t>Meaning: height counting signal error
Description: 1. the counting sensor of the rolling motor is broken
2. backrest wire is disconnected
Remark: turn on the chair</t>
  </si>
  <si>
    <t>1. change the counting sensor of the rolling motor.
2. check whether the backrest wire is well connected.</t>
  </si>
  <si>
    <t>Meaning: after tested signal from up limit sensor then tested signal from down limit sensor in 2 seconds.
Description: 1. down (up) limit sensor is broken
Remark: turn on the chair</t>
  </si>
  <si>
    <t>1. change down (up) limit sensor
2. check whether the backrest wire is well connected.
3. change rolling motor</t>
  </si>
  <si>
    <t>Meaning: more than 40s didn't tested the signal from the up limit sensor
Description: 1. down limit sensor is broken
2. the backrest wire is disconnected.
Remark: turn on the chair</t>
  </si>
  <si>
    <t>1. change down limit sensor
2. check whether the backrest wire is well connected.
3. change rolling motor</t>
  </si>
  <si>
    <t>Meaning: after tested signal from down limit sensor then tested signal from up limit sensor in 2 seconds.
Description: 1. down (up) limit sensor is broken.
Remark: turn on the chair</t>
  </si>
  <si>
    <t>1. change down (up) limit sensor</t>
  </si>
  <si>
    <t>Meaning: can't test signal from foot rest recline actuator
Description: 1. foot rest recline actuator is broken
2. foot rest actuator motor wire is disconnected
3. the signal wire of foot rest actuator is disconnected.
Remark: enter auto-check model</t>
  </si>
  <si>
    <t>1. change foot rest recline actuator
2. check whether the foot rest recline actuator motor wire is well connected.
3. check whether the signal wire of foot rest actuator is well connected</t>
  </si>
  <si>
    <t>Meaning: The communication between the 3D PCB and themai PCB has not been successful for more than 6 seconds
Description: 1. 3D PCB broken or backrest cablle poor connect
Remark: enter auto-check model</t>
  </si>
  <si>
    <t>1. replace 3D PCB or backrest cable</t>
  </si>
  <si>
    <t>Meaning: when start the backrest recline actuator, there is no counting signal for more than 2.5 seconds
Description: 1. backrest recline actuator is broken
2. backrest recline actuator wire is disconnected
3. the signal wire of the backrest recline wire is disconnected
Remark: enter auto-check model</t>
  </si>
  <si>
    <t>1. change backrest recline actuator
2. check whether backrest recline actuator motor wire is well connected.
3. check whether the signal wire of the backrest recline actuator is well connected</t>
  </si>
  <si>
    <t>remote control did not connected more than 4 seconds
Description: 1. remote control wire is broken or the remote control is disconnected</t>
  </si>
  <si>
    <t>1. reconnecte the remote control or change the remote control wire.
Remark: turn on the chair</t>
  </si>
  <si>
    <t>backrest signal is abnormity
Description: 1. backrest wire is not well connected.
2. backrest wire is broken</t>
  </si>
  <si>
    <t>1. check whether the backrest wire is well connected
2. change the backrest wire
Remark: turn on the chair</t>
  </si>
  <si>
    <t>remote control tested any key pressed more than 45 seconds
Description: 1. one of the KEY has been blocked.</t>
  </si>
  <si>
    <t>1. check remote control or side panel controller
Remark: enter auto-check model</t>
  </si>
  <si>
    <t>leg rest tested more than 4 seconds
Description: 1. connector of leg rest wire not well
2. wire of leg rest broken</t>
  </si>
  <si>
    <t>1. check the connector of leg rest wire
2. change the wire of leg rest
Remark: enter auto-check model</t>
  </si>
  <si>
    <t>Side panel controller fails to communicate with main PCB more than 4S
Description: connector of wire not well</t>
  </si>
  <si>
    <t>1. check the connector of wire
2. change the wire
Remark: enter auto-check model</t>
  </si>
  <si>
    <t>The position sensor of the rolling motor is abnormal, no change of the position code disk is detected after 8s.
Description: 1. Position sensor is broken
2. The connection between the main PCB and the 3D PCB is abnormal
3. rolling motor is broken or locked
4. Drive circuit components are damaged</t>
  </si>
  <si>
    <t>1. change the sensor
2. check the wire
3. check or change the motor
4. change main PCB
Remark: enter auto-check model</t>
  </si>
  <si>
    <t>The position coding of rolling motor is abnormal, the code disk is in an incorrect position
Description: 1. position sensor broken
2. Incorrect initial position of code disk
3. mechanism overshoot</t>
  </si>
  <si>
    <t>1. change the sensor
2. the mechanism to the initial height position, and then turn the code disk to the correct initial position.
Remark: enter auto-check model</t>
  </si>
  <si>
    <t>The rotation speed sensor of the core massage (rolling) motor is abnormal, that is, no change of the rotation speed code disk is detected more than 4S.
Description: 1. position sensor is broken
2. The connection between the main PCB and the 3D PCB is abnormal
3. motor is broken or locked
4. Drive circuit components are damaged</t>
  </si>
  <si>
    <t>The position sensor of the core kneading motor is abnormal, that is, no change of the position code plate is detected after 8s.
Description: 1. position sensor is broken
2. The connection between the main PCB and the 3D PCB is abnormal
3. motor is broken or locked
4. Drive circuit components are damaged</t>
  </si>
  <si>
    <t>The rotation speed sensor of the core kneading motor is abnormal, that is, no change of the rotation speed code disk is detected after 5S.
Description: 1. position sensor is broken
2. The connection between the main PCB and the 3D PCB is abnormal
3. motor is broken or locked
4. Drive circuit components are damaged</t>
  </si>
  <si>
    <t>The position sensor of the core expansion motor is abnormal, i.e. no change of the position code disk is detected after 10s.
Description: 1. position sensor is broken
2. The connection between the main PCB and the 3D PCB is abnormal
3. motor is broken or locked
4. Drive circuit components are damaged</t>
  </si>
  <si>
    <t>The position coding of the core expansion motor is abnormal, that is, the code disk is in an incorrect position.
Description: 1. position sensor is broken
2. Incorrect initial position of code disk
3. mechanism overshoot</t>
  </si>
  <si>
    <t>1. change the sensor
2. Move the mechanism to the initial retraction position
Remark: enter auto-check model</t>
  </si>
  <si>
    <t>Abnormal rotation speed (count) sensor of core expansion motor
Description: 1. position sensor is broken
2. The connection between the main PCB and the 3D PCB is abnormal
3. motor is broken or locked
4. Drive circuit components are damaged</t>
  </si>
  <si>
    <t>backrest Count sensor abnormal
Description: 1. count sensor broken
2. the wire is broken
3. motor is broken or locked
4. Drive circuit components are damaged</t>
  </si>
  <si>
    <t>leg rest Count sensor abnormal
Description: 1. count sensor broken
2. the wire is broken
3. motor is broken or locked
4. Drive circuit components are damaged</t>
  </si>
  <si>
    <t>Calf extension position (count) sensor abnormal
Description: 1. count sensor broken
2. the wire is broken
3. motor is broken or locked
4. Drive circuit components are damaged</t>
  </si>
  <si>
    <t>Abnormal coding of crus extension position (the shortest and longest limit sensors are valid at the same time)
Description: 1. position sensor broken
2. wire broken</t>
  </si>
  <si>
    <t>1. change the sensor
2. check the wire
Remark: enter auto-check model</t>
  </si>
  <si>
    <t>Calf extension shortest limit sensor failure
Description: 1. position sensor broken
2. wire broken</t>
  </si>
  <si>
    <t>Calf extension longest limit sensor failure
Description: 1. position sensor broken
2. wire broken</t>
  </si>
  <si>
    <t>The back heating thyristor is short circuited, i.e. the temperature is greater than or equal to 78 degrees detected for 10s.
Description: The heating wire is short circuited and caused by overcurrent.</t>
  </si>
  <si>
    <t>(1) check or chuange the heater
(2) Check whether the back frame wire and the heating of the core are short circuited and replace if there is any problem.
Remark: enter auto-check model</t>
  </si>
  <si>
    <t>The back heating thermistor is short circuited, i.e. the AD detection value is less than or equal to 5 in 5S.
Description: Heating thermistor wire short circuit to ground</t>
  </si>
  <si>
    <t>Check whether the back frame wire and the heating of the core are short circuited and replace if there is any problem.
Remark: enter auto-check model</t>
  </si>
  <si>
    <t>The back heating thermistor has an open circuit, that is, the ad detection value is greater than or equal to 247 in 5S.
Description: Heating thermistor wire disconnected</t>
  </si>
  <si>
    <t>Check whether the back frame wire and the heating of the movement are open circuit, and replace if there is any problem.
Remark: enter auto-check model</t>
  </si>
  <si>
    <t>Remote controller detects a button pressed continuously
Description: Button stuck</t>
  </si>
  <si>
    <t>Check remote controller buttons
Remarks: Real-time detection</t>
  </si>
  <si>
    <t>Remote controller and main board fail to communicate for over 4s
Description: Remote cable disconnected</t>
  </si>
  <si>
    <t>Replace remote controller cable
Remarks: Real-time detection</t>
  </si>
  <si>
    <t>Mechanism control board and main board fail to communicate
Description: Back frame signal connector poor connection</t>
  </si>
  <si>
    <t>Check connector / replace back frame cable
Remarks: Real-time detection</t>
  </si>
  <si>
    <t>Abnormal travel count detected when travel function is enabled
Description: Back frame signal connector poor connection</t>
  </si>
  <si>
    <t>Check connector / replace travel count sensor / check cable
Remarks: Real-time detection (travel enabled)</t>
  </si>
  <si>
    <t>Side panel loses communication for over 4s
Description: Side panel cable disconnected</t>
  </si>
  <si>
    <t>Replace side panel cable
Remarks: Real-time detection</t>
  </si>
  <si>
    <t>Main board and calf board fail to communicate for over 4s
Description: Calf cable disconnected / calf board faulty</t>
  </si>
  <si>
    <t>Replace calf cable / replace calf board
Remarks: Real-time detection</t>
  </si>
  <si>
    <t>Two or more width position signals detected simultaneously
Description: Width detection board faulty / cable abnormal</t>
  </si>
  <si>
    <t>Replace width board / replace back frame signal wires
Remarks: Self-test</t>
  </si>
  <si>
    <t>No wide-position signal detected within 5s
Description: Width board faulty / cable abnormal / kneading motor or belt loose</t>
  </si>
  <si>
    <t>Replace width board / replace signal cable / replace kneading motor
Remarks: Self-test</t>
  </si>
  <si>
    <t>No center-position signal detected within 5s
Description: Width board faulty / cable abnormal / kneading motor or belt loose</t>
  </si>
  <si>
    <t>No narrow-position signal detected within 5s
Description: Width board faulty / cable abnormal / kneading motor or belt loose</t>
  </si>
  <si>
    <t>No kneading direction-change signal detected within 10s
Description: Mechanism board faulty (direction reading failure)</t>
  </si>
  <si>
    <t>Replace mechanism control board
Remarks: Self-test</t>
  </si>
  <si>
    <t>Width signal detected after kneading motor is turned off
Description: Mechanism board faulty (direction reading failure / short circuit)</t>
  </si>
  <si>
    <t>Upper and lower limit sensors active simultaneously
Description: Limit sensor faulty / back frame cable short circuit or disconnected</t>
  </si>
  <si>
    <t>Replace limit sensor / check cable
Remarks: Self-test</t>
  </si>
  <si>
    <t>No upper limit sensor signal detected within 40s
Description: Upper limit sensor faulty / cable disconnected / rolling motor faulty or wire off</t>
  </si>
  <si>
    <t>Replace sensor board / check cable / replace rolling motor
Remarks: Self-test</t>
  </si>
  <si>
    <t>Travel count signal error
Description: Travel Hall sensor faulty / cable abnormal / backrest wire disconnected</t>
  </si>
  <si>
    <t>Replace Hall sensor / check cable / check rolling motor sensor
Remarks: Self-test</t>
  </si>
  <si>
    <t>Lower limit sensor detected within 2s after upper limit
Description: Lower limit sensor faulty / unexpected signal layout</t>
  </si>
  <si>
    <t>Replace lower limit sensor / check cable / check rolling motor
Remarks: Self-test</t>
  </si>
  <si>
    <t>No lower limit sensor signal detected within 40s
Description: Lower limit sensor faulty / cable disconnected / rolling motor broken</t>
  </si>
  <si>
    <t>Upper limit sensor detected within 2s after lower limit
Description: Upper limit sensor faulty</t>
  </si>
  <si>
    <t>Replace upper limit sensor board
Remarks: Self-test</t>
  </si>
  <si>
    <t>Leg actuator runs 2.5s with no count signal (or no position signals detected after 40s)
Description: Actuator motor faulty / motor cable loose or pulled off</t>
  </si>
  <si>
    <t>Replace motor / check motor cable / check signal wire
Remarks: Self-test</t>
  </si>
  <si>
    <t>Calf extension long &amp; short limits detected simultaneously
Description: Calf limit sensor faulty</t>
  </si>
  <si>
    <t>Replace calf limit board
Remarks: Self-test</t>
  </si>
  <si>
    <t>No long-limit signal after 20s calf extension
Description: Calf limit sensor faulty</t>
  </si>
  <si>
    <t>Short-limit detected within 2.5s after long-limit
Description: Calf limit sensor faulty</t>
  </si>
  <si>
    <t>No short-limit signal after 20s calf retraction
Description: Calf limit sensor faulty</t>
  </si>
  <si>
    <t>Long-limit detected within 2.5s after short-limit
Description: Calf limit sensor faulty</t>
  </si>
  <si>
    <t>Back actuator runs 2.5s with no count signal (or no position signal detected after 40s)
Description: Back actuator motor faulty / cable loose / motor wire pulled off</t>
  </si>
  <si>
    <t>Replace motor / check motor cable / check signal connections
Remarks: Self-test</t>
  </si>
  <si>
    <t>Front &amp; rear extension limit sensors active simultaneously (3D mechanism)
Description: Limit sensor faulty / cable terminal loose or poor connection</t>
  </si>
  <si>
    <t>No extension limit signal within 10s (3D)
Description: Front limit sensor faulty / cable poor contact / motor or light shield release</t>
  </si>
  <si>
    <t>Replace sensor board / check cable / replace motor / adjust light shield
Remarks: Self-test</t>
  </si>
  <si>
    <t>Abnormal extension count signal (3D)
Description: Count sensor faulty / cable poor contact / rolling or extension counting sensor broken</t>
  </si>
  <si>
    <t>Replace count board / check cable / adjust sensor connection
Remarks: Self-test</t>
  </si>
  <si>
    <t>Opposite extension limit detected within 2s (3D)
Description: Extension limit sensor faulty</t>
  </si>
  <si>
    <t>Replace extension limit board
Remarks: Self-test</t>
  </si>
  <si>
    <t>Side panel or POWER button stuck for over 50s
Description: Button stuck</t>
  </si>
  <si>
    <t>Check side panel buttons
Remarks: Real-time detection</t>
  </si>
  <si>
    <t>Meaning: Press and hold the POWER button on the side panel for more than 40 seconds
Description: 1. There is a button stuck</t>
  </si>
  <si>
    <t>1. check the POWER button on the side panel
Remark: turn on the chair</t>
  </si>
  <si>
    <t>Meaning: remote control did not connected well
Description: 1. remote control wire is broken
2. remote control broken</t>
  </si>
  <si>
    <t>1. replace remote control wire
2. replace remote control
Remark: turn on the chair</t>
  </si>
  <si>
    <t>Meaning: backrest signal is abnormity
Description: 1. The connector of the backrest wire is not well connected
2. Backrest wire Broken</t>
  </si>
  <si>
    <t>1. check the connector of backrest wire
2. change the backrest wire
3. replace the mechanism
Remark: turn on the chair</t>
  </si>
  <si>
    <t>Meaning: rolling signal is abnormity
Description: 1. The connector of the backrest wire is not well connected
2. rolling sensor broken</t>
  </si>
  <si>
    <t>1. check the connector of backrest wire
2. rolling sensor broken
Remark: turn on the chair</t>
  </si>
  <si>
    <t>Meaning: Pside panel buttons stuck
Description: 1. Button stuck</t>
  </si>
  <si>
    <t>1. check the button of side panel
Remark: turn on the chair</t>
  </si>
  <si>
    <t>Meaning: The communication between main PCB and the legrest PCB has exceeded 4S and has not been successful
Description: 1. connector of leg rest wire not well
2. wire of leg rest broken</t>
  </si>
  <si>
    <t>1. check the connector of leg rest wire
2. change the wire of leg rest
3. replace legrest PCB
Remark: turn on the chair</t>
  </si>
  <si>
    <t>Meaning: kneading signal is abnormity
Description: 1. kneading motor is abnormity
2. 3D PCB is abnormity
3. counting senor is abnormity of kneading motor</t>
  </si>
  <si>
    <t>1. change kneading motor
2. change 3D PCB
3. change counting sensor of kneading motor
Remark: turn on the chair</t>
  </si>
  <si>
    <t>Meaning: tapping signal is abnormity
Description: 1. tapping motor is abnormity
2. 3D PCB is abnormity
3. counting senor of tapping motor is abnormity</t>
  </si>
  <si>
    <t>1. change tapping motor
2. change 3D PCB
3. change counting sensor of tapping motor
Remark: turn on the chair</t>
  </si>
  <si>
    <t>Meaning: Telescopic signal is abnormity
Description: 1. 3D Telescopic motor is abnormity
2. 3D PCB is abnormity
3. counting senor of 3D Telescopic motor is abnormity</t>
  </si>
  <si>
    <t>1. change 3D Telescopic motor
2. change 3D PCB
3. change counting sensor of 3D Telescopic motor
Remark: turn on the chair</t>
  </si>
  <si>
    <t>Meaning: Abnormal heating sensor of upper mechanism
Description: 1. Abnormal heating drive circuit of the upper mechanism
2. Abnormal heating sensor of the upper mechanism
3. Heating sensor wire of the upper mechanism</t>
  </si>
  <si>
    <t>1. replace upper mechanism PCB
2. replace the gearbox
Remark: turn on the chair</t>
  </si>
  <si>
    <t>Meaning: The foot roller has been turned on for 10 seconds and the initial position has not been detected
Description: 1. Abnormal foot roller motor
2. The sensor of the foot rolling motor is broken</t>
  </si>
  <si>
    <t>1. Replace the motor
2. Check the foot roll sensor
3. Testing wires
Remark: turn on the chair</t>
  </si>
  <si>
    <t>Meaning: X-axis motor alarm
Description: 01: Overcurrent 04: Overvoltage 05: Undervoltage 06: Phase loss 07: Locked rotor 08: Over temperature 0B: Low pressure warning 0D: Hall stalling fault</t>
  </si>
  <si>
    <t>1. Replace the motor
2. Testing wires
Remark: turn on the chair</t>
  </si>
  <si>
    <t>Meaning: Y-axis motor alarm
Description: 01: Overcurrent 04: Overvoltage 05: Undervoltage 06: Phase loss 07: Locked rotor 08: Over temperature 0B: Low pressure warning 0D: Hall stalling fault</t>
  </si>
  <si>
    <t>Meaning: lowwer leg rest Telescopic signal is abnormity
Description: 1. Telescopic motor of lowwer leg rest broken
2. the wire broken
3. counting sensor broken</t>
  </si>
  <si>
    <t>1. change the motor
2. check the wire well or not
3. change the counting sensor of upper legrest motor
Remark: turn on the chair</t>
  </si>
  <si>
    <t>Meaning: upper leg rest Telescopic signal is abnormity
Description: 1. Telescopic motor of upper leg rest broken
2. the wire broken
3. counting sensor broken</t>
  </si>
  <si>
    <t>Meaning: when start the leg rest actuator, there is no counting signal for more than 2.5 seconds (or 40 seconds did not test the actuator Reset signal)
Description: 1. leg rest actuator broken
2. leg rest actuator wire broken</t>
  </si>
  <si>
    <t>1. change leg rest actuator
2. check the wire of the leg rest actuator
Remark: turn on the chair</t>
  </si>
  <si>
    <t>Meaning: X-axis motor loses communication
Description: 1. Motor abnormality
2. Cable issues</t>
  </si>
  <si>
    <t>Meaning: Y-axis motor loses communication
Description: 1. Motor abnormality
2. Cable issues</t>
  </si>
  <si>
    <t>Meaning: Z-axis motor loses communication
Description: 1. Motor abnormality
2. Cable issues</t>
  </si>
  <si>
    <t>Meaning: The communication between the main PCB and the air valve control PCB has not been successful for more than 4 seconds
Description: 1. Poor contact of plug wires on the air valve control board
2. The plug line of the air valve control board is broken</t>
  </si>
  <si>
    <t>1. Check if the signal plug of the air valve control board is properly plugged in
2. Replace the air valve control board and insert it securely
Remark: turn on the chair</t>
  </si>
  <si>
    <t>Meaning: when start the zero-G actuator, there is no counting signal for more than 2.5 seconds (or 40 seconds did not test the actuator Reset signal)
Description: 1. zero-G actuator broken
2. zero-G actuator wire broken</t>
  </si>
  <si>
    <t>1. change zero-G actuator
2. check the wire of the zero-G actuator
Remark: turn on the chair</t>
  </si>
  <si>
    <t>Meaning: The leg extension push rod detects the rear signal and detects the front signal again within 2.5 seconds (the rear sensor is broken)
Description: 1. The telescopic sensor is broken or has wiring problems
2. The telescopic motor is broken</t>
  </si>
  <si>
    <t>1. Replace the sensor
2. Detecting sensor wires
3. Replace the telescopic motor
Remark: turn on the chair</t>
  </si>
  <si>
    <t>Meaning: Side panel controller and main PCB failed to communicate for more than 10 seconds
Description: 1. The wiring of the side panel controller is broken
2. The side panel controller is damaged</t>
  </si>
  <si>
    <t>1. Check if the side panel controller is properly connected to the power cord
2. Replace the plug-in cable of the side panel controller
3. Replace the side panel controller
Remark: turn on the chair</t>
  </si>
  <si>
    <t>Meaning: If the front and rear sensors of the leg extension push rod are both at high level, it indicates that the sensor is abnormal or the terminal is disconnected
Description: 1. The telescopic sensor is broken or has wiring problems
2. The telescopic motor is broken</t>
  </si>
  <si>
    <t>Meaning: The leg extension push rod 20S did not detect the front sensor signal
Description: 1. The telescopic sensor is broken or has wiring problems
2. The telescopic motor is broken</t>
  </si>
  <si>
    <t>Meaning: The leg extension push rod detects the front signal and then detects the rear signal within 2.5 seconds (the rear sensor is broken)
Description: 1. The telescopic sensor is broken or has wiring problems
2. The telescopic motor is broken</t>
  </si>
  <si>
    <t>Meaning: The leg extension push rod 20S did not detect the rear sensor signal
Description: 1. The telescopic sensor is broken or has wiring problems
2. The telescopic motor is broken</t>
  </si>
  <si>
    <t>Meaning: Abnormal collision signal (the collision signal on the PCB of the lower mechanism is triggered for more than 10 seconds when the upper mechanism is at the upper limit and the lower mechanism is at the lower limit)
Description: 1. Abnormal sensor
2. Abnormal wiring</t>
  </si>
  <si>
    <t>1. Replace the sensor
2. Replace the docking cable
Remark: turn on the chair</t>
  </si>
  <si>
    <t>Meaning: The communication between the PCB of the lower mechanism and the main PCB has not been successful for more than 4 seconds
Description: 1. Poor contact between the back frame and the plug-in line
2. The back frame is disconnected from the plug-in line</t>
  </si>
  <si>
    <t>1. Check if the backrest cable is properly plugged in
2. Replace the backrest cable
Remark: turn on the chair</t>
  </si>
  <si>
    <t>Meaning: The upper and lower limit sensors of the lower mechanism are simultaneously effective
Description: 1. The upper and lower limit sensors of the lower mechanism are broken
2. lower backrest cable has come loose</t>
  </si>
  <si>
    <t>1. Replace the upper and lower limit sensors of the lower mechanism
2. Check the connection of the backrest cable of the lower mechanism
Remark: turn on the chair</t>
  </si>
  <si>
    <t>Meaning: When the rolling function of the lower mechanism is activated, abnormal rolling counting is detected
Description: 1. Poor contact of the backrest cable of the lower mechanism
2. The counting sensor of the lower mechanism is broken</t>
  </si>
  <si>
    <t>1. check backrest cable of lower mechanism well or not
2. The counting sensor of the lower mechanism is broken
Remark: turn on the chair</t>
  </si>
  <si>
    <t>Meaning: The 5S clock of the lower mechanism did not detect a wide position signal
Description: 1. kneading motor is abnormity
2. 3D PCB is abnormity
3. counting senor is abnormity of kneading motor</t>
  </si>
  <si>
    <t>Meaning: lower mechanism kneading signal is abnormity
Description: 1. kneading motor is abnormity
2. 3D PCB is abnormity
3. counting senor is abnormity of kneading motor</t>
  </si>
  <si>
    <t>Meaning: The 40S clock of the lower mechanism did not detect the upper limit sensor signal
Description: 1. The upper limit sensor is broken
2. The backrest cable connection falls off
3. The rolling motor is broken or disconnected</t>
  </si>
  <si>
    <t>1. Replace the upper limit sensor board
2. Check the connection of the backrest cable
3. Replace the rolling motor or wiring
Remark: turn on the chair</t>
  </si>
  <si>
    <t>Meaning: When the rolling function of the lower mechanism is activated, abnormal rolling counting is detected
Description: 1. The backrest cable connection falls off
2. The travel counting sensor is broken</t>
  </si>
  <si>
    <t>1. Check if the backrest cable is properly plugged in
2. The rolling counting sensor is broken
Remark: turn on the chair</t>
  </si>
  <si>
    <t>Meaning: After the upper limit sensor of the lower mechanism detects the signal, the lower limit sensor signal is detected again within 2 seconds
Description: 1. The lower (upper) limit sensor is broken</t>
  </si>
  <si>
    <t>1. Replace the upper limit sensor board
2. Check the connection of the upper limit sensor wire
Remark: turn on the chair</t>
  </si>
  <si>
    <t>Meaning: The 40S clock of the lower mechanism did not detect the lower limit sensor signal
Description: 1. The lower limit sensor is broken
2. The backrest cable connection falls off
3. The rolling motor is broken or disconnected</t>
  </si>
  <si>
    <t>1. Replace the lower limit sensor board
2. Check the connection of the back wirebackrest cable
3. Replace the faulty or wired rolling motor
Remark: turn on the chair</t>
  </si>
  <si>
    <t>Meaning: After the lower limit sensor of the lower mechanism detects the signal, the upper limit sensor signal is detected again within 2 seconds
Description: 1. The lower (upper) limit sensor is broken</t>
  </si>
  <si>
    <t>Meaning: Inflate the mechanism for 15 seconds without detecting any change in air pressure / The airbag cannot lift up
Description: 1. The air valve is broken
2. The air pressure sensor is broken
3. Tracheal detachment</t>
  </si>
  <si>
    <t>1. Pressure holding valve
2. Change the center board
3. Check the tracheal connection
Remark: turn on the chair</t>
  </si>
  <si>
    <t>Meaning: Air leakage detected after holding for 15 seconds, unable to maintain pressure / Air leakage detected for 15 seconds, unable to maintain pressure
Description: 1. Reverse the connection between the inflation valve and the pressure maintaining valve
2. Abnormal connection</t>
  </si>
  <si>
    <t>1. Check the tracheal connection
2. Check the wiring
Remark: turn on the chair</t>
  </si>
  <si>
    <t>Meaning: If the front and rear sensors of the leg scraping push rod are both at high level, it indicates that the sensor is abnormal or the terminal is disconnected
Description: 1. Scraping sensor broken or wiring problem
2. Scraping motor is broken</t>
  </si>
  <si>
    <t>1. Replace the sensor
2. Detecting sensor wires
3. Replace the scraping motor
Remark: turn on the chair</t>
  </si>
  <si>
    <t>Meaning: Abnormal counting signal of leg scraping
Description: 1. The leg scraping motor is broken
2. The counting line for leg scraping has fallen off
3. Abnormal leg scraping counting sensor</t>
  </si>
  <si>
    <t>1. Replace the leg scraping motor
2. Check the wiring of the leg scraping motor
3. Replace the leg scraping sensor
Remark: turn on the chair</t>
  </si>
  <si>
    <t>Meaning: The leg scraping push rod did not detect the front sensor signal for 20 seconds
Description: 1. Scraping sensor broken or wiring problem
2. Scraping motor is broken motor</t>
  </si>
  <si>
    <t>Meaning: The leg scraping push rod did not detect the rear sensor signal for 20 seconds
Description: 1. Scraping sensor broken or wiring problem
2. Scraping motor is broken motor</t>
  </si>
  <si>
    <t>Meaning: Abnormal pressure detection of calf air valve detection board
Description: 1. The pressure sensor is broken or there is a wiring issue
2. The detection board is damaged</t>
  </si>
  <si>
    <t>1. Replace the sensor
2. Detecting sensor wires
3. Change the calf pressure detection board
Remark: turn on the chair</t>
  </si>
  <si>
    <t>remote control did not connected more than 4 seconds</t>
  </si>
  <si>
    <t>backrest signal is abnormity</t>
  </si>
  <si>
    <t>1. check whether the backrest wire is well connected
2. change the backrest wire</t>
  </si>
  <si>
    <t>remote control tested any key pressed more than 45 seconds</t>
  </si>
  <si>
    <t>1. check remote control or side panel controller</t>
  </si>
  <si>
    <t>leg rest tested more than 4 seconds</t>
  </si>
  <si>
    <t>Side panel controller fails to communicate with main PCB more than 4S</t>
  </si>
  <si>
    <t>1. check the connector of wire
2. change the wire</t>
  </si>
  <si>
    <t>The position sensor of the rolling motor is abnormal, no change of the position code disk is detected after 8s.</t>
  </si>
  <si>
    <t>1. change the sensor
2. check the wire
3. check or change the motor
4. change main PCB</t>
  </si>
  <si>
    <t>The position coding of rolling motor is abnormal, the code disk is in an incorrect position</t>
  </si>
  <si>
    <t>1. change the sensor
2. the mechanism to the initial height position, and then turn the code disk to the correct initial position.</t>
  </si>
  <si>
    <t>The rotation speed sensor of the core massage (rolling) motor is abnormal, that is, no change of the rotation speed code disk is detected more than 4S.</t>
  </si>
  <si>
    <t>The position sensor of the core kneading motor is abnormal, that is, no change of the position code plate is detected after 8s.</t>
  </si>
  <si>
    <t>The rotation speed sensor of the core kneading motor is abnormal, that is, no change of the rotation speed code disk is detected after 5S.</t>
  </si>
  <si>
    <t>The position sensor of the core expansion motor is abnormal, i.e. no change of the position code disk is detected after 10s.</t>
  </si>
  <si>
    <t>The position coding of the core expansion motor is abnormal, that is, the code disk is in an incorrect position.</t>
  </si>
  <si>
    <t>1. change the sensor
2. Move the mechanism to the initial retraction position</t>
  </si>
  <si>
    <t>Abnormal rotation speed (count) sensor of core expansion motor</t>
  </si>
  <si>
    <t>backrest Count sensor abnormal</t>
  </si>
  <si>
    <t>leg rest Count sensor abnormal</t>
  </si>
  <si>
    <t>Calf extension position (count) sensor abnormal</t>
  </si>
  <si>
    <t>Abnormal coding of crus extension position (the shortest and longest limit sensors are valid at the same time)</t>
  </si>
  <si>
    <t>1. change the sensor
2. check the wire</t>
  </si>
  <si>
    <t>Calf extension shortest limit sensor failure</t>
  </si>
  <si>
    <t>Calf extension longest limit sensor failure</t>
  </si>
  <si>
    <t>The back heating thyristor is short circuited, i.e. the temperature is greater than or equal to 78 degrees detected for 10s.</t>
  </si>
  <si>
    <t>(1) check or chuange the heater
(2) Check whether the back frame wire and the heating of the core are short circuited and replace if there is any problem.</t>
  </si>
  <si>
    <t>The back heating thermistor is short circuited, i.e. the AD detection value is less than or equal to 5 in 5S.</t>
  </si>
  <si>
    <t>Check whether the back frame wire and the heating of the core are short circuited and replace if there is any problem.</t>
  </si>
  <si>
    <t>The back heating thermistor has an open circuit, that is, the ad detection value is greater than or equal to 247 in 5S.</t>
  </si>
  <si>
    <t>Check whether the back frame wire and the heating of the movement are open circuit, and replace if there is any problem.</t>
  </si>
  <si>
    <t>The hand controller button was pressed for more than 45s without letting go</t>
  </si>
  <si>
    <t>1. Check the status of each button carefully 2. Replace the hand controller</t>
  </si>
  <si>
    <t>Button stuck</t>
  </si>
  <si>
    <t>[Blank in Manual]</t>
  </si>
  <si>
    <t>The hand controller does not communicate with the center board for more than 4s</t>
  </si>
  <si>
    <t>1. Check or replace the plug-in cable 2. Replace the hand controller 3. Replace the center board</t>
  </si>
  <si>
    <t>Bad contact or fracture of inserting wire</t>
  </si>
  <si>
    <t>The movement plate does not communicate with the center board for more than 4s</t>
  </si>
  <si>
    <t>1. Check or replace the plug-in cable 2. Replacement of movement board 3. Replace the center board</t>
  </si>
  <si>
    <t>The position sensor is abnormal of the Movement walking moto</t>
  </si>
  <si>
    <t>1. Replacement of sensors 2. Check the connection 3. Replacement of movement board</t>
  </si>
  <si>
    <t>1. The position sensor is broken</t>
  </si>
  <si>
    <t>(1) Detection when function is turned on
(2) Shut down automatically in the event of failure time. And not allowed to boot.</t>
  </si>
  <si>
    <t>Position coding anomaly of the Movement walking moto, That is, the code disk is in the incorrect position.</t>
  </si>
  <si>
    <t>1. Replacement of sensors 2. Move the movement to the initial height position 3. Replacement of movement board</t>
  </si>
  <si>
    <t>1. The position sensor is broken 2. Movement overshoot</t>
  </si>
  <si>
    <t>(1) real-time detection
(2) Shut down automatically in the event of failure time. And not allowed to boot.</t>
  </si>
  <si>
    <t>Abnormal speed senso of the Movement walking moto, That is, no change of speed code disk was detected in excess of 6S.</t>
  </si>
  <si>
    <t>1. Check the connection between the motor and the movement board 2. Check or replace moto 3. Replacement of movement board</t>
  </si>
  <si>
    <t>1. The motor is broken or blocked 2. Drive circuit device damage</t>
  </si>
  <si>
    <t>the position sensor is abnormal of Core kneading moto, That is, no change of position code disk is detected over 10S.</t>
  </si>
  <si>
    <t>1. Check the connection between the sensor and the movement board 2. Replacement of sensors 3. Check or replace moto 4. Replacement of movement board</t>
  </si>
  <si>
    <t>1. The position sensor is broken 2. The motor is broken or blocked 3. Drive circuit device damage</t>
  </si>
  <si>
    <t>Abnormal speed senso of Core kneading moto, That is, more than 6S did not detect the speed code disk change.</t>
  </si>
  <si>
    <t>The position code of the telescopic airbag of the machine unit is abnormal.</t>
  </si>
  <si>
    <t>1. Check the connection between the sensor and the movement board 2. Replacement of sensors 3. Replacement of movement board</t>
  </si>
  <si>
    <t>The position of the Core kneading moto is Narrow anomaly in wide position</t>
  </si>
  <si>
    <t>1. Check the connection between the sensor and the movement board 2. Replace the senso 3. Check or replace moto 4. Replace the movement board</t>
  </si>
  <si>
    <t>The count sensor is abnormal of the Backrest push rod.</t>
  </si>
  <si>
    <t>1. Check the connection 2. Check or replace the push rod 3. Replace the center board</t>
  </si>
  <si>
    <t>1. Count sensor bad 2. Connection anomaly 3. The motor is broken or blocked 4. Drive circuit device damage</t>
  </si>
  <si>
    <t>The count sensor is abnormal of the Calves push rod</t>
  </si>
  <si>
    <t>When calves stretch out and draw back, the count sensor is abnormal.</t>
  </si>
  <si>
    <t>Meaning: Remote Control Keypad jammed
Description: Remote Control Keypad jammed</t>
  </si>
  <si>
    <t>1. Check if the key is stuck? 2. Replace a new Remote Control</t>
  </si>
  <si>
    <t>Meaning: Remote Control and main PCB no communication for more than 4 seconds
Description: Poor contact of wire or breakage</t>
  </si>
  <si>
    <t>1. check or replace the wire 2. Replace a new Remote Control</t>
  </si>
  <si>
    <t>Meaning: Gear box and main PCB no communication for more than 4 seconds
Description: Poor contact of wire or breakage</t>
  </si>
  <si>
    <t>1. check or replace the wire 2. Replace a new gear box</t>
  </si>
  <si>
    <t>Meaning: The rolling motor of gear box sensor anomaly
Description: The sensor is broken</t>
  </si>
  <si>
    <t>1. Replace a new gear box 2. At the same time check whether the magnet on the guide rail is abnormal
Remarks: 1. Detection on Function Opening
2. Automatic shutdown in case of malfunction and no boot-up allowed.</t>
  </si>
  <si>
    <t>Meaning: The rolling motor of gear box coding anomaly
Description: 1. The sensor is broken 2. The rear box is overshoot</t>
  </si>
  <si>
    <t>1. Replace a new gear box 2. At the same time check whether the magnet on the guide rail is abnormal
Remarks: Same as above</t>
  </si>
  <si>
    <t>Meaning: The rolling motor of gear box coding anomaly speed sensor abnormality. Not detected for more than 6 seconds
Description: 1. The motor is broken or blocked. 2. Damage of Drive Circuit</t>
  </si>
  <si>
    <t>1. Check the connection between motor and PCBA. 2. Inspection or replacement of motor 3. Replace a new gear box.
Remarks: Same as above</t>
  </si>
  <si>
    <t>Meaning: The kneading motor of gear box sensor anomaly. Not detected for more than 10 seconds
Description: 1. The sensor is broken 2. The motor is broken or blocked. 3. Damage of Drive Circuit</t>
  </si>
  <si>
    <t>1. Check the connection between sensor and PCBA. 2. Inspection or replacement of sensor 3. Replace a new gear box
Remarks: Same as above</t>
  </si>
  <si>
    <t>Meaning: The kneading motor of gear box sensor anomaly. Not detected for more than 6 seconds
Description: 1. The motor is broken or blocked. 2. Damage of Drive Circuit</t>
  </si>
  <si>
    <t>Meaning: Abnormal coding of telescopic gasbag for gear
Description: The sensor is broken</t>
  </si>
  <si>
    <t>Meaning: The kneading motor of gear box ide-medium-narrow anomaly.
Description: 1. The sensor is broken 2. The motor is broken or blocked. 3. Damage of Drive Circuit</t>
  </si>
  <si>
    <t>1. Check the connection between sensor and PCBA. 2. Inspection or replacement of motor 3. Replace the sense. 4. Replace a new gear box
Remarks: Same as above</t>
  </si>
  <si>
    <t>Meaning: Actuator for backrest, counting sensor anomaly
Description: 1. Counting sensor is broken 2. Linear anomaly 3. The motor is broken or blocked. 4. Damage of Driving Circuit Devices</t>
  </si>
  <si>
    <t>1. Check whether the connection between actuator and main PCB is loose 2. Replace a new actuator 3. Depot repair
Remarks: Same as above</t>
  </si>
  <si>
    <t>Meaning: Actuator for leg rest, counting sensor anomaly
Description: 1. Counting sensor is broken 2. Linear anomaly 3. The motor is broken or blocked. 4. Damage of Driving Circuit Devices</t>
  </si>
  <si>
    <t>Timer Display: [Timer Display: 5-minute dot is lit yellow]
Meaning: remote control tested any key pressed more than 40 seconds
Description: 1. one of the KEY has been blocked.
Remark: turn on the chair</t>
  </si>
  <si>
    <t>Timer Display: [Timer Display: 10-minute dot is lit yellow]
Meaning: remote control did not connected more than 4s.
Description: 1. remote control wire is broken or the remote control is disconnected
2. Before power on, the upper and down limit sensors are valid at the same time
Remark: turn on the chair</t>
  </si>
  <si>
    <t>1. reconnecte the remote control or change the remote control wire.
2. Check the upper and down limit sensors and wiring</t>
  </si>
  <si>
    <t>Timer Display: [Timer Display: 5 and 10-minute dots are lit yellow]
Meaning: power on, the upper and down limit sensors are valid at the same time
Description: 1. The connector of the backrest wire is not well connected
2. up or down limit sensor is broken
3. rolling motor or wire is broken
Remark: turn on the chair</t>
  </si>
  <si>
    <t>1. check whether the backrest wire is well connected
2. change the up &amp; down limit sensor</t>
  </si>
  <si>
    <t>Timer Display: [Timer Display: 15-minute dot is lit yellow]
Meaning: rolling counting sensor is abnormal
Description: 1. backrest wire is not well connected.
2. the counting sensor of the rolling motor is broken
Remark: turn on the chair</t>
  </si>
  <si>
    <t>1. check whether the backrest wire is well connected
2. change the counting sensor of the rolling</t>
  </si>
  <si>
    <t>Timer Display: [Timer Display: 15-minute dot is lit yellow]
Meaning: Press and hold the side panel key (except power) for more than 40s
Description: 1. one of the KEY has been blocked.
Remark: turn on the chair</t>
  </si>
  <si>
    <t>1. check the key of the remote controland side panel</t>
  </si>
  <si>
    <t>Timer Display: [Timer Display: 10 and 15-minute dots are lit yellow]
Meaning: leg rest tested more than 4 seconds
Description: 1. connector of leg rest wire not well
2. wire of leg rest broken
Remark: turn the power</t>
  </si>
  <si>
    <t>Timer Display: [Timer Display: 20-minute dot is lit yellow]
Meaning: more than 5 seconds did not tested the middle signal
Description: 1. wideth inspection board is broken
2. the wire connect to the wideth inspection board is disconnected
3. kneading motor is broken or kneading belt is lost
Remark: turn the power</t>
  </si>
  <si>
    <t>1. change wideth inspection board
2. change backrest wires. (black and gray)
3. change kneading motor</t>
  </si>
  <si>
    <t>Timer Display: [Timer Display: 5 and 20-minute dots are lit yellow]
Meaning: more than 5 seconds did not tested the narrow signal
Description: 1. wideth inspection board is broken
2. the wire connect to the wideth inspection board is disconnected
3. kneading motor is broken or kneading belt is lost
Remark: turn the power</t>
  </si>
  <si>
    <t>1. change wideth inspection board
2. change backrest wire
3. change kneading motor</t>
  </si>
  <si>
    <t>Timer Display: [Timer Display: 15 and 20-minute dots are lit yellow]
Meaning: tested signals from up &amp; down limit sensor at the same time.
Description: 1. up &amp; down limit sensor are broken
2. backrest wire is disconnected.
Remark: turn the power</t>
  </si>
  <si>
    <t>Timer Display: [Timer Display: 10, 15, and 20-minute dots are lit green]
Meaning: more than 40s didn't tested the signal from the up limit sensor
Description: 1. upper limit sensor is broken.
2. backrest wires are disconnected
3. rolling motor is broken or rolling motor wire disconnected
Remark: turn the power</t>
  </si>
  <si>
    <t>Timer Display: [Timer Display: 5, 10, 15, and 20-minute dots are lit green]
Meaning: height counting signal error
Description: 1. the counting sensor of the rolling motor is broken
2. backrest wire is disconnected
Remark: turn the power</t>
  </si>
  <si>
    <t>Timer Display: [Timer Display: 25-minute dot is lit green]
Meaning: after tested signal from up limit sensor then tested signal from down limit sensor in 2 seconds.
Description: 1. down limit sensor is broken
Remark: turn the power</t>
  </si>
  <si>
    <t>1. change down limit sensor
2. check whether the backrest wire (black) is well connected.
3. change rolling motor</t>
  </si>
  <si>
    <t>Timer Display: [Timer Display: 5 and 25-minute dots are lit green]
Meaning: more than 40s didn't tested the signal from the down limit sensor
Description: 1. down limit sensor is broken
2. the backrest wire is disconnected.
3. rolling motor is broken or disconnected
Remark: turn the power</t>
  </si>
  <si>
    <t>Timer Display: [Timer Display: 10 and 25-minute dots are lit green]
Meaning: after tested signal from down limit sensor then tested signal from up limit sensor in 2 seconds.
Description: 1. upper limit sensor is broken.
Remark: turn the power</t>
  </si>
  <si>
    <t>Timer Display: [Timer Display: 5 and 25-minute dots are lit yellow]
Meaning: can't test signal from foot rest recline actuator
Description: 1. foot rest recline actuator is broken
2. foot rest actuator motor wire is disconnected
3. the signal wire of foot rest actuator is disconnected.
Remark: turn the power</t>
  </si>
  <si>
    <t>Timer Display: [Timer Display: 15, 20, and 25-minute dots are lit green]
Meaning: when start the zero-G actuator, there is no counting signal for more than 2.5 seconds (or 40 seconds did not test the actuator Reset signal)
Description: 1. zero-G actuator broken
2. zero-G actuator wire broken
Remark: turn the power</t>
  </si>
  <si>
    <t>1. change zero-G actuator
2. check the wire of the zero-G actuator</t>
  </si>
  <si>
    <t>Timer Display: [Timer Display: 10, 15, 20, and 25-minute dots are lit green]
Meaning: The commmunication between the main PCB and the side panel was not successful for more than 4S
Description: 1. side panel wire did not connect well
2. The side panel wire is broken
Remark: turn the power</t>
  </si>
  <si>
    <t>1. Check whether the side panel wire is properly plugged
2. Replace the side panel wire</t>
  </si>
  <si>
    <t>Meaning: Remote did not connect main PCB over 4 seconds.
Problem Description: The wires between remote and main PCB was poor-contact or broken.</t>
  </si>
  <si>
    <t>Reconnect or change the wires.</t>
  </si>
  <si>
    <t>remote wire to pcb</t>
  </si>
  <si>
    <t>Meaning: Rolling mechanism did not connect main PCB over 4 seconds.
Problem Description: The wires between rolling mechanism and main PCB was poor-contact or broken.</t>
  </si>
  <si>
    <t>Meaning: Keys on remote pressed over 45 seconds.
Problem Description: Keys were stucked.</t>
  </si>
  <si>
    <t>Check keys.</t>
  </si>
  <si>
    <t>Meaning: Footrest board did not connect main PCB over 4 seconds.
Problem Description: The wires between footrest board and main PCB was poor-contact or broken.</t>
  </si>
  <si>
    <t>Meaning: Arm pannel controller did not connect main PCB over 4 seconds.
Problem Description: The wires between arm pannel controller and main PCB was poor-contact or broken.</t>
  </si>
  <si>
    <t>Meaning: The position sensor of rolling motor in Massage mech is abnormal.Can not test the position changing over 8s.
Problem Description:
1.  Position sensor was broken.
2.  Something wrong with the wires which between main PCB and rolling mechanism board.
3.  Rolling motor is broken or stuck.
4.  Driving circuit device is broken.</t>
  </si>
  <si>
    <t>1.  Change the sensor.
2.  Check the wires.
3.  Check and change rolling mechanism.
4.  Change main PCB.</t>
  </si>
  <si>
    <t>Meaning: Rolling motor is in a wrong position.
Problem Description:
1.  Position sensor was broken.
2.  Encoding disk is in a wrong initial position.
3.  Massage mech overshoots.</t>
  </si>
  <si>
    <t>1.  Change the sensor.
2.  Make the massage mech move to the initial position then dial the encoding disk to the right initial position.</t>
  </si>
  <si>
    <t>Meaning: Rolling motor can not detect encoding disk for over 4s.
Problem Description:
1.  Position sensor was broken.
2.  Something wrong with the wires which between main PCB and rolling mechanism board.
3.  Rolling motor is broken or stuck.
4.  Driving circuit device is broken.</t>
  </si>
  <si>
    <t>Meaning: Kneading motor in massage mech can not detect the encoding disk position for over 8s.
Problem Description:
1.  Position sensor was broken.
2.  Something wrong with the wires which between main PCB and rolling mechanism board.
3.  Kneading motor is broken or stuck.
4.  Driving circuit device is broken.</t>
  </si>
  <si>
    <t>Meaning: Kneading motor in massage mech can not detect the encoding disk speed for over 5s.
Problem Description:
1.  Position sensor was broken.
2.  Something wrong with the wires which between main PCB and rolling mechanism board.
3.  Kneading motor is broken or stuck.
4.  Driving circuit device is broken.</t>
  </si>
  <si>
    <t>Meaning: The 4D extend motor in massage mech can not detect the encoding disk position for over 10s.
Problem Description:
1.  Position sensor was broken.
2.  Something wrong with the wires which between main PCB and rolling mechanism board.
3.  4D extend motor is broken or stuck.
4.  Driving circuit device is broken.</t>
  </si>
  <si>
    <t>Meaning: The 4D extend motor in massage mech is abnormal. The encoding disk is in a wrong position.
Problem Description:
1.  Position sensor was broken.
2.  Encoding disk is in a wrong initial position.
3.  Massage mech overshoots.</t>
  </si>
  <si>
    <t>Meaning: Speed sensor for the 4D extend motor is abnormal.
Problem Description:
1.  Position sensor was broken.
2.  Something wrong with the wires which between main PCB and rolling mechanism board.
3.  4D extend motor is broken or stuck.
4.  Driving circuit device is broken.</t>
  </si>
  <si>
    <t>Meaning: Backrest Reclining Actuator. Counting sensor is abnormal.
Problem Description:
1.  Counting sensor is broken
2.  Abnormal wire connection.
3.  Motor is broken or stuck.
4.  Driving circuit device is broken.</t>
  </si>
  <si>
    <t>Meaning: Legrest Actuator. Counting sensor is abnormal.
Problem Description:
1.  Counting sensor is broken
2.  Abnormal wire connection.
3.  Motor is broken or stuck.
4.  Driving circuit device is broken.</t>
  </si>
  <si>
    <t>Meaning: Legrest Extend Actuator. Counting sensor is abnormal.
Problem Description:
1.  Counting sensor is broken
2.  Abnormal wire connection.
3.  Motor is broken or stuck.
4.  Driving circuit device is broken.</t>
  </si>
  <si>
    <t>Meaning: Legrest Extend Actuator. Detect signals from longest and shortest limit sensor at the same time.
Problem Description:
1.  Position sensor broken.
2.  Abnormal wire connection.</t>
  </si>
  <si>
    <t>1.  Change the sensor.
2.  Check the connection.</t>
  </si>
  <si>
    <t>Meaning: Legrest Extend Actuator. The shortest limit sensor is broken.
Problem Description:
1.  Position sensor broken.
2.  Abnormal wire connection.</t>
  </si>
  <si>
    <t>footrest and footrest actuator</t>
  </si>
  <si>
    <t>Meaning: Legrest Extend Actuator. The longest limit sensor is broken.
Problem Description:
1.  Position sensor broken.
2.  Abnormal wire connection.</t>
  </si>
  <si>
    <t>Meaning: Heating function. The MOSFET short ciruit. Detected the temperature is over 78°C for more than 10s.
Problem Description: The MOSFET short ciruit, overcurrent.</t>
  </si>
  <si>
    <t>(1) Check or change main PCB. (2) Check the black and grey wires as well as rolling mechanism whether open circuit or not. If so, pls change black and grey wires or rolling mechanism.</t>
  </si>
  <si>
    <t>Meaning: Heating function. NTC short ciruit.
Problem Description: NTC short ciruit.</t>
  </si>
  <si>
    <t>Check the black and grey wires as well as rolling mechanism whether open circuit or not. If so, pls change black and grey wires or rolling mechanism.</t>
  </si>
  <si>
    <t>Meaning: Heating function. NTC open circuit.
Problem Description: NTC open circuit.</t>
  </si>
  <si>
    <t>check black &amp; grey wires connecting to the mech - check the white wire on the mech (heating</t>
  </si>
  <si>
    <t>Meaning: remote control tested any key pressed more than 40 seconds
Description: 1.one of the KEY has been blocked.</t>
  </si>
  <si>
    <t>1.Detect remote control buttons</t>
  </si>
  <si>
    <t>Meaning: The communication between remote controller and the main PCB has exceeded 4S and has not been successful
Description: 1.remote controller wire do not connect well</t>
  </si>
  <si>
    <t>1.replace remote controller wire</t>
  </si>
  <si>
    <t>Meaning: upper backrest signal is abnormity
Description:
The connector of the backrest wire is not well connected
Backrest wire Broken</t>
  </si>
  <si>
    <t>check the connector of backrest wire
change the backrest wire</t>
  </si>
  <si>
    <t>Meaning: upper mechanism rolling signal is abnormity
Description:
The connector of the backrest wire is not well connected
rolling sensor broken</t>
  </si>
  <si>
    <t>check the connector of backrest wire
rolling sensor broken</t>
  </si>
  <si>
    <t>1.check remote control or side panel controller</t>
  </si>
  <si>
    <t>Meaning: leg rest tested more than 4 seconds
Description:
connector of leg rest wire not well
wire of leg rest broken</t>
  </si>
  <si>
    <t>check the connector of leg rest wire
change the wire of leg rest</t>
  </si>
  <si>
    <t>Meaning: upper mechanism kneading signal is abnormity
Description:
wideth inspection board is broken
the wire connect to the wideth inspection board is disconnected</t>
  </si>
  <si>
    <t>change wideth inspection board
change backrest wires.</t>
  </si>
  <si>
    <t>Meaning: upper mechanism more than 5 seconds did not tested the wide signal
Description:
wideth inspection board is broken
the wire connect to the wideth inspection board is disconnected
kneading motor is broken or kneading belt is lost</t>
  </si>
  <si>
    <t>change wideth inspection board
change backrest wires.
change kneading motor</t>
  </si>
  <si>
    <t>Meaning: upper mechanism more than 5 seconds did not tested the centre signal
Description:
wideth inspection board is broken
the wire connect to the wideth inspection board is disconnected
kneading motor is broken or kneading belt is lost</t>
  </si>
  <si>
    <t>Meaning: upper mechanism more than 5 seconds did not tested the narrow signal
Description:
wideth inspection board is broken
the wire connect to the wideth inspection board is disconnected
kneading motor is broken or kneading belt is lost</t>
  </si>
  <si>
    <t>Meaning: No kneading reversing signal was detected at 10S on the upper movement
Description: 1.Main PCB is broken</t>
  </si>
  <si>
    <t>1.change Main PCB.</t>
  </si>
  <si>
    <t>Meaning: The width signal was also detected after the upper movement kneading motor was turned off
Description: 1.Main PCB is broken</t>
  </si>
  <si>
    <t>Meaning: upper movement tested signals from up &amp; down limit sensor at the same time.
Description:
upper&amp;lower limit sensor is broken.
backrest wire or the terminals broken.</t>
  </si>
  <si>
    <t>Change up &amp; down limit sensor
check whether the backrest wire is well connected</t>
  </si>
  <si>
    <t>Meaning: upper movement more than 40s didn't tested the signal from the upper limit sensor
Description:
upper limit sensor is broken.
backrest wire is disconnected
rolling motor is broken or rolling motor wire disconnected</t>
  </si>
  <si>
    <t>change upper limit sensor
check whether the backrest wire is well connected.
change rolling motor or rolling motor wire.</t>
  </si>
  <si>
    <t>Meaning: upper movement didn't tested the rolling counting signal
Description:
backrest wire is not well connected.
the counting sensor of the rolling motor is broken</t>
  </si>
  <si>
    <t>check whether the backrest wire is well connected
change the counting sensor of the rolling motor</t>
  </si>
  <si>
    <t>Meaning: upper movement test the signal from upper limit sensor in 2 seconds test the lower limit sensor
Description: 1.lower limit sensor or upper limit sensor is broken.</t>
  </si>
  <si>
    <t>change lower limit sensor or upper limit sensor
Check if the lower limit sensor or upper limit sensor wire is properly connected.</t>
  </si>
  <si>
    <t>Meaning: upper movement more than 40s didn't tested the signal from the lower limit sensor
Description:
lower limit sensor is broken.
backrest wire is disconnected
rolling motor is broken or rolling motor wire disconnected</t>
  </si>
  <si>
    <t>change lower limit sensor
check whether the backrest wire(black) is well connected.
change rolling motor or rolling motor wire.</t>
  </si>
  <si>
    <t>Meaning: upper movement test the signal from lower limit sensor in 2 seconds test the upper limit sensor
Description: 1.upper limit sensor or lower limit sensor is broken.</t>
  </si>
  <si>
    <t>change upper limit sensor or lower limit sensor
Check if the lower limit sensor or upper limit sensor wire is properly connected.</t>
  </si>
  <si>
    <t>Meaning: when start the leg rest actuator, there is no counting signal for more than 2.5 seconds (or 40 seconds did not test the actuator Reset signal)
Description:
leg rest actuator broken
leg rest actuator wire broken
Leg push rod count wire off</t>
  </si>
  <si>
    <t>change leg rest actuator
check the wire of the leg rest actuator
check the leg push rod count line connection</t>
  </si>
  <si>
    <t>Meaning: The sensors on the front and back of the leg telescopic push rod are both high indicating that the sensors are abnormal or the terminals are off
Description:
The expansion sensor is faulty or the cable connection is faulty
The telescopic motor is broken</t>
  </si>
  <si>
    <t>Replace the sensor
Detecting sensor wires
Replace the telescopic motor</t>
  </si>
  <si>
    <t>Meaning: The leg retractable pushrod 20S does not detect the front sensor signal
Description:
The expansion sensor is faulty or the cable connection is faulty
The telescopic motor is broken</t>
  </si>
  <si>
    <t>Meaning: The rear end signal is detected within 2.5S after the front end signal is detected by the leg telescopic pushrod (the rear end sensor is broken)
Description:
The expansion sensor is faulty or the cable connection is faulty
The telescopic motor is broken</t>
  </si>
  <si>
    <t>Meaning: The leg retractable pushrod 20S does not detect the rear sensor signal
Description:
The expansion sensor is faulty or the cable connection is faulty
The telescopic motor is broken</t>
  </si>
  <si>
    <t>Meaning: The rear end signal was detected by the leg telescopic pushrod and the front end signal was detected within 2.5S (the rear end sensor was broken)
Description:
The expansion sensor is faulty or the cable connection is faulty
The telescopic motor is broken</t>
  </si>
  <si>
    <t>Meaning: when start the backrest recline actuator, there is no counting signal for more than 2.5 seconds
Description:
backrest recline actuator is broken
backrest recline actuator wire is disconnected
the signal wire of the backrest recline wire is disconnected</t>
  </si>
  <si>
    <t>change backrest recline actuator
check whether backrest recline actuator motor wire is well connected.
check whether the signal wire of the backrest recline actuator is well connected</t>
  </si>
  <si>
    <t>Meaning: upper movement tested signals from front&amp;back limit sensor at the same time (3D )
Description:
3D limit sensor broken
3D limit sensor wire broken</t>
  </si>
  <si>
    <t>change 3D limit sensor
cheke whether 3D limit sensor wire connect well or not</t>
  </si>
  <si>
    <t>Meaning: Side panel POWER button long press for more than 50 seconds
Description: 1.Button stuck</t>
  </si>
  <si>
    <t>1.check POWER button</t>
  </si>
  <si>
    <t>Meaning: upper movement 3D counting signal is abnormity
Description:
3D counting sensor is broken
3D counting sensor wire connect not well</t>
  </si>
  <si>
    <t>change 3D countinng sensor
check wether 3D counting sensor wire connect well</t>
  </si>
  <si>
    <t>Meaning: After tested 3D limit sensor signal, then tested the other limit sensor signal in 2 seconds.
Description: 1.3D limit sensor brken</t>
  </si>
  <si>
    <t>1.change 3D limit sensor</t>
  </si>
  <si>
    <t>Meaning: 3D limit sensor tester more than 10 seconds(3D)
Description:
3D limit sensor broken
3D limit sensor wire broken
3D motor broken
The 3D light shield is loose</t>
  </si>
  <si>
    <t>change 3D limit sensor
cheke whether 3D limit sensor wire connect well or not
change 3D motor
check wether the 3D light shield is loose</t>
  </si>
  <si>
    <t>Meaning: Abnormal anti-collision signal (the movement on the anti-collision signal of the control board of the lower movement triggers more than 10S under the lower limit of the upper limit
Description:
Sensor abnormality
Abnormal wiring</t>
  </si>
  <si>
    <t>replace the sensor
replace the wire</t>
  </si>
  <si>
    <t>Meaning: The communication between the lower mechanism control board and the main PCB has exceeded 4S and has not been successful
Description:
Poor contact between the back cable and the main PCB
lower mechanism docking line disconnection</t>
  </si>
  <si>
    <t>check the terminalconnect well or not
replace the cable</t>
  </si>
  <si>
    <t>Meaning: The upper and lower limit sensors of the lower mechanism are both effective
Description:
replace upper and lower limit sensors of lower mechanism
backrest wire of lower mechanism do not connect well</t>
  </si>
  <si>
    <t>Replace the upper and lower limit sensor under the movement
Check the signal cable connection of the back frame under the movement</t>
  </si>
  <si>
    <t>Meaning: When the lower movement has the walk function turned on, an abnormal walk count was detected
Description:
The signal on the back frame of the lower movement is in poor contact with the cable
The movement stroke counting sensor is broken</t>
  </si>
  <si>
    <t>Lower the movement and check whether the signal pair of the back frame is inserted properly
The movement stroke counting sensor is broken</t>
  </si>
  <si>
    <t>Meaning: The kneading motor rotation count signal was not detected in 5S of the lower movement
Description:
The width detection board is broken
Connections to the width board are abnormal
Kneading motor broken or belt off</t>
  </si>
  <si>
    <t>Replace the width detection board
Replace the signal cable for the back frame
Replace the motor</t>
  </si>
  <si>
    <t>Meaning: The lower movement 5S clock does not detect the wide position signal
Description:
The width detection board is broken
Connections to the width board are abnormal
Kneading motor broken or belt off</t>
  </si>
  <si>
    <t>Meaning: The upper limit sensor signal was not detected in the lower movement 40S
Description:
The upper limit sensor is faulty
The cable to the back frame falls off
The walking motor is broken or disconnected</t>
  </si>
  <si>
    <t>Replace the upper limit sensor board
Check the signal cable connection of the back frame
Replace the walking motor or cable</t>
  </si>
  <si>
    <t>Meaning: When the lower movement has the walking function turned on, an abnormal walk count was detected
Description:
The back signal is in poor contact with the cable
The stroke count sensor is broken</t>
  </si>
  <si>
    <t>Check whether the back frame signal pair cable is properly inserted
Stroke count sensor is broken</t>
  </si>
  <si>
    <t>Meaning: The lower movement upper limit sensor detects the signal and detects the lower limit sensor signal within 2S
Description: 1. The lower (upper) limit sensor is faulty</t>
  </si>
  <si>
    <t>Replace the lower (upper) limit sensor plate
Check the lower (upper) limit sensor wire connection</t>
  </si>
  <si>
    <t>Meaning: The lower limit sensor signal was not detected in the 40S of the lower movement
Description:
The lower limit sensor is faulty
The cable to the back frame falls off
The walking motor is broken or disconnected</t>
  </si>
  <si>
    <t>Replace the lower limit sensor board
Check the cable connections
Replace the faulty or connected walking motor</t>
  </si>
  <si>
    <t>Meaning: After the lower limit sensor detects the signal, the upper limit sensor signal is detected within 2S
Description: 1. The lower (upper) limit sensor is faulty</t>
  </si>
  <si>
    <t>Meaning: After inflating the lower mechanism for 15 seconds, no change in air pressure was detected, and the airbag failed to rise.
Description:
Faulty valve
Faulty pressure sensor
Loose air hose</t>
  </si>
  <si>
    <t>Maintain pressure valve
Modify the center plate
Inspect the connection of the air hose</t>
  </si>
  <si>
    <t>Meaning: Upon detecting air leakage after holding the pressure for 15 seconds, it was determined that the pressure could not be maintained.
Description:
The inflation valve and pressure-holding valve are connected incorrectly.
There is an issue with the wiring.</t>
  </si>
  <si>
    <t>Inspect the connection to the airway
Inspect the wiring</t>
  </si>
  <si>
    <t>Meaning: power button stuck
Description: Button not rebounding correctly Abnormal cause causing button short circuit</t>
  </si>
  <si>
    <t>Check button status Replace the switch button</t>
  </si>
  <si>
    <t>Meaning: No communication between the remote controll and the main PCB for more than 4S
Description: Poor contact or fracture of wire Circuit PCB damage</t>
  </si>
  <si>
    <t>Check or replace the wire Check or replace the main PCB and remote controll</t>
  </si>
  <si>
    <t>Meaning: mechanism PCB and main PCB have not communicated for more than 4S
Description: Poor contact or fracture of backrest cable Circuit PCB damage</t>
  </si>
  <si>
    <t>Check or replace backrest cable Check or replace main PCB and mechanism PCB</t>
  </si>
  <si>
    <t>Meaning: no communication between shoulder PCB and main PCB for more than 4S
Description: Poor contact or fracture of wire Circuit PCB damage</t>
  </si>
  <si>
    <t>Check or replace the wire Check or replace main PCB or shoulder PCB</t>
  </si>
  <si>
    <t>Meaning: Side panel key stuck
Description: Key does not spring back correctly Key short circuit due to abnormal causes</t>
  </si>
  <si>
    <t>Check key status Replace the side panel key</t>
  </si>
  <si>
    <t>Meaning: No communication between legrest PCB and main PCB for more than 4S
Description: Poor contact or fracture of wire Circuit PCB damage</t>
  </si>
  <si>
    <t>Check or replace the wire Check or replace main PCB or legrest PCB</t>
  </si>
  <si>
    <t>Meaning: Left shoulder and shoulder pressing PCB failed to communicate successfully for more than 4S (left shoulder after sitting)
Description: Poor contact or fracture of wire Circuit PCB damage</t>
  </si>
  <si>
    <t>Check or replace the wire Check or replace shoulder PCB or Shoulder PCB</t>
  </si>
  <si>
    <t>Meaning: right shoulder and shoulder pressing PCB failed to communicate successfully for more than 4S (right shoulder after sitting)
Description: Poor contact or fracture of wire Circuit PCB damage</t>
  </si>
  <si>
    <t>Meaning: Abnormal position signal sensor of left shoulder kneading motor
Description:
1. position sensor borken
2. Abnormal connection between shoulder drive PCB and signal PCB
3. motor broken
4. Circuit PCB damage</t>
  </si>
  <si>
    <t>1. replace the sensor
2. check the wire
3. check or replace the motor
4. replace Shoulder pressure PCB</t>
  </si>
  <si>
    <t>Meaning: Abnormal rotation speed signal sensor of left shoulder kneading motor
Description:
1. speed sensor is broken
2. the connection between the shoulder drive PCB and the motor is abnormal
3. motor is broken or locked
4. drive circuit components are damaged</t>
  </si>
  <si>
    <t>1. check the wire
2. check or replace the motor
3. replace Shoulder pressure PCB</t>
  </si>
  <si>
    <t>Meaning: Abnormal position signal sensor of right shoulder kneading motor
Description:
1. position sensor borken
2. Abnormal connection between shoulder drive PCB and signal PCB
3. motor broken
4. Circuit PCB damage</t>
  </si>
  <si>
    <t>Meaning: Abnormal rotation speed signal sensor of right shoulder kneading motor
Description:
1. speed sensor is broken
2. the connection between the shoulder drive PCB and the motor is abnormal
3. motor is broken or locked
4. drive circuit components are damaged</t>
  </si>
  <si>
    <t>Meaning: Abnormal position signal sensor of left shoulder rolling motor
Description:
1. position sensor is broken
2. the initial position of code disk is incorrect
3. shoulder overshoot
4. shoulder PCB damaged</t>
  </si>
  <si>
    <t>1. replace the sensor
2. Move the pressure shoulder to the initial height position, and then turn the code disk to the correct initial position.
3. replace Shoulder PCB</t>
  </si>
  <si>
    <t>Meaning: Left shoulder rolling motor speed signal sensor abnormal
Description:
1. speed sensor is broken
2. the connection between the shoulder PCB and the motor is abnormal
3. motor is broken or locked
4. drive circuit components are damaged</t>
  </si>
  <si>
    <t>1. check the wire
2. check or replace the motor
3. replace Shoulder PCB</t>
  </si>
  <si>
    <t>Meaning: Abnormal position signal sensor of right shoulder rolling motor
Description:
1. position sensor is broken
2. the initial position of code disk is incorrect
3. shoulder overshoot
4. shoulder PCB damaged</t>
  </si>
  <si>
    <t>Meaning: right shoulder rolling motor speed signal sensor abnormal
Description:
1. speed sensor is broken
2. the connection between the shoulder PCB and the motor is abnormal
3. motor is broken or locked
4. drive circuit components are damaged</t>
  </si>
  <si>
    <t>Meaning: Left shoulder air pressure sensor IIC communication abnormal
Description:
1. the sensor is broken
2. the connection between the shoulder PCB and the air pressure sensor is abnormal
3. the circuit components of the shoulder PCB are damaged</t>
  </si>
  <si>
    <t>1. Replace the air pressure sensor
2. check the wire
3. replace shoulder PCB</t>
  </si>
  <si>
    <t>Meaning: right shoulder air pressure sensor IIC communication abnormal
Description:
1. the sensor is broken
2. the connection between the shoulder PCB and the air pressure sensor is abnormal
3. the circuit components of the shoulder PCB are damaged</t>
  </si>
  <si>
    <t>Meaning: No communication between the side panel key and the main PCB for more than 4S
Description: Poor contact or fracture of wire Circuit PCB damage</t>
  </si>
  <si>
    <t>check or replace the wire check or replace main PCB or side panel control</t>
  </si>
  <si>
    <t>Meaning: No communication between the pressure detection module and the main PCB for more than 6 seconds
Description: Poor contact or fracture of wire Pressure detection module damaged</t>
  </si>
  <si>
    <t>check or replace the wire Check or replace the main PCB and pressure detection module</t>
  </si>
  <si>
    <t>Meaning: Abnormal communication between WiFi PCB and main PCB
Description: Poor contact or fracture of wire WiFi PCB damaged</t>
  </si>
  <si>
    <t>check or replace the wire Check or replace the main PCB and WIFI PCB</t>
  </si>
  <si>
    <t>Meaning: Abnormal communication between Bluetooth board and central board
Description: Poor or broken contact with the wire or terminal Bluetooth PCB broken</t>
  </si>
  <si>
    <t>Check or replace the wire Check or replace the main PCB and Bluetooth PCB</t>
  </si>
  <si>
    <t>Meaning: The position code of the mechanism rolling motor is abnormal, that is, the code disk is in an incorrect position.
Description:
1. position sensor is broken
2. the initial position of code disk is incorrect
3. mechanism overshoot
4. mechanism PCB damaged</t>
  </si>
  <si>
    <t>1. replace the sensor
2. move the mechanism to the initial height position, and then turn the code disc to the correct initial position.
3. replace the mechanism</t>
  </si>
  <si>
    <t>Meaning: The rolling motor speed sensor of the mechanism is abnormal, i. e. no change of the speed code disk is detected after more than 6S.
Description:
1. position sensor is broken
2. the connection between the main PCB and the mechanism PCB is abnormal
3. motor is broken or locked
4. drive circuit components are damaged</t>
  </si>
  <si>
    <t>1. replace the sensor
2. check the wiring
3. check or replace the motor
4. replace the mechanism PCB</t>
  </si>
  <si>
    <t>Meaning: The position sensor of the movement kneading motor is abnormal, that is, no change of the position code disk is detected for more than 10s.
Description:
1. position sensor is broken
2. the connection between the main PCB and the main PCB is abnormal
3. motor is broken or locked
4. drive circuit components are damaged</t>
  </si>
  <si>
    <t>Meaning: The rotation speed sensor of the mechanism kneading motor is abnormal, that is, the change of the rotation speed code disk is not detected for more than 6S.
Description:
1. position sensor is broken
2. the connection between the main PCB and the mechanism PCB is abnormal
3. motor is broken or locked
4. drive circuit components are damaged</t>
  </si>
  <si>
    <t>Meaning: The backrest actuator count is abnormal.
Description:
1. the counting sensor is broken
2. abnormal connection
3. motor is broken or locked
4. drive circuit components are damaged</t>
  </si>
  <si>
    <t>1. replace the sensor
2. check the wiring
3. check or replace the motor
4. replace the main PCB</t>
  </si>
  <si>
    <t>Meaning: The legrest actuator count is abnormal.
Description:
1. the counting sensor is broken
2. abnormal connection
3. motor is broken or locked
4. drive circuit components are damaged</t>
  </si>
  <si>
    <t>Meaning: The Telescopic actuator count is abnormal.
Description:
1. the counting sensor is broken
2. abnormal connection
3. motor is broken or locked
4. drive circuit components are damaged</t>
  </si>
  <si>
    <t>The hand controller button was pressed for more than 45s without letting go
Possible cause: Button stuck</t>
  </si>
  <si>
    <t>1. Check the status of each button carefully
2. Replace the hand controller</t>
  </si>
  <si>
    <t>The hand controller does not communicate with the center board for more than 4s
Possible cause: Bad contact or fracture of inserting wire</t>
  </si>
  <si>
    <t>1. Check or replace the plug-in cable
2. Replace the hand controller
3. Replace the center board</t>
  </si>
  <si>
    <t>1. Check or replace the plug-in cable
2. Replace the rolling mechanism PCBA
3. Replace the Main PCBA</t>
  </si>
  <si>
    <t>The rolling mechanism walking motor position sensor is abnormal.
Possible cause: Position sensor is break down.</t>
  </si>
  <si>
    <t>1. Replace the sensor
2. Check the connection
3. Replace the rolling mechanism PCBA
Remarks: (1) Detection when function is turned on (2) Shut down automatically in the event of failure time. And not allowed to</t>
  </si>
  <si>
    <t>Position coding anomaly of the rolling mechanism walking motor, That is ,the code disk is in the incorrect position.
Possible cause:
1. The position sensor is broken
2. rolling mechanism overshoot</t>
  </si>
  <si>
    <t>1. Replacement of sensors
2. Move the rolling mechanism to the initial height position
3. Replacement of rolling mechanism board
Remarks: (1) real-time detection (2) Shut down automatically in the event of failure time. And not allowed to boot.</t>
  </si>
  <si>
    <t>Abnormal speed sensor of the rolling mechanism walking motor. That is ,no change of speed code disk was detected in excess of 6S.
Possible cause:
1. The motor is broken or blocked
2. Drive circuit device damage</t>
  </si>
  <si>
    <t>1. Check the connection between the motor and the rolling mechanism board
2. Check or replace motor
3. Replacement of rolling mechanism board
Remarks: (1) Detection when function is turned on (2) Shut down automatically in the event of failure time. And not allowed to boot.</t>
  </si>
  <si>
    <t>the position sensor is abnormal of Core kneading motor, That is, no change of position code disk is detected over 10S.
Possible cause:
1. The position sensor is broken
2. The motor is broken or blocked
3. Drive circuit device damage</t>
  </si>
  <si>
    <t>1. Check the connection between the sensor and the rolling mechanism board
2. Replacement of sensors
3. Check or replace motor
4. Replacement of movement board
Remarks: (1) Detection when function is turned on (2) Shut down automatically in the event of failure time. And not allowed to boot.</t>
  </si>
  <si>
    <t>Abnormal speed sensor of Core kneading motor. That is, more than 6S did not detect the speed code disk change.
Possible cause:
1. The motor is broken or blocked
2. Drive circuit device damage</t>
  </si>
  <si>
    <t>1. Check the connection between the motor and the rolling mechanism board
2. Check or replace motor
3. Replacement of rolling mechanism board
Remarks: (1) Detection when function is turned on (2) Shut down automatically in the event of failure time. And not allowed to boo.</t>
  </si>
  <si>
    <t>One of kneading motor / walking motor / Backrest push rod / Leg Rest push rod over current
Possible cause:
1. The load is too large
2. The motor is broken or blocked
3. Drive circuit device damage</t>
  </si>
  <si>
    <t>1. Unload and running again
2. Check or replace rolling mechanism
3. Check or replace push rod
4. Check or replace Backrest push rod
5. Check or replace Main PCB
Remarks: (1) Detection when function is turned on (2) Shut down automatically in the event of failure time. And not allowed to boot.</t>
  </si>
  <si>
    <t>The count sensor is abnormal of the Backrest push rod.
Possible cause:
1. Count sensor bad
2. Connection anomaly
3. The motor is broken or blocked
4. Drive circuit device damage</t>
  </si>
  <si>
    <t>1. Check the connection
2. Check or replace the push rod
3. Replace the center board
Remarks: (1) Detection when function is turned on (2) Shut down automatically in the event of failure time. And not allowed to boot.</t>
  </si>
  <si>
    <t>The count sensor is abnormal of the Leg Rest push rod
Possible cause:
1. Count sensor bad
2. Connection anomaly
3. The motor is broken or blocked
4. Drive circuit device damage</t>
  </si>
  <si>
    <t>1. Check the connection
2. Check or replace the push rod
3. Replace the center board
Remarks: (1) Detection when function is turned on (2) Shut down automatically in the event of failure time. And not allowed to boot</t>
  </si>
  <si>
    <t>The Leg Rest Telescopic count sensor is abnormal .
Possible cause:
1. Count sensor bad
2. Connection anomaly
3. The motor is broken or blocked
4. Drive circuit device damage</t>
  </si>
  <si>
    <t>remote control tested any key pressed more than 40 seconds\n\none of the KEY has been blocked</t>
  </si>
  <si>
    <t>Detect remote control buttons</t>
  </si>
  <si>
    <t>remote control did not connected more than 4 seconds\n\n1. remote control wire is broken or the remote control is disconnected</t>
  </si>
  <si>
    <t>backrest signal is abnormity\n\n1.  backrest wire is not well connected.\n2.  backrest wire is broken</t>
  </si>
  <si>
    <t>1.  check whether the backrest wire is well connected\n2.  change the backrest wire</t>
  </si>
  <si>
    <t>Side panel controller tested any key pressed more than 45 seconds\n\n1. one of the KEY has been blocked.</t>
  </si>
  <si>
    <t>leg rest tested more than 4 seconds\n\n1.  connector of leg rest wire not well\n2.  wire of leg rest broken</t>
  </si>
  <si>
    <t>1.  check the connector of leg rest wire\n2.  change the wire of leg rest</t>
  </si>
  <si>
    <t>Side panel controller fails to communicate with main PCB more than 4S\n\nconnector of wire not well</t>
  </si>
  <si>
    <t>1.  check the connector of wire\n2.  change the wire</t>
  </si>
  <si>
    <t>The position sensor of the rolling motor is abnormal, no change of the position code disk is detected after 8s.\n\n1.  Position sensor is broken\n2.  The connection between the main PCB and the 3D PCB is abnormal\n3.  rolling motor is broken or locked\n4.  Drive circuit components are damaged</t>
  </si>
  <si>
    <t>1.  change the sensor\n2.  check the wire\n3.  check or change the motor\n4.  change main PCB</t>
  </si>
  <si>
    <t>The position coding of rolling motor is abnormal , the code disk is in an incorrect position\n\n1.  position sensor broken\n2.  Incorrect initial position of code disk\n3.  mechanism overshoot</t>
  </si>
  <si>
    <t>1.  change the sensor\n2.  the mechanism to the initial height position, and then turn the code disk to the correct initial position.</t>
  </si>
  <si>
    <t>The rotation speed sensor of the core massage (rolling) motor is abnormal, that is, no change of the rotation speed code disk is detected more than 4S.\n\n1.  position sensor is broken\n2.  The connection between the main PCB and the 3D PCB is abnormal\n3.  motor is broken or locked\n4.  Drive circuit components are damaged</t>
  </si>
  <si>
    <t>The position sensor of the core kneading motor is abnormal, that is, no change of the position code plate is detected after 8s.\n\n1.  position sensor is broken\n2.  The connection between the main PCB and the 3D PCB is abnormal\n3.  motor is broken or locked\n4.  Drive circuit components are damaged</t>
  </si>
  <si>
    <t>The rotation speed sensor of the core kneading motor is abnormal, that is, no change of the rotation speed code disk is detected after 5S.\n\n1.  position sensor is broken\n2.  The connection between the main PCB and the 3D PCB is abnormal\n3.  motor is broken or locked\n4.  Drive circuit components are damaged</t>
  </si>
  <si>
    <t>The position sensor of the core expansion motor is abnormal, i. e. no change of the position code disk is detected after 10s.\n\n1.  position sensor is broken\n2.  The connection between the main PCB and the 3D PCB is abnormal\n3.  motor is broken or locked\n4.  Drive circuit components are damaged</t>
  </si>
  <si>
    <t>The position coding of the core expansion motor is abnormal, that is, the code disk is in an incorrect position.\n\n1.  position sensor is broken\n2.  Incorrect initial position of code disk\n3.  mechanism overshoot</t>
  </si>
  <si>
    <t>1.  change the sensor\n2.  Move the mechanism to the initial retraction position</t>
  </si>
  <si>
    <t>Abnormal rotation speed (count) sensor of core expansion motor\n\n1.  position sensor is broken\n2.  The connection between the main PCB and the 3D PCB is abnormal\n3.  motor is broken or locked\n4.  Drive circuit components are damaged</t>
  </si>
  <si>
    <t>backrest Count sensor abnormal\n\n1.  count sensor broken\n2.  the wire is broken\n3.  motor is broken or locked\n4.  Drive circuit components are damaged</t>
  </si>
  <si>
    <t>leg rest Count sensor abnormal\n\n1.  count sensor broken\n2.  the wire is broken\n3.  motor is broken or locked\n4.  Drive circuit components are damaged</t>
  </si>
  <si>
    <t>Calf extension position (count) sensor abnormal\n\n1.  count sensor broken\n2.  the wire is broken\n3.  motor is broken or locked\n4.  Drive circuit components are damaged</t>
  </si>
  <si>
    <t>Abnormal coding of crus extension position (the shortest and longest limit sensors are valid at the same time)\n\n1.  position sensor broken\n2.  wire broken</t>
  </si>
  <si>
    <t>1.  change the sensor\n2.  check the wire</t>
  </si>
  <si>
    <t>Calf extension shortest limit sensor failure\n\n1.  position sensor broken\n2.  wire broken</t>
  </si>
  <si>
    <t>Calf extension longest limit sensor failure\n\n1.  position sensor broken\n2.  wire broken</t>
  </si>
  <si>
    <t>The back heating thyristor is short circuited, i. e. the temperature is greater than or equal to 78 degrees detected for 10s.\n\nThe heating wire is short circuited and caused by overcurrent.</t>
  </si>
  <si>
    <t>(1) check or chuange the heater (2) Check whether the back frame wire and the heating of the core are short circuited and replace if there is any problem.</t>
  </si>
  <si>
    <t>The back heating thermistor is short circuited, i. e. the AD detection value is less than or equal to 5 in 5S.\n\nHeating thermistor wire short circuit to ground</t>
  </si>
  <si>
    <t>The back heating thermistor has an open circuit, that is, the ad detection value is greater than or equal to 247 in 5S.\n\nHeating thermistor wire disconnected</t>
  </si>
  <si>
    <t>remote control tested any key pressed more than 50 seconds\n\n1. one of the KEY has been blocked.</t>
  </si>
  <si>
    <t>remote control did not connected\n\n1. remote control wire is broken or the remote control is disconnected</t>
  </si>
  <si>
    <t>backrest signal is abnormity\n\n1.  The connector of the backrest wire is not well connected\n2.  Backrest wire Broken</t>
  </si>
  <si>
    <t>1.  check the connector of backrest wire\n2.  replace the backrest wire</t>
  </si>
  <si>
    <t>rolling signal is abnormity\n\n1.  The connector of the backrest wire is not well connected\n2.  rolling counting sensor broken</t>
  </si>
  <si>
    <t>1.  check the connector of backrest wire\n2.  rolling counting sensor broken</t>
  </si>
  <si>
    <t>side panel tested any key pressed more than 40seconds\n\n1. one of the KEY has been blocked.</t>
  </si>
  <si>
    <t>1.  check the connector of leg rest wire\n2.  replace the wire of leg rest</t>
  </si>
  <si>
    <t>tested more than 2 wideth inspection signal\n\n1.  wideth inspection board is broken\n2.  wideth inspection wire is not well connected</t>
  </si>
  <si>
    <t>1.  change wideth inspection board\n2.  change backrest wires</t>
  </si>
  <si>
    <t>more than 5 seconds did not tested the wide signal\n\n1.  wideth inspection board is broken\n2.  the wire connect to the wideth inspection board is disconnected\n3.  kneading motor is broken or kneading belt is lost</t>
  </si>
  <si>
    <t>1.  change wideth inspection board\n2.  change backrest wires.\n3.  change kneading motor</t>
  </si>
  <si>
    <t>more than 5 seconds did not tested the middle signal\n\n1.  wideth inspection board is broken\n2.  the wire connect to the wideth inspection board is disconnected\n3.  kneading motor is broken or kneading belt is lost</t>
  </si>
  <si>
    <t>more than 5 seconds did not tested the narrow signal\n\n1.  wideth inspection board is broken\n2.  the wire connect to the wideth inspection board is disconnected\n3.  kneading motor is broken or kneading belt is lost</t>
  </si>
  <si>
    <t>more than 10 seconds didn't tested kneading signal\n\n1. Main PCB is broken</t>
  </si>
  <si>
    <t>1. replace main PCB</t>
  </si>
  <si>
    <t>when not kneading but the wideth inspection signal still can be tested\n\n1. Main PCB is broken</t>
  </si>
  <si>
    <t>tested signals from up &amp; down limit sensor at the same time.\n\n1.  up &amp; down limit sensor are broken\n2.  backrest wire is disconnected.</t>
  </si>
  <si>
    <t>1.  Change up &amp; down limit sensor\n2.  check whether the backrest wire is well connected</t>
  </si>
  <si>
    <t>more than 40s didn't tested the signal from the up limit sensor\n\n1.  upper limit sensor is broken.\n2.  backrest wires is disconnected\n3.  rolling motor is broken or rolling motor wire disconnected</t>
  </si>
  <si>
    <t>1.  change upper limit sensor\n2.  check whether the backrest wire is well connected.\n3.  change rolling motor or rolling motor wire.</t>
  </si>
  <si>
    <t>height counting signal error\n\n1.  the counting sensor of the rolling motor is broken\n2.  backrest wire is disconnected</t>
  </si>
  <si>
    <t>1.  change the counting sensor of the rolling motor.\n2.  check whether the backrest wire is well connected.</t>
  </si>
  <si>
    <t>after tested signal from up limit sensor then tested signal from down limit sensor in 2 seconds.\n\n1. down limit sensor is broken</t>
  </si>
  <si>
    <t>1.  change down limit sensor\n2.  check whether the backrest wire is well connected.\n3.  change rolling motor</t>
  </si>
  <si>
    <t>more than 40s didn't tested the signal from the down limit sensor\n\n1.  down limit sensor is broken\n2.  the backrest wire is disconnected.\n3.  rolling motor is broken or disconnected</t>
  </si>
  <si>
    <t>after tested signal from down limit sensor then tested signal from up limit sensor in 2 seconds.\n\n1. upper limit sensor is broken.</t>
  </si>
  <si>
    <t>can't test signal from foot rest recline actuator\n\n1.  foot rest recline actuator is broken\n2.  foot rest actuator motor wire is disconnected\n3.  the signal wire of foot rest actuator is disconnected.</t>
  </si>
  <si>
    <t>1.  change foot rest recline actuator\n2.  check whether the foot rest recline actuator motor wire is well connected.\n3.  check whether the signal wire of foot rest actuator is well connected</t>
  </si>
  <si>
    <t>test signals from front sensor and rear sensor at the same time.\n\n1.  the 6 core signal wire is disconnected.\n2.  up &amp; down limit sensor of the foot rest are broken</t>
  </si>
  <si>
    <t>1.  check whether the 6 core signal wire is well connected.\n2.  change up &amp; down limit sensor of the foot rest.</t>
  </si>
  <si>
    <t>didn't test signal from front sensor of the footrest more than 20 seconds.\n\n1.  the down limit sensor of the foot rest is broken\n2.  foot rest extending motor is broken or disconnected</t>
  </si>
  <si>
    <t>1.  change down limit sensor of the footrest\n2.  change the footrest extending motor or check whether the motor wire is well connected.</t>
  </si>
  <si>
    <t>After tested front sensor signal, then tested front sensor signal in 2.5 seconds.\n\n1. the upper limit sensor of foot rest is broken</t>
  </si>
  <si>
    <t>didn't tested rear sensor signal in 20 seconds\n\n1.  the upper limit sensor of foot rest is broken\n2.  foot rest extending motor is broken or the motor wire is disconnected.</t>
  </si>
  <si>
    <t>1.  change upper limit sensor of the foot rest.\n2.  change foot rest exteding motor</t>
  </si>
  <si>
    <t>After tested rear sensor signal, then tested front sensor signal in 2.5 seconds.\n\n1. the lower limit sensor of the foot rest is broken</t>
  </si>
  <si>
    <t>when start the backrest recline actuator, there is no counting signal for more than 2.5 seconds\n\n1.  backrest recline actuator is broken\n2.  backrest recline actuator wire is disconnected\n3.  the signal wire of the backrest recline wire is disconnected</t>
  </si>
  <si>
    <t>1.  change backrest recline actuator\n2.  check whether backrest recline actuator motor wire is well connected.\n3.  check whether the signal wire of the backrest recline actuator is well connected</t>
  </si>
  <si>
    <t>when start the zero-gravity actuator, there is no counting signal for more than 2.5 seconds\n\n1.  Zero-gravity actuator is broken\n2.  zero-gravity actuator wire is disconnected.\n3.  the signal wire of zero-gravity actuator is disconnected</t>
  </si>
  <si>
    <t>1.  change zero-gravity actuator\n2.  check whether zero-gravity motor wire is well connected.\n3.  check whether the signal wire of zero-gravity actuator is well connected</t>
  </si>
  <si>
    <t>The front and rear limit sensors are effective at the same time (3D mechanism)\n\n1.  The front and rear limit sensors are broken\n2.  The terminal of telescopic limit detection line falls off</t>
  </si>
  <si>
    <t>1.  Replace the telescopic limit sensor\n2.  Check the connection of telescopic limit detection line</t>
  </si>
  <si>
    <t>The signal of telescopic limit sensor is not detected by 10s telescopic opening clock (3D mechanisment)\n\n1.  Front limit sensor broken\n2.  Poor contact of telescopic limit detection line\n3.  Telescopic motor broken or broken\n4.  The telescopic limit light baffle is loose</t>
  </si>
  <si>
    <t>1.  Replace the telescopic limit sensor board\n2.  Check the connection of telescopic limit detection line\n3.  Replace the telescopic motor or wiring\n4.  Check the telescopic limit light shield</t>
  </si>
  <si>
    <t>Abnormal movement telescopic counting signal (3D mechanisment)\n\n1.  The telescopic counting sensor is broken\n2.  Poor contact of telescopic counting line</t>
  </si>
  <si>
    <t>1.  Replace the telescopic counting detection board\n2.  Check the connection of telescopic counting line</t>
  </si>
  <si>
    <t>After the signal is detected by the telescopic limit sensor, the signal of the other telescopic limit sensor is detected within 2S (3D mechanismentnt)\n\n1. The telescopic limit sensor is broken</t>
  </si>
  <si>
    <t>1. Replace the telescopic limit sensor board1. Replace the telescopic limit sensor board</t>
  </si>
  <si>
    <t>side panel control did not connected\n\n1. side panel control wire is broken or the side panel control is disconnected</t>
  </si>
  <si>
    <t>1. reconnecte the side panel control or change the side panel control wire.</t>
  </si>
  <si>
    <t>Meaning: The remote controller detected a button being pressed for over 40 seconds.
Possible Causes: 1.A button is stuck.
Remark: Real-time detection.</t>
  </si>
  <si>
    <t>1.Check the buttons on the remote controller.</t>
  </si>
  <si>
    <t>Meaning: The remote controller and the mainboard have failed to communicate successfully for over 4 seconds.
Possible Causes: 1.The remote controller cable is disconnected.
Remark: Real-time detection.</t>
  </si>
  <si>
    <t>1.Replace the remote controller cable.</t>
  </si>
  <si>
    <t>Meaning: Both upper and lower limit sensors for the upper mechanism are activated simultaneously.
Possible Causes: 1.The upper and lower limit sensors are faulty. 2.The backrest frame connection cable has become detached.
Remark: Real-time detection.</t>
  </si>
  <si>
    <t>1.Replace the upper and lower limit sensors. 2.Check the connection of the backrest signal cable.</t>
  </si>
  <si>
    <t>Meaning: When the upper mechanism's walking function is activated, abnormal walking count is detected.
Possible Causes: 1.The backrest signal connector has poor contact. 2.The stroke counting sensor is faulty.
Remark: Real-time detection when the mechanism's walking function is activated.</t>
  </si>
  <si>
    <t>1.Check if the backrest signal connector is properly plugged in. 2.The stroke counting sensor is faulty.</t>
  </si>
  <si>
    <t>Meaning: Both upper and lower limit sensors for the lower mechanism are activated simultaneously.
Possible Causes: 1.The upper and lower limit sensors are faulty. 2.The backrest frame connection cable has become detached.
Remark: Real-time detection.</t>
  </si>
  <si>
    <t>Meaning: The lower leg board and the mainboard have failed to communicate successfully for over 4 seconds.
Possible Causes: 1.The lower leg board connection cable is disconnected.
Remark: Real-time detection.</t>
  </si>
  <si>
    <t>1.Replace the lower leg board connection cable.</t>
  </si>
  <si>
    <t>Meaning: The upper mechanism is at its highest point, the lower mechanism is at its lowest point, and the anti-collision block signal has been triggered for over 10 seconds.
Possible Causes: 1.The anti-collision block is faulty.
Remark: Real-time detection.</t>
  </si>
  <si>
    <t>1.Check the anti-collision block module. 2.Check the anti-collision block wiring.</t>
  </si>
  <si>
    <t>Meaning: When the lower mechanism's walking function is activated, abnormal walking count is detected.
Possible Causes: 1.The backrest signal connector has poor contact. 2.The stroke counting sensor is faulty.
Remark: Real-time detection when the mechanism's walking function is activated.</t>
  </si>
  <si>
    <t>Meaning: The kneading motor rotation count signal was not detected by the upper mechanism within 5 seconds.
Possible Causes: 1.The width detection board is faulty. 2.The width detection board connection is abnormal. 3.The kneading motor is faulty or the belt has come off.
Remark: Detection during self-test mode entry.</t>
  </si>
  <si>
    <t>1.Replace the width detection board. 2.Replace the backrest signal cable. 3.Replace the motor.</t>
  </si>
  <si>
    <t>Meaning: The upper mechanism did not detect a width signal within 5 seconds.
Possible Causes: 1.The width detection board is faulty. 2.The width detection board connection is abnormal. 3.The kneading motor is faulty or the belt has come off.
Remark: Detection during self-test mode entry.</t>
  </si>
  <si>
    <t>Meaning: The kneading motor rotation count signal was not detected by the lower mechanism within 5 seconds.
Possible Causes: 1.The width detection board is faulty. 2.The width detection board connection is abnormal. 3.The kneading motor is faulty or the belt has come off.
Remark: Detection during self-test mode entry.</t>
  </si>
  <si>
    <t>Meaning: The lower mechanism did not detect a width signal within 5 seconds.
Possible Causes: 1.The width detection board is faulty. 2.The width detection board connection is abnormal. 3.The kneading motor is faulty or the belt has come off.
Remark: Detection during self-test mode entry.</t>
  </si>
  <si>
    <t>Meaning: The lower mechanism inflation failed to deploy within 20 seconds.
Possible Causes: 1.The air pump is not inflating. 2.The inflation air hose of the mechanism is blocked.
Remark: Detection during self-test mode entry.</t>
  </si>
  <si>
    <t>1Check the air pump connection. 2.Check the inflation air hose of the mechanism.</t>
  </si>
  <si>
    <t>Meaning: The upper mechanism did not detect a signal from the upper limit sensor within 40 seconds.
Possible Causes: 1.The upper limit sensor is faulty. 2.The backrest frame connection cable has become detached. 3.The walking motor is faulty or the wiring is broken.
Remark: Detection during self-test mode entry.</t>
  </si>
  <si>
    <t>1.Replace the upper limit sensor board. 2.Check the connection of the backrest signal cable. 3.Replace the walking motor or wiring.</t>
  </si>
  <si>
    <t>Meaning: When the upper mechanism's walking function is activated, abnormal walking count is detected.
Possible Causes: 1.The backrest signal connector has poor contact. 2.The stroke counting sensor is faulty.
Remark: Detection during self-test mode entry.</t>
  </si>
  <si>
    <t>Meaning: Within 2 seconds of detecting the upper limit sensor signal, the upper mechanism detected the lower limit sensor signal.
Possible Causes: 1.The lower (upper) limit sensor is faulty.
Remark: Detection during self-test mode entry.</t>
  </si>
  <si>
    <t>1.Replace the lower (upper) limit sensor board. 2.Check the connection of the lower (upper) limit sensor wiring.</t>
  </si>
  <si>
    <t>Meaning: The upper mechanism did not detect a signal from the lower limit sensor within 40 seconds.
Possible Causes: 1.The lower limit sensor is faulty. 2.The backrest frame connection cable has become detached. 3.The walking motor is faulty or the wiring is broken.
Remark: Detection during self-test mode entry.</t>
  </si>
  <si>
    <t>1.Replace the lower limit sensor board. 2.Check the connection of the backrest wiring. 3.Replace the faulty walking motor or wiring.</t>
  </si>
  <si>
    <t>Meaning: Within 2 seconds of detecting the lower limit sensor signal, the upper mechanism detected the upper limit sensor signal.
Possible Causes: 1.The upper (lower) limit sensor is faulty.
Remark: Detection during self-test mode entry.</t>
  </si>
  <si>
    <t>1.Replace the upper (lower) limit sensor board. 2.Check the connection of the upper (lower) limit sensor wiring.</t>
  </si>
  <si>
    <t>Meaning: The footrest actuator did not detect a count signal within 2.5 seconds of activation (or did not detect a actuator positioning signal within 40 seconds).
Possible Causes: 1.The footrest actuator motor is faulty. 2.The footrest actuator motor connection cable has become detached.
Remark: Detection during self-test mode entry.</t>
  </si>
  <si>
    <t>1.Replace the footrest actuator motor. 2.Check the footrest actuator motor wiring.</t>
  </si>
  <si>
    <t>Meaning: The lower mechanism did not detect a signal from the upper limit sensor within 40 seconds.
Possible Causes: 1.The upper limit sensor is faulty. 2.The backrest frame connection cable has become detached. 3.The walking motor is faulty or the wiring is broken.
Remark: Detection during self-test mode entry.</t>
  </si>
  <si>
    <t>Meaning: The mechanism board and the mainboard have failed to communicate successfully for over 6 seconds.
Possible Causes: 1.The mechanism board connection cable is disconnected.
Remark: Real-time detection.</t>
  </si>
  <si>
    <t>1.Replace the mechanism board connection cable.</t>
  </si>
  <si>
    <t>Meaning: The lower mechanism and the mainboard have failed to communicate successfully for over 6 seconds.
Possible Causes: 1.The mechanism board connection cable is disconnected.
Remark: Real-time detection.</t>
  </si>
  <si>
    <t>22 (Duplicate)</t>
  </si>
  <si>
    <t>Meaning: When the lower mechanism's walking function is activated, abnormal walking count is detected.
Possible Causes: 1.The backrest signal connector has poor contact. 2.The stroke counting sensor is faulty.
Remark: Real-time detection.</t>
  </si>
  <si>
    <t>Meaning: Within 2 seconds of detecting the upper limit sensor signal, the lower mechanism detected the lower limit sensor signal.
Possible Causes: 1.The lower (upper) limit sensor is faulty.
Remark: Real-time detection.</t>
  </si>
  <si>
    <t>Meaning: The lower mechanism did not detect a signal from the lower limit sensor within 40 seconds.
Possible Causes: 1.The lower limit sensor is faulty. 2.The backrest frame connection cable has become detached. 3.The walking motor is faulty or the wiring is broken.
Remark: Real-time detection.</t>
  </si>
  <si>
    <t>Meaning: The back actuator did not detect a count signal within 2.5 seconds of activation (or did not detect a actuator positioning signal within 40 seconds).
Possible Causes: 1.The back actuator motor is faulty. 2.The back actuator motor connection cable has become detached. 3.The back actuator counting connection cable has become detached.
Remark: Detection when self-test is initiated.</t>
  </si>
  <si>
    <t>1.Replace the back actuator motor. 2.Check the back actuator motor wiring. 3.Check the back actuator counting connection wiring.</t>
  </si>
  <si>
    <t>Meaning: The zero-gravity actuator did not detect a count signal within 2.5 seconds of activation (or did not detect a actuator positioning signal within 40 seconds).
Possible Causes: 1.The zero-gravity actuator motor is faulty. 2.The zero-gravity actuator motor connection cable has become detached.
Remark: Real-time detection.</t>
  </si>
  <si>
    <t>1.Replace the zero-gravity actuator motor. 2.Check the zero-gravity actuator motor wiring.</t>
  </si>
  <si>
    <t>Meaning: Within 2 seconds of detecting the lower limit sensor signal, the lower mechanism detected the upper limit sensor signal.
Possible Causes: 1.The upper (lower) limit sensor is faulty.
Remark: Real-time detection.</t>
  </si>
  <si>
    <t>Meaning: The side panel detected a button being pressed for over 45 seconds.
Possible Causes: 1.A button is stuck.
Remark: Real-time detection.</t>
  </si>
  <si>
    <t>1.Check the side panel buttons.</t>
  </si>
  <si>
    <t>Meaning: The spring actuator did not detect a short limit signal within 20 seconds.
Possible Causes: 1.The short limit sensor of the spring actuator has failed. 2.The telescopic anti-pinch feature is continuously triggered.
Remark: Detection during self-test mode entry.</t>
  </si>
  <si>
    <t>1.Check the wiring of the spring actuator's short limit sensor. 2.Check the wiring of the spring anti-pinch feature.</t>
  </si>
  <si>
    <t>Meaning: The spring actuator did not detect a long limit signal within 20 seconds.
Possible Causes: 1.The long limit sensor of the spring actuator has failed. 2.The ground contact switch is continuously triggered.
Remark: Detection during self-test mode entry.</t>
  </si>
  <si>
    <t>1.Check the wiring of the spring actuator's long limit sensor. 2.Check the wiring of the ground contact switch</t>
  </si>
  <si>
    <t>Meaning: The upper mechanism inflation failed to deploy within 20 seconds.
Possible Causes: 1.The air pump is not inflating. 2.The inflation air hose of the mechanism is blocked.
Remark: Detection during self-test mode entry.</t>
  </si>
  <si>
    <t>1.Check the air pump connection. 2.Check the inflation air hose of the mechanism.</t>
  </si>
  <si>
    <t>Meaning: remote control did not connrcted more than 4 second. Problem Description: remote control wire is broken or the remote control is disconnected</t>
  </si>
  <si>
    <t>reconnecte the remote control or change the remote control wire.</t>
  </si>
  <si>
    <t>Meaning: backrest signal is abnormity. Problem Description: 1.The connector of the backrest wire is not well connected 2.Backrest wire Broken (b&amp;g)</t>
  </si>
  <si>
    <t>1.check the connector of backrest wire 2.change the backrest wire</t>
  </si>
  <si>
    <t>Meaning: rolling signal is abnormity. Problem Description: 1.the up and down sensor broken 2.the backrest wire broken (b&amp;g) 3.the motor broken 4d PCB broken</t>
  </si>
  <si>
    <t>1.replace the sensor 2.check the wire 3.check the motor 4.change 3D PCB</t>
  </si>
  <si>
    <t>Meaning: side panel signal is abnormity. Problem Description: 1.The connector of the wire is not well connected 2.wire Broken (b&amp;g)</t>
  </si>
  <si>
    <t>check the wire</t>
  </si>
  <si>
    <t>Meaning: leg rest tested more than 4 seconds. Problem Description: 1.connector of leg rest wire not well 2.wire of leg rest broken</t>
  </si>
  <si>
    <t>1.check the connector of leg rest wire 2.change the wire of leg rest</t>
  </si>
  <si>
    <t>Meaning: kneading signal is abnormity. Problem Description: 1.the sensor broken 2.the backrest wire broken 3.the motor broken 4.3d PCB broken</t>
  </si>
  <si>
    <t>Meaning: Tapping signal is abnormality. Problem Description: 1. Tapping motor is abnormality 2. 3d pcb is abnormality 3. connecting sensor of tapping motor is broken</t>
  </si>
  <si>
    <t>1. change tapping motor 2. change 3d pcb 3. change connecting sensor of tapping motor</t>
  </si>
  <si>
    <t>Meaning: Telescopic signal is abnormality. Problem Description: 1. 3D telescopic motor is abnormaility 2. 3D pcb is abnormality 3.Connecting sensor of 3D telescopic motor is abnormality</t>
  </si>
  <si>
    <t>1. Change 3D telescopic motor 2. Change 3D pcb 3. Change connecting sensor of 3D telescopic motor</t>
  </si>
  <si>
    <t>Meaning: Low leg rest telescopic signal is abnormality. Problem Description: 1. Counting sensor broken 2. Wire broken 3. Motor broken 4. 3D pcb broken</t>
  </si>
  <si>
    <t>1. Change the sensor 2. Check the wire 3. check motor 4. check 3D pcb</t>
  </si>
  <si>
    <t>Meaning: Legrest actuator signal is abnormality. Problem Description: 1. Counting sensor broken 2. wire broken 3. motor broken 4. actuator pcb broken</t>
  </si>
  <si>
    <t>1. Change sensor 2. Check the wire 3. check motor 4. change main pcb</t>
  </si>
  <si>
    <t>Meaning: Backrest actuator signal is abnormality. Problem Description: 1. Counting sensor broken 2. wire broken 3. Motor broken 4. Backrest actuator broken</t>
  </si>
  <si>
    <t>1. Check wire 2. Change sensor 3. Replace main pcb 4. check motor</t>
  </si>
  <si>
    <t>Meaning: Rolling signal is abnormity. Problem Description: 1. The up/down sensor is broken 2. The backrest wire is broken 3. The motor is broken. Remark: enter auto check mode 2. Automatic shut down in case of failure. And it is not allowed to start</t>
  </si>
  <si>
    <t>1. Replace the sensor 2. Check the wire 3. Check the motor 4. change 3D pcb</t>
  </si>
  <si>
    <t>Meaning: Rolling signal is abnormity (up/down sensor effected at the same time ). Problem Description: 1. The up/down sensor is broken 2. The backrest wire is broken (b&amp;g) 3. The motor is broken 4. 3D pcb is broken (mech pcb). Remark: enter auto check mode 2. Automatic shut down in case of failure. And it is not allowed to start</t>
  </si>
  <si>
    <t>1. Replace the sensor 2. Check the wire 3. Check the motor 4. Change the 3D pcb</t>
  </si>
  <si>
    <t>Meaning: Kneading signal is abnormity. Problem Description: 1. Kneading motor abnormality 2. 3D pcb is abnormality 3. The connecting sensor is abnormality of kneading motor. Remark: enter auto check mode</t>
  </si>
  <si>
    <t>1. Change the kneading motor 2. Change 3D pcb 3. Change connecting sensor of kneading motor</t>
  </si>
  <si>
    <t>Meaning: Telescopic signal is abnormality (up/down sensor effected at the same time). Problem Description: 1. The 3D telescopic motor is abnormality 2. 3D pcb is abnormality 3. Connecting sensor of 3D Telescopic motor is abnormality. Remark: enter auto check mode</t>
  </si>
  <si>
    <t>Meaning: Kneading motor broken. Problem Description: Kneading motor broken. Remark: enter auto check mode 2. Automatic shut down in case of failure. And it is not allowed to start</t>
  </si>
  <si>
    <t>Change out the kneading motor</t>
  </si>
  <si>
    <t>Meaning: Rolling motor broken. Problem Description: Rolling motor broken. Remark: enter auto check mode 2. Automatic shut down in case of failure. And it is not allowed to start</t>
  </si>
  <si>
    <t>change the rolling motor</t>
  </si>
  <si>
    <t>Meaning: 3D motor broken. Problem Description: 3D motor broken. Remark: enter auto check</t>
  </si>
  <si>
    <t>Change the 3D motor</t>
  </si>
  <si>
    <t>Meaning: Tapping motor broken. Problem Description: Tapping motor broken. Remark: enter auto check</t>
  </si>
  <si>
    <t>Change the tapping motor</t>
  </si>
  <si>
    <t>Meaning: Remote control any key is getting stuck. Problem Description: One of the key has been blocked. Remark: turn on the chair</t>
  </si>
  <si>
    <t>Check the keys on the remote control</t>
  </si>
  <si>
    <t>Meaning: Remote control did not connect. Problem Description: 1. Remote control wire is broken or the remote control is disconnected. Remark: turn on the chair</t>
  </si>
  <si>
    <t>1. Reconnect the remote control or change the remote control wire</t>
  </si>
  <si>
    <t>Meaning: Communication Exception. Problem Description: There is communication but the data is abnormal. And the communication interface is detected.</t>
  </si>
  <si>
    <t>Position coding anomaly of the rolling mechanism walking moto, That is ,the code disk is in the incorrect position.</t>
  </si>
  <si>
    <t>1. Replacement of sensors
2. Move the rolling mechanism to the initial height position
3. Replacement of rolling mechanism board</t>
  </si>
  <si>
    <t>Abnormal speed senso of the rolling mechanism walking moto, That is ,no change of speed code disk was detected in excess of 6S.</t>
  </si>
  <si>
    <t>1. Check the connection between the motor and the rolling mechanism board
2. Check or replace moto
3. Replacement of rolling mechanism board</t>
  </si>
  <si>
    <t>1. Check the connection between the sensor and the rolling mechanism board
2. Replacement of sensors
3. Check or replace moto
4. Replacement of movemetn board</t>
  </si>
  <si>
    <t>One of kneading motor / walking motor / Backrest push rod / Leg Rest push rod overcurrent</t>
  </si>
  <si>
    <t>1. Unload and running again
2. Check or replace rolling mechanism
3. Check or replace push rod</t>
  </si>
  <si>
    <t>1. Check the connection
2. Check or replace the push rod
3. Replace the center board</t>
  </si>
  <si>
    <t>The count sensor is abnormal of the Leg Rest push rod</t>
  </si>
  <si>
    <t>Side panel detects button long press exceeding 45s
Possible causes:
1. The button is stuck</t>
  </si>
  <si>
    <t>1. Check side panel buttons
Note: real-time detection</t>
  </si>
  <si>
    <t>The handheld controller detects a button long press exceeding 40 seconds
Possible causes:
1. The button is stuck</t>
  </si>
  <si>
    <t>1. Check the handheld controller buttons
Note: real-time detection</t>
  </si>
  <si>
    <t>Hand controller failed to communicate with the main board for over 4 seconds
Possible causes:
1. Hand controller wire disconnection</t>
  </si>
  <si>
    <t>1. Replace the hand controller cable
Note: real-time detection</t>
  </si>
  <si>
    <t>Both upper and lower limit sensors are active
Possible causes:
1. Upper and lower limit sensors faulty
2. Backpack frame connector detached</t>
  </si>
  <si>
    <t>1. Replace upper and lower limit sensors
2. Check the back frame signal wire connection
Note: real-time detection</t>
  </si>
  <si>
    <t>Abnormal walking count detected when the mechanism walking function is enabled
Possible causes:
1. Backplane signal connector loose connection
2. Stroke counter sensor malfunction</t>
  </si>
  <si>
    <t>1. Check if the backplane signal connector cable is properly plugged in
2. Stroke counter sensor malfunction
Note: Real-time detection when the movement walking function is enabled</t>
  </si>
  <si>
    <t>No kneading motor rotation count signal detected for 5 seconds
Possible causes:
1. Width detection board faulty
2. Width board connection abnormality
3. Kneading motor malfunction or belt dislodged</t>
  </si>
  <si>
    <t>1. Replace width detection plate
2. Replace the back frame signal cable
3. Replace motor
Note: Detection upon entering self-test mode</t>
  </si>
  <si>
    <t>Wide position signal not detected for 5 seconds
Possible causes:
1. Width detection board faulty
2. Width board connection abnormality
3. Kneading motor malfunction or belt dislodged</t>
  </si>
  <si>
    <t>1. Replace upper and lower limit sensors
2. Check the back frame signal wire connection
Note: Detection upon entering self-test mode</t>
  </si>
  <si>
    <t>Upper limit sensor signal not detected for 40 seconds
Possible causes:
1. Upper limit sensor faulty
2. Backpack frame connector detached
3. Travel motor failure or broken wire</t>
  </si>
  <si>
    <t>1. Replace upper limit sensor board
2. Check the back frame signal wire connection
3. Replace the drive motor or wiring
Note: Detection upon entering self-test mode</t>
  </si>
  <si>
    <t>1. Check if the backplane signal connector cable is properly plugged in
2. Stroke counter sensor malfunction
Note: Detection upon entering self-test mode</t>
  </si>
  <si>
    <t>The upper limit sensor detects a signal, and the lower limit sensor signal is detected again within 2 seconds
Possible causes:
1. Lower (Upper) limit sensor faulty</t>
  </si>
  <si>
    <t>1. Replace lower (upper) limit sensor board
2. Check the upper/lower limit sensor wire connection
Note: Detection upon entering self-test mode</t>
  </si>
  <si>
    <t>Lower limit sensor signal not detected for 40 seconds
Possible causes:
1. Lower limit sensor faulty
2. Backpack frame connector detached
3. Travel motor failure or broken wire</t>
  </si>
  <si>
    <t>1. Replace the lower limit sensor board
2. Check back frame wire connections
3. Replace faulty travel motor or wiring
Note: Detection upon entering self-test mode</t>
  </si>
  <si>
    <t>The upper limit sensor signal is detected within 2 seconds after the lower limit sensor detects a signal.
Possible causes:
1. Upper (Lower) limit sensor faulty</t>
  </si>
  <si>
    <t>1. Replace upper (lower) limit sensor board
2. Check upper (lower) limit sensor wire connection
Note: Detection upon entering self-test mode</t>
  </si>
  <si>
    <t>Calf push rod activation detected no count signal after 2.5s (or no push rod in-position signal detected after 40s)
Possible causes:
1. Calf push rod motor malfunction
2. Calf push rod motor wiring disconnected</t>
  </si>
  <si>
    <t>1. Replace calf push rod motor
2. Check the calf push rod motor wiring
Note: Detection upon entering self-test mode</t>
  </si>
  <si>
    <t>The main board and center board failed to communicate for over 6 seconds
Possible causes:
1. Mainboard wire disconnection</t>
  </si>
  <si>
    <t>1. Replace the mainboard cable
Note: real-time detection</t>
  </si>
  <si>
    <t>Side panel controller failed to communicate with center panel for over 6 seconds
Possible causes:
1. Side panel controller wire disconnection</t>
  </si>
  <si>
    <t>1. Replace the side panel controller cable
Note: real-time detection</t>
  </si>
  <si>
    <t>Back push rod open: counting signal not detected within 2.5s (or push rod in-position signal not detected)
Possible causes:
1. Back push rod motor malfunction
2. Back push rod motor wiring disconnected
3. Back push rod counter connection wire detached</t>
  </si>
  <si>
    <t>1. Replace back push rod motor
2. Check the back push rod motor wiring
3. Check the back push rod count wiring
Note: Detection when self-check is enabled</t>
  </si>
  <si>
    <t>Meaning: remote control tested any key pressed more than 45 seconds
Problem Description: 1. one of the KEY has been blocked.
Remark: turn on the chair</t>
  </si>
  <si>
    <t>Meaning: remote control did not connected
Problem Description: 1. remote control wire is broken or the remote control is disconnected
Remark: turn on the chair</t>
  </si>
  <si>
    <t>Meaning: backrest signal is abnormity
Problem Description:
1. The connector of the backrest wire is not well connected
2. Backrest wire Broken
Remark: turn the power</t>
  </si>
  <si>
    <t>1. check the connector of backrest wire
2. change the backrest wire</t>
  </si>
  <si>
    <t>Meaning: rolling signal is abnormity
Problem Description:
1. The connector of the backrest wire is not well connected
2. rolling counting sensor broken
Remark: turn on the chair</t>
  </si>
  <si>
    <t>Meaning: side panel tested any key pressed more than 40seconds
Problem Description: 1. one of the KEY has been blocked.
Remark: turn on the chair</t>
  </si>
  <si>
    <t>Meaning: leg rest tested more than 4 seconds
Problem Description:
1. connector of leg rest wire not well
2. wire of leg rest broken
Remark: turn the power</t>
  </si>
  <si>
    <t>Meaning: tested more than 2 wideth inspection signal
Problem Description:
1. wideth inspection board is broken
2. wideth inspection wire is not well connected
Remark: start the rolling function</t>
  </si>
  <si>
    <t>1. change wideth inspection board
2. change backrest wires</t>
  </si>
  <si>
    <t>Meaning: more than 5 seconds did not tested the wide signal
Problem Description:
1. wideth inspection board is broken
2. the wire connect to the wideth inspection board is disconnected
3. kneading motor is broken or kneading belt is lost
Remark: enter auto-check model</t>
  </si>
  <si>
    <t>1. change wideth inspection board
2. change backrest wires.
3. change kneading motor</t>
  </si>
  <si>
    <t>Meaning: more than 5 seconds did not tested the middle signal
Problem Description:
1. wideth inspection board is broken
2. the wire connect to the wideth inspection board is disconnected
3. kneading motor is broken or kneading belt is lost
Remark: enter auto-check model</t>
  </si>
  <si>
    <t>Meaning: more than 5 seconds did not tested the narrow signal
Problem Description:
1. wideth inspection board is broken
2. the wire connect to the wideth inspection board is disconnected
3. kneading motor is broken or kneading belt is lost
Remark: enter auto-check model</t>
  </si>
  <si>
    <t>Meaning: more than 10 seconds didn't tested kneading signal
Problem Description: 1. Main PCB is broken
Remark: enter auto-check model</t>
  </si>
  <si>
    <t>Meaning: when not kneading but the wideth inspection signal still can be tested
Problem Description: 1. Main PCB is broken
Remark: enter auto-check model</t>
  </si>
  <si>
    <t>Meaning: tested signals from up &amp; down limit sensor at the same time.
Problem Description:
1. up &amp; down limit sensor are broken
2. backrest wire is disconnected.
Remark: enter auto-check model</t>
  </si>
  <si>
    <t>Meaning: more than 40s didn't tested the signal from the up limit sensor
Problem Description:
1. upper limit sensor is broken.
2. backrest wires is disconnected
3. rolling motor is broken or rolling motor wire disconnected
Remark: enter auto-check model</t>
  </si>
  <si>
    <t>Meaning: height counting signal error
Problem Description:
1. the counting sensor of the rolling motor is broken
2. backrest wire is disconnected
Remark: enter auto-check model</t>
  </si>
  <si>
    <t>Meaning: after tested signal from up limit sensor then tested signal from down limit sensor in 2 seconds.
Problem Description: 1. down limit sensor is broken
Remark: enter auto-check model</t>
  </si>
  <si>
    <t>Meaning: more than 40s didn't tested the signal from the down limit sensor
Problem Description:
1. down limit sensor is broken
2. the backrest wire is disconnected.
3. rolling motor is broken or disconnected
Remark: enter auto-check model</t>
  </si>
  <si>
    <t>Meaning: after tested signal from down limit sensor then tested signal from up limit sensor in 2 seconds.
Problem Description: 1. upper limit sensor is broken.
Remark: enter auto-check model</t>
  </si>
  <si>
    <t>Meaning: can't test signal from foot rest recline actuator
Problem Description:
1. foot rest recline actuator is broken
2. foot rest actuator motor wire is disconnected
3. the signal wire of foot rest actuator is disconnected.
Remark: enter auto-check model</t>
  </si>
  <si>
    <t>Meaning: test signals from front sensor and rear sensor at the same time.
Problem Description:
1. the 6 core signal wire is disconnected.
2. up &amp; down limit sensor of the foot rest are broken
Remark: enter auto-check model</t>
  </si>
  <si>
    <t>1. check whether the 6 core signal wire is well connected.
2. change up &amp; down limit sensor of the foot rest.</t>
  </si>
  <si>
    <t>Meaning: didn't test signal from front sensor of the footrest more than 20 seconds.
Problem Description:
1. the down limit sensor of the foot rest is broken
2. foot rest extending motor is broken or disconnected
Remark: enter auto-check model</t>
  </si>
  <si>
    <t>1. change down limit sensor of the footrest
2. change the footrest extending motor or check whether the motor wire is well connected.</t>
  </si>
  <si>
    <t>Meaning: After tested front sensor signal, then tested front sensor signal in 2.5 seconds.
Problem Description: 1. the upper limit sensor of foot rest is broken
Remark: enter auto-check model</t>
  </si>
  <si>
    <t>Meaning: didn't tested rear sensor signal in 20 seconds
Problem Description:
1. the upper limit sensor of foot rest is broken
2. foot rest extending motor is broken or the motor wire is disconnected.
Remark: enter auto-check model</t>
  </si>
  <si>
    <t>1. change upper limit sensor of the foot rest.
2. change foot rest exteding motor</t>
  </si>
  <si>
    <t>Meaning: After tested rear sensor signal, then tested front sensor signal in 2.5 seconds.
Problem Description: 1. the lower limit sensor of the foot rest is broken
Remark: enter auto-check model</t>
  </si>
  <si>
    <t>Meaning: when start the backrest recline actuator, there is no counting signal for more than 2.5 seconds
Problem Description:
1. backrest recline actuator is broken
2. backrest recline actuator wire is disconnected
3. the signal wire of the backrest recline wire is disconnected
Remark: enter auto-check model</t>
  </si>
  <si>
    <t>Meaning: when start the zero-gravity actuator, there is no counting signal for more than 2.5 seconds
Problem Description:
1. Zero-gravity actuator is broken
2. zero-gravity actuator wire is disconnected.
3. the signal wire of zero-gravity actuator is disconnected
Remark: enter auto-check model</t>
  </si>
  <si>
    <t>1. change zero-gravity actuator
2. check whether zero-gravity motor wire is well connected.
3. check whether the signal wire of zero-gravity actuator is well connected</t>
  </si>
  <si>
    <t>Meaning: The front and rear limit sensors are effective at the same time (3D mechanism)
Problem Description:
1. The front and rear limit sensors are broken
2. The terminal of telescopic limit detection line falls off
Remark: turn the power</t>
  </si>
  <si>
    <t>1. Replace the telescopic limit sensor
2. Check the connection of telescopic limit detection line</t>
  </si>
  <si>
    <t>Meaning: The signal of telescopic limit sensor is not detected by 10s telescopic opening clock (3D mechanisment)
Problem Description:
1. Front limit sensor broken
2. Poor contact of telescopic limit detection line
3. Telescopic motor broken or broken
4. The telescopic limit light baffle is loose
Remark: turn the power</t>
  </si>
  <si>
    <t>1. Replace the telescopic limit sensor board
2. Check the connection of telescopic limit detection line
3. Replace the telescopic motor or wiring
4. Check the telescopic limit light shield</t>
  </si>
  <si>
    <t>Meaning: Abnormal movement telescopic counting signal (3D mechanisment)
Problem Description:
1. The telescopic counting sensor is broken
2. Poor contact of telescopic counting line
Remark: turn the power</t>
  </si>
  <si>
    <t>1. Replace the telescopic counting detection board
2. Check the connection of telescopic counting line</t>
  </si>
  <si>
    <t>Meaning: After the signal is detected by the telescopic limit sensor, the signal of the other telescopic limit sensor is detected within 2S (3D mechanismentnt)
Problem Description: 1. The telescopic limit sensor is broken
Remark: turn the power</t>
  </si>
  <si>
    <t>1. Replace the telescopic limit sensor board
1. Replace the telescopic limit sensor board</t>
  </si>
  <si>
    <t>Meaning: side panel control did not connected
Problem Description: 1. side panel control wire is broken or the side panel control is disconnected
Remark: turn on the chair</t>
  </si>
  <si>
    <t>Soho II</t>
  </si>
  <si>
    <t>Malfunction: remote control did not connected well
Possible Causes:
1. remote control wire is broken
2. tested signals from up &amp; down limit sensor at the same time.</t>
  </si>
  <si>
    <t>1. check the connector of remoet control
2. replace the wire of reote control</t>
  </si>
  <si>
    <t>Malfunction: backrest signal is abnormity
Possible Causes:
1. The connector of the backrest cable is not well connected
2. Backrest cable broken</t>
  </si>
  <si>
    <t>1. check the connector of backrest wire
2. replace the backrest cable</t>
  </si>
  <si>
    <t>Malfunction: The position sensor of the rolling motor is abnormal, no change of the position code disk is detected after 8s.
Possible Causes:
1. Position sensor is broken
2. The connection between the main PCB and the 3D PCB is abnormal
3. rolling motor is broken or locked
4. Drive circuit components are damaged</t>
  </si>
  <si>
    <t>Malfunction: The position coding of rolling motor is abnormal, the code disk is in an incorrect position
Possible Causes:
1. position sensor broken
2. Incorrect initial position of code disk
3. mechanism overshoot</t>
  </si>
  <si>
    <t>1. replace the sensor
2. the mechanism to the initial height position, and then turn the code disk to the correct initial position.</t>
  </si>
  <si>
    <t>Malfunction: The rotation speed sensor of the core massage (rolling) motor is abnormal, that is, no change of the rotation speed code disk is detected more than 6S.
Possible Causes:
1. position sensor is broken
2. The connection between the main PCB and the 3D PCB is abnormal
3. motor is broken or locked
4. Drive circuit components are damaged</t>
  </si>
  <si>
    <t>Malfunction: The position sensor of the core kneading motor is abnormal, that is, no change of the position code plate is detected after 10s.
Possible Causes:
1. position sensor is broken
2. The connection between the main PCB and the 3D PCB is abnormal
3. motor is broken or locked
4. Drive circuit components are damaged</t>
  </si>
  <si>
    <t>Malfunction: The rotation speed sensor of the core kneading motor is abnormal, that is, no change of the rotation speed code disk is detected after 6S.
Possible Causes:
1. position sensor is broken
2. The connection between the main PCB and the 3D PCB is abnormal
3. motor is broken or locked
4. Drive circuit components are damaged</t>
  </si>
  <si>
    <t>Malfunction: The position sensor of the core expansion motor is abnormal, i. e. no change of the position code disk is detected after 10s.
Possible Causes:
1. position sensor is broken
2. The connection between the main PCB and the 3D PCB is abnormal
3. motor is broken or locked
4. Drive circuit components are damaged</t>
  </si>
  <si>
    <t>Malfunction: The position coding of the core expansion motor is abnormal, that is, the code disk is in an incorrect position.
Possible Causes:
1. position sensor is broken
2. Incorrect initial position of code disk
3. mechanism overshoot</t>
  </si>
  <si>
    <t>Malfunction: Abnormal rotation speed (count) sensor of core expansion motor
Possible Causes:
1. position sensor is broken
2. The connection between the main PCB and the 3D PCB is abnormal
3. motor is broken or locked
4. Drive circuit components are damaged</t>
  </si>
  <si>
    <t>Malfunction: Abnormal rotation speed (count) sensor of core tapping motor
Possible Causes:
1. position sensor is broken
2. The connection between the main PCB and the 3D PCB is abnormal
3. motor is broken or locked
4. Drive circuit components are damaged</t>
  </si>
  <si>
    <t>Malfunction: backrest Count sensor abnormal
Possible Causes:
1. count sensor broken
2. the wire is broken
3. motor is broken or locked
4. Drive circuit components are damaged</t>
  </si>
  <si>
    <t>Malfunction: leg rest Count sensor abnormal
Possible Causes:
1. count sensor broken
2. the wire is broken
3. motor is broken or locked
4. Drive circuit components are damaged</t>
  </si>
  <si>
    <t>Meaning: The POWER button on the side panel is pressed for more than 40S
Possible causes: 1. There are key card keys
Remarks: real-time detection</t>
  </si>
  <si>
    <t>1. Check the POWER key of the side panel</t>
  </si>
  <si>
    <t>Meaning: The manual controller failed to communicate successfully with the center board for more than 4S
Possible causes:
1. Hand controller disconnected
2. Upper and lower limits are valid simultaneously before power-on
Remarks: real-time detection</t>
  </si>
  <si>
    <t>1. Connect the connection between the manual controller and the center board to the plug
2. Replace the manual controller connection
3. Check the upper and lower limit sensors and wiring</t>
  </si>
  <si>
    <t>Meaning: The upper movement control board and the center board failed to communicate successfully for more than 4S
Possible causes:
1. Poor contact between back frame and plug cord
2. Broken wire on back frame
Remarks: real-time detection</t>
  </si>
  <si>
    <t>1. Poor contact between back frame and plug cord
2. Broken wire on back frame</t>
  </si>
  <si>
    <t>Meaning: When the upper movement has a walking function on, abnormal walking count was detected
Possible causes:
1. Poor contact between back frame signal and patch cord
2. Travel counting sensor is broken
Remarks: real-time detection</t>
  </si>
  <si>
    <t>1. Check whether the back frame signal pair plug cord is plugged in properly
2. Travel counting sensor is broken</t>
  </si>
  <si>
    <t>Meaning: Long press of side panel buttons exceeds 40S
Possible causes: 1. There are key card keys
Remarks: real-time detection</t>
  </si>
  <si>
    <t>1. Check side panel buttons</t>
  </si>
  <si>
    <t>Meaning: The center board manufacturing board and the calf board failed to communicate successfully over 4S
Possible causes:
1. Poor contact between the calf and the plug cord
2. The calf pair is inserted and disconnected
Remarks: real-time detection</t>
  </si>
  <si>
    <t>1. Check whether the calf signal is plugged in properly
2. Replace the calf pair cord</t>
  </si>
  <si>
    <t>Meaning: The kneading count of the upper movement is abnormal
Possible causes:
1. Abnormal movement kneading motor
2. Abnormal movement kneading drive circuit
3. The kneading counter board of the movement is abnormal
Remarks: real-time detection</t>
  </si>
  <si>
    <t>1. Replace kneading motor
2. Replace the movement plate
3. Replace the kneading counter plate</t>
  </si>
  <si>
    <t>Meaning: Abnormal knock count on upper movement
Possible causes:
1. Abnormal striking motor for movement
2. Abnormal movement knocking drive circuit
3. The movement strikes the counter board abnormally
Remarks: real-time detection</t>
  </si>
  <si>
    <t>1. Replace the tapping motor
2. Replace the movement plate
3. Replace the knock counter board</t>
  </si>
  <si>
    <t>Meaning: The upper movement expansion count is abnormal
Possible causes:
1. Abnormal movement expansion motor
2. Abnormal movement expansion drive circuit
3. Abnormal movement telescopic counter board
Remarks: real-time detection</t>
  </si>
  <si>
    <t>1. Replace the telescopic motor
2. Replace the movement plate
3. Replace the telescopic counter plate</t>
  </si>
  <si>
    <t>Meaning: Upper movement heating sensor abnormal
Possible causes:
1. Abnormal movement heating drive circuit
2. Movement heating sensor abnormal
3. Movement heating sensor wire
Remarks: real-time detection</t>
  </si>
  <si>
    <t>1. Replace the movement plate
2. Replace the movement heating swing arm
3. Replace the movement heating sensor cable</t>
  </si>
  <si>
    <t>Meaning: Abnormal foot roller count
Possible causes:
1. The foot roller motor
2. The sole roller circuit is abnormal
3. The foot roller counting sensor is abnormal
Remarks: Detection when entering self-test mode</t>
  </si>
  <si>
    <t>1. Replace the roller motor
2. Replace the calf plate
3. Replace the roller counter plate</t>
  </si>
  <si>
    <t>Meaning: The upper and lower limit sensors of the lower movement are effective at the same time
Possible causes:
1. The upper and lower limit sensors of the lower movement are broken
2. The connection line of the lower movement back frame falls off
Remarks: real-time detection</t>
  </si>
  <si>
    <t>1. Lower movement replaces upper and lower limit sensors
2. Check the connection of the signal line of the back frame under the lower movement</t>
  </si>
  <si>
    <t>Meaning: When the lower movement has a walking function on, abnormal walking count was detected
Possible causes:
1. Poor contact between the signal of the lower movement back frame and the plug cord
2. Lower movement stroke counting sensor is broken
Remarks: When the movement has a walking function, real-time detection is carried out</t>
  </si>
  <si>
    <t>1. Lower the movement to check whether the back frame signal pair plug cord is plugged in properly
2. Lower movement stroke counting sensor is broken</t>
  </si>
  <si>
    <t>Meaning: The 5S clock of the lower movement does not detect the count signal of the number of revolutions of the kneading motor
Possible causes:
1. Width detection board is broken
2. Width board connection abnormal
3. The kneading motor is broken or the belt comes off
Remarks: Detection when entering self-test mode</t>
  </si>
  <si>
    <t>1. Replace the width detection board
2. Replace the back frame signal cable
3. replace the motor</t>
  </si>
  <si>
    <t>Meaning: No wide signal was detected in the 5S clock of the lower movement
Possible causes:
1. Width detection board is broken
2. Width board connection abnormal
3. The kneading motor is broken or the belt comes off
Remarks: Detection when entering self-test mode</t>
  </si>
  <si>
    <t>Meaning: Lower calf extension counting signal is abnormal
Possible causes:
1. Lower calf extension motor is broken
2. Lower calf extension and counting line fell off
3. Lower calf extension counting sensor abnormal
Remarks: Detection when entering self-test mode</t>
  </si>
  <si>
    <t>1. Replace the lower calf extension motor
2. Check the wiring of the calf extension motor
3. Replace the lower calf extension counting sensor</t>
  </si>
  <si>
    <t>Meaning: Upper calf extension counting signal is abnormal
Possible causes:
1. Upper calf extension motor is broken
2. Upper calf extension counting line falls off
3. Upper calf extension counting sensor abnormal
Remarks: Detection when entering self-test mode</t>
  </si>
  <si>
    <t>1. Replace the extension motor of the upper calf
2. Check the wiring of the upper calf extension motor
3. Replace the upper calf extension counting sensor</t>
  </si>
  <si>
    <t>Meaning: No counting signal detected when the calf push rod is turned on at 2.5S (Or the push rod in place signal is not detected in 40S)
Possible causes:
1. The calf push rod motor is broken
2. The calf push rod motor connection comes off
Remarks: Detection when entering self-test mode</t>
  </si>
  <si>
    <t>1. Replace the calf push rod motor
2. Check the connection of the calf push rod motor</t>
  </si>
  <si>
    <t>Meaning: The anti-collision signal is abnormal (the anti-collision signal on the lower movement control panel is above the upper limit position, and the movement triggers an abnormal exceeding 10S below the lower limit position)
Possible causes:
1. sensor abnormality
2. abnormal wiring
Remarks: real-time detection</t>
  </si>
  <si>
    <t>1. replace the sensor
2. Replace the patch cord</t>
  </si>
  <si>
    <t>Meaning: Failure to communicate successfully between the lower movement control board and the center board for more than 4S
Possible causes:
1. Poor contact between back frame and plug cord
2. Broken wire on back frame
Remarks: real-time detection</t>
  </si>
  <si>
    <t>1. Check whether the back frame signal pair plug cord is plugged in properly
2. Replace the back frame patch cord</t>
  </si>
  <si>
    <t>Meaning: The tablet POWER button is pressed for more than 40S
Possible causes: 1. There are key card keys
Remarks: real-time detection</t>
  </si>
  <si>
    <t>1. Check the panel POWER button</t>
  </si>
  <si>
    <t>Meaning: No change in air pressure detected when the lower movement is inflated for 15 seconds Airbag cannot lift
Possible causes:
1. Broken valve
2. The air pressure sensor is broken
3. tracheal detachment
Remarks: Detection when entering self-test mode</t>
  </si>
  <si>
    <t>1. pressure-maintaining valve
2. Change center board
3. Test trachea connection</t>
  </si>
  <si>
    <t>Meaning: The lower movement maintained the pressure for 15 seconds. Air leakage was detected and the pressure could not be maintained.
Possible causes:
1. The charging valve and the pressure maintaining valve are connected in reverse
2. connection exception
Remarks: Detection when entering self-test mode</t>
  </si>
  <si>
    <t>1. Test trachea connection
2. Test wiring</t>
  </si>
  <si>
    <t>Meaning: Back push rod opens 2.5S No count signal detected (Or the push rod in place signal is not detected in 40S)
Possible causes:
1. The backrest push rod motor is broken
2. The backrest push rod motor wiring comes off
Remarks: Detection when entering self-test mode</t>
  </si>
  <si>
    <t>1. Replace backrest push rod motor
2. Check the backrest push rod motor wiring</t>
  </si>
  <si>
    <t>Meaning: The lower movement 40S clock does not detect the upper limit sensor signal
Possible causes:
1. The upper limit sensor is broken
2. The back frame connection comes off
3. The traveling motor is broken or disconnected
Remarks: Detection when entering self-test mode</t>
  </si>
  <si>
    <t>1. Replace the upper limit sensor board
2. Check the connection of back frame signal cable
3. Replace travel motor or wiring</t>
  </si>
  <si>
    <t>Meaning: The center plate manufacturing board and the side plate failed to communicate successfully over 4S
Possible causes:
1. Poor contact between side plate and patch cord
2. Broken wire on side plate
Remarks: real-time detection</t>
  </si>
  <si>
    <t>1. Check whether the side panel signal pair plug cord is plugged in properly
2. Replace the side panel patch cord</t>
  </si>
  <si>
    <t>Meaning: The signal from the lower movement upper limit sensor was detected within 2 seconds after the signal was detected by the upper limit sensor of the lower movement
Possible causes: 1. Lower (upper) limit sensor is broken
Remarks: Detection when entering self-test mode</t>
  </si>
  <si>
    <t>1. Replace the lower (upper) limit sensor board
2. Check the lower (upper) limit sensor wire connection</t>
  </si>
  <si>
    <t>Meaning: The lower movement 40S clock does not detect the lower limit sensor signal
Possible causes:
1. Lower limit sensor is broken
2. The back frame connection comes off
3. The traveling motor is broken or disconnected
Remarks: Detection when entering self-test mode</t>
  </si>
  <si>
    <t>1. Replace the lower limit sensor board
2. Check back frame wire connection
3. Replacement travel motor is broken or wired</t>
  </si>
  <si>
    <t>Meaning: The upper limit sensor signal was detected within 2 seconds after the lower limit sensor of the lower movement detected the signal
Possible causes: 1. Upper (lower) limit sensor is broken
Remarks: Detection when entering self-test mode</t>
  </si>
  <si>
    <t>1. Replace the upper (lower) limit sensor board
2. Check the upper (lower) limit sensor wire connection</t>
  </si>
  <si>
    <t>Meaning: Lower calf extension and contraction upper and lower limits triggered simultaneously
Possible causes:
1. Lower calf extension upper and lower limit sensors are broken and the connection line falls off
2. Lower calf telescopic upper and lower limit sensor is broken
Remarks: Detection when entering self-test mode</t>
  </si>
  <si>
    <t>1. Check the wiring of the upper and lower limit sensors in the lower calf
2. Replacement lower and upper limit sensors for lower calf are broken</t>
  </si>
  <si>
    <t>Meaning: No front sensor signal detected in leg telescopic push rod 20S
Possible causes:
1. The telescopic sensor is broken or wiring problem
2. The telescopic motor is broken
Remarks: Detection when self-test is turned on</t>
  </si>
  <si>
    <t>1. replace the sensor
2. Detection sensor wire
3. Replace the telescopic motor</t>
  </si>
  <si>
    <t>Meaning: The leg telescopic push rod detects the front signal and detects the rear signal within 2.5S (the rear sensor is broken)
Possible causes:
1. The telescopic sensor is broken or wiring problem
2. The telescopic motor is broken
Remarks: Detection when self-test is turned on</t>
  </si>
  <si>
    <t>Meaning: No rear sensor signal detected by leg telescopic push rod 20S
Possible causes:
1. The telescopic sensor is broken or wiring problem
2. The telescopic motor is broken
Remarks: Detection when self-test is turned on</t>
  </si>
  <si>
    <t>Meaning: The leg telescopic push rod detects the rear end signal and detects the front end signal within 2.5S (the rear end sensor is broken)
Possible causes:
1. The telescopic sensor is broken or wiring problem
2. The telescopic motor is broken
Remarks: Detection when self-test is turned on</t>
  </si>
  <si>
    <t>Meaning: Zero-gravity push rod is turned on for 2.5S and no counting signal is detected (Or the push rod in place signal is not detected in 40S)
Possible causes:
1. Zero-gravity push rod motor is broken
2. The zero-gravity push rod motor connection comes off
Remarks: Detection when entering self-test mode</t>
  </si>
  <si>
    <t>1. Replace the zero-gravity push rod motor
2. Check the zero-gravity push rod motor wiring</t>
  </si>
  <si>
    <t>Meaning: remote control did not connected more than 4 second
Problem Description: remote control wire is broken or the remote control is disconnected
Remark: enter auto-check model</t>
  </si>
  <si>
    <t>reconnect the remote control or change the remote control wire.</t>
  </si>
  <si>
    <t>Meaning: backrest signal is abnormity
Problem Description:
1. The connector of the backrest wire is not well connected
2. Backrest wire Broken
Remark: enter auto-check model</t>
  </si>
  <si>
    <t>Meaning: rolling signal is abnormity
Problem Description:
1. the up and down sensor broken
2. the backrest wire broken
3. the motor broken 4.3d PCB broken
Remark: (1) enter auto-check model (2) Automatic shutdown in case of failure. And it is not allowed to start.</t>
  </si>
  <si>
    <t>1. replace the sensor
2. check the wire
3. check the motor
4. change 3D PCB</t>
  </si>
  <si>
    <t>Meaning: side panel signal is abnormity
Problem Description:
1. The connector of the wire is not well connected
2. wire Broken
Remark: enter auto-check model</t>
  </si>
  <si>
    <t>Meaning: leg rest tested more than 4 seconds
Problem Description:
1. connector of leg rest wire not well
2. wire of leg rest broken
Remark: enter auto-check model</t>
  </si>
  <si>
    <t>Meaning: kneading signal is abnormity
Problem Description:
1. the sensor broken
2. the backrest wire broken
3. the motor broken 4.3d PCB broken
Remark: (1) enter auto-check model (2) Automatic shutdown in case of failure. And it is not allowed to start.</t>
  </si>
  <si>
    <t>Meaning: tapping signal is abnormity
Problem Description:
1. tapping motor is abnormity
2. 3D PCB is abnormity
3. connecting senor of tapping motor is abnormity
Remark: enter auto-check model</t>
  </si>
  <si>
    <t>1. change tapping motor
2. change 3D PCB
3. change connecting sensor of tapping motor</t>
  </si>
  <si>
    <t>Meaning: Telescopic signal is abnormity
Problem Description:
1. 3D Telescopic motor is abnormity
2. 3D PCB is abnormity
3. connecting senor of 3D Telescopic motor is abnormity
Remark: enter auto-check model</t>
  </si>
  <si>
    <t>1. change 3D Telescopic motor
2. change 3D PCB
3. change connecting sensor of 3D Telescopic motor</t>
  </si>
  <si>
    <t>Meaning: low leg rest telescopic signal is abnormity
Problem Description:
1. counting sensor broken
2. wire broken
3. motor broken
4. 3D PCB broken
Remark: enter auto-check model</t>
  </si>
  <si>
    <t>1. change sensor
2. check the wire
3. check motor
4. check 3D PCB</t>
  </si>
  <si>
    <t>Meaning: leg rest actuator signal is abnormity
Problem Description:
1. counting sensor broken
2. wire broken
3. motor broken
4. actuator PCB broken
Remark: enter auto-check model</t>
  </si>
  <si>
    <t>1. change sensor
2. check wire
3. check motor
4. replace main PCB</t>
  </si>
  <si>
    <t>Meaning: backrest actuator signal is abnormity
Problem Description:
1. counting sensor broken
2. wire broken
3. motor broken
4. actuator PCB broken
Remark: enter auto-check model</t>
  </si>
  <si>
    <t>Meaning: rolling signal is abnormity
Problem Description:
1. the up and down sensor broken
2. the backrest wire broken
3. the motor broken
Remark: (1) enter auto-check model (2) Automatic shutdown in case of failure. And it</t>
  </si>
  <si>
    <t>Meaning: rolling signal is abnormity (UP and DOWN sensor effective at the same time )
Problem Description:
1. the up and down sensor broken
2. the backrest wire broken
3. the motor broken
4. 3d PCB broken
Remark: (1) enter auto-check model (2) Automatic shutdown in case of failure. And it is not allowed to start.</t>
  </si>
  <si>
    <t>Meaning: kneading signal is abnormity
Problem Description:
1. kneading motor is abnormity
2. 3D PCB is abnormity
3. connecting senor is abnormity of kneading motor
Remark: enter auto-check model</t>
  </si>
  <si>
    <t>1. change kneading motor
2. change 3D PCB
3. change connecting sensor of kneading motor</t>
  </si>
  <si>
    <t>Meaning: Telescopic signal is abnormity (UP and DOWN sensor effective at the same time )
Problem Description:
1. 3D Telescopic motor is abnormity
2. 3D PCB is abnormity
3. connecting senor of 3D Telescopic motor is abnormity
Remark: enter auto-check model</t>
  </si>
  <si>
    <t>Meaning: kneading motor broken
Problem Description: kneading motor broken
Remark: (1) enter auto-check model (2) Automatic shutdown in case of failure. And it is not allowed to start.</t>
  </si>
  <si>
    <t>change kneading motor</t>
  </si>
  <si>
    <t>Meaning: rolling motor broken
Problem Description: rolling motor broken
Remark: (1) enter auto-check model (2) Automatic shutdown in case of failure. And it is not allowed to start.</t>
  </si>
  <si>
    <t>change rolling motor</t>
  </si>
  <si>
    <t>Meaning: 3D motor broken
Problem Description: 3D motor broken
Remark: (1) enter auto-check model (2) Automatic</t>
  </si>
  <si>
    <t>change 3D motor broken</t>
  </si>
  <si>
    <t>Meaning: tapping motor broken
Problem Description: tapping motor broken
Remark: (1) enter auto-check model (2) Automatic</t>
  </si>
  <si>
    <t>change tapping motor</t>
  </si>
  <si>
    <t>Meaning: remote control tested any key pressed get stuck
Problem Description: 1. one of the KEY has been blocked.
Remark: turn on the chair</t>
  </si>
  <si>
    <t>Meaning: Communication exception
Problem Description: There is communication but the data is abnormal, and the communication interference is detected</t>
  </si>
  <si>
    <t>Meaning: The side panel controller has detected that any button has been pressed for more than 45 seconds
Possible causes: 1. one of the button has been blocked.
Remark: turn on the chair</t>
  </si>
  <si>
    <t>Check the side panel buttons</t>
  </si>
  <si>
    <t>Meaning: remote control tested any key pressed more than 40 seconds
Possible causes: 1. one of the KEY has been blocked.
Remark: turn on the chair</t>
  </si>
  <si>
    <t>1. Detect remote control buttons</t>
  </si>
  <si>
    <t>Meaning: remote control did not connected well
Possible causes: 1. remote control wire is broken
Remark: turn on the chair</t>
  </si>
  <si>
    <t>1. change the wire of remote control</t>
  </si>
  <si>
    <t>Meaning: tested signals from up &amp; down limit sensor at the same time.
Possible causes: 1. upper&amp;lower limit sensor is broken. 2. backrest wire or the terminals broken.
Remark: turn on the chair</t>
  </si>
  <si>
    <t>1. Change up &amp; down limit sensor 2. check whether the backrest wire is well connected</t>
  </si>
  <si>
    <t>Meaning: didn't tested the rolling counting signal
Possible causes: 1. backrest wire is not well connected 2. the counting sensor of the rolling motor is broken
Remark: start the rolling function</t>
  </si>
  <si>
    <t>1. check whether the backrest wire is well connected 2. change the counting sensor of the rolling motor</t>
  </si>
  <si>
    <t>Meaning: footrest did not connected well
Possible causes: 1. connector of leg rest wire not well 2. wire of leg rest broken
Remark: enter auto-check model</t>
  </si>
  <si>
    <t>1. check the connector of leg rest wire 2. change the wire of leg rest</t>
  </si>
  <si>
    <t>Meaning: more than 5 seconds did not tested the kneading counting signal
Possible causes: 1. wideth inspection board is broken 2. the wire connect to the wideth inspection board is disconnected 3. kneading motor is broken or kneading belt is lost
Remark: enter auto-check model</t>
  </si>
  <si>
    <t>1. change wideth inspection board 2. change backrest wires. 3. change kneading motor</t>
  </si>
  <si>
    <t>Meaning: more than 5 seconds did not tested the narrow signal
Possible causes: 1. wideth inspection board is broken 2. the wire connect to the wideth inspection board is disconnected 3. kneading motor is broken or kneading belt is lost
Remark: enter auto-check model</t>
  </si>
  <si>
    <t>Meaning: tested signals from up &amp; down limit sensor at the same time.
Possible causes: 1. upper&amp;lower limit sensor is broken. 2. backrest wire or the terminals broken.
Remark: enter auto-check model</t>
  </si>
  <si>
    <t>Meaning: more than 40s didn't tested the signal from the upper limit sensor
Possible causes: 1. upper limit sensor is broken. 2. backrest wire is disconnected 3. rolling motor is broken or rolling motor wire disconnected
Remark: enter auto-check model</t>
  </si>
  <si>
    <t>1. change upper limit sensor 2. check whether the backrest wire is well connected. 3. change rolling motor or rolling motor wire.</t>
  </si>
  <si>
    <t>Meaning: didn't tested the rolling counting signal
Possible causes: 1. backrest wire is not well connected 2. the counting sensor of the rolling motor is broken
Remark: enter auto-check model</t>
  </si>
  <si>
    <t>Meaning: test the signal from upper limit sensor in 2 seconds test the lower limit sensor
Possible causes: 1. lower limit sensor or upper limit sensor is broken.
Remark: enter auto-check model</t>
  </si>
  <si>
    <t>1. change lower limit sensor or upper limit sensor 2. Check if the lower limit sensor or upper limit sensor wire is properly connected.</t>
  </si>
  <si>
    <t>Meaning: more than 40s didn't tested the signal from the lower limit sensor
Possible causes: 1. lower limit sensor is broken. 2. backrest wire is disconnected 3. rolling motor is broken or rolling motor wire disconnected
Remark: enter auto-check model</t>
  </si>
  <si>
    <t>1. change lower limit sensor 2. check whether the backrest wire(black) is well connected. 3. change rolling motor or rolling motor wire.</t>
  </si>
  <si>
    <t>Meaning: test the signal from lower limit sensor in 2 seconds test the upper limit sensor
Possible causes: 1. upper limit sensor or lower limit sensor is broken.
Remark: enter auto-check model</t>
  </si>
  <si>
    <t>1. change upper limit sensor or lower limit sensor 2. Check if the lower limit sensor or upper limit sensor wire is properly connected.</t>
  </si>
  <si>
    <t>Meaning: when start the leg rest actuator, there is no counting signal for more than 2.5 seconds (or 40 seconds did not test the actuator Reset signal)
Possible causes: 1. leg rest actuator broken 2. leg rest actuator wire broken
Remark: enter auto-check model</t>
  </si>
  <si>
    <t>1. change leg rest actuator 2. check the wire of the leg rest actuator</t>
  </si>
  <si>
    <t>Meaning: The communication between the core board and the main board has not been successful for more than 6 seconds
Possible causes: 1. Core board wiring disconnection
Remark: turn on the chair</t>
  </si>
  <si>
    <t>1. change backrest wires.</t>
  </si>
  <si>
    <t>Meaning: when start the backrest recline actuator, there is no counting signal for more than 2.5 seconds (or didn't tested the signal from the actuator mother then 40 seconds)
Possible causes: 1. backrest recline actuator is broken 2. backrest recline actuator wire is disconnected 3. the signal wire of the backrest recline wire is disconnected
Remark: enter auto-check model</t>
  </si>
  <si>
    <r>
      <rPr>
        <rFont val="Arial"/>
        <color theme="1"/>
      </rPr>
      <t xml:space="preserve">Meaning: remote control tested any key pressed more than 25 seconds
Description: 1. one of the KEY has been blocked.
</t>
    </r>
    <r>
      <rPr>
        <rFont val="Arial"/>
        <b/>
        <color rgb="FFFF0000"/>
      </rPr>
      <t>Timer Display: [Timer Display: 0 and 5-minute segments are lit orange]</t>
    </r>
    <r>
      <rPr>
        <rFont val="Arial"/>
        <color theme="1"/>
      </rPr>
      <t xml:space="preserve">
Remarks: turn on the chair</t>
    </r>
  </si>
  <si>
    <r>
      <rPr>
        <rFont val="Arial"/>
        <color theme="1"/>
      </rPr>
      <t>Meaning: remote control did not connected
Description: 1. the remote control wire is broken or the remote control wire is disconn</t>
    </r>
    <r>
      <rPr>
        <rFont val="Arial"/>
        <b/>
        <color rgb="FFFF0000"/>
      </rPr>
      <t xml:space="preserve">ected
Timer Display: [Timer Display: 0, 5, and 10-minute segments are lit </t>
    </r>
    <r>
      <rPr>
        <rFont val="Arial"/>
        <color theme="1"/>
      </rPr>
      <t>orange]
Remarks: turn on the chair</t>
    </r>
  </si>
  <si>
    <r>
      <rPr>
        <rFont val="Arial"/>
        <color theme="1"/>
      </rPr>
      <t xml:space="preserve">Meaning: backrest signal is abnormity
Description: 1. backrest wire(black) is not well connected. 2. up &amp; down limit sensor is </t>
    </r>
    <r>
      <rPr>
        <rFont val="Arial"/>
        <b/>
        <color rgb="FFFF0000"/>
      </rPr>
      <t>broken
Timer Display: [Timer Display: 0, 5, 10, and 15-minute segments are lit</t>
    </r>
    <r>
      <rPr>
        <rFont val="Arial"/>
        <color theme="1"/>
      </rPr>
      <t xml:space="preserve"> orange]
Remarks: turn on the chair</t>
    </r>
  </si>
  <si>
    <r>
      <rPr>
        <rFont val="Arial"/>
        <color theme="1"/>
      </rPr>
      <t xml:space="preserve">Meaning: backrest signal is abnormity
Description: 1. backrest wire(black) is not well connected. 2. the counting sensor of the rolling motor </t>
    </r>
    <r>
      <rPr>
        <rFont val="Arial"/>
        <b/>
        <color rgb="FFFF0000"/>
      </rPr>
      <t xml:space="preserve">is broken
Timer Display: [Timer Display: 0, 5, 10, 15, and 20-minute segments are </t>
    </r>
    <r>
      <rPr>
        <rFont val="Arial"/>
        <color theme="1"/>
      </rPr>
      <t>lit orange]
Remarks: activate the Rolling function</t>
    </r>
  </si>
  <si>
    <r>
      <rPr>
        <rFont val="Arial"/>
        <color theme="1"/>
      </rPr>
      <t xml:space="preserve">Meaning: tested more than 2 wideth inspection signal
Description: 1. wideth inspection board is broken 2. wideth inspection wire is not well </t>
    </r>
    <r>
      <rPr>
        <rFont val="Arial"/>
        <b/>
        <color rgb="FFFF0000"/>
      </rPr>
      <t xml:space="preserve">connected
Timer Display: [Timer Display: 0, 5, 10, 15, 20, 25, and 30-minute segments are </t>
    </r>
    <r>
      <rPr>
        <rFont val="Arial"/>
        <color theme="1"/>
      </rPr>
      <t>lit orange]
Remarks: activate the Rolling function</t>
    </r>
  </si>
  <si>
    <r>
      <rPr>
        <rFont val="Arial"/>
        <color theme="1"/>
      </rPr>
      <t>Meaning: nore than 5 seconds did not tested the wide signal
Description: 1. wideth inspection board is broken 2. the wire connect to the wideth inspection board is disconnected 3. kneading motor is broken or kneading b</t>
    </r>
    <r>
      <rPr>
        <rFont val="Arial"/>
        <b/>
        <color rgb="FFFF0000"/>
      </rPr>
      <t>elt is lost
Timer Display: [Timer Display: 0, 5, 10, and 30-minute segments ar</t>
    </r>
    <r>
      <rPr>
        <rFont val="Arial"/>
        <color theme="1"/>
      </rPr>
      <t>e lit orange]
Remarks: activate auto-check model</t>
    </r>
  </si>
  <si>
    <r>
      <rPr>
        <rFont val="Arial"/>
        <color theme="1"/>
      </rPr>
      <t>Meaning: more than 5 seconds did not tested the middle signal
Description: 1. wideth inspection board is broken 2. the wire connect to the wideth inspection board is disconnected 3. kneading motor is broken or kneading b</t>
    </r>
    <r>
      <rPr>
        <rFont val="Arial"/>
        <b/>
        <color rgb="FFFF0000"/>
      </rPr>
      <t>elt is lost
Timer Display: [Timer Display: 0, 5, 10, 15, and 30-minute segments ar</t>
    </r>
    <r>
      <rPr>
        <rFont val="Arial"/>
        <color theme="1"/>
      </rPr>
      <t>e lit orange]
Remarks: activate auto-check model</t>
    </r>
  </si>
  <si>
    <r>
      <rPr>
        <rFont val="Arial"/>
        <color theme="1"/>
      </rPr>
      <t>Meaning: more than 5 seconds did not tested the narrow signal
Description: 1. wideth inspection board is broken 2. the wire connect to the wideth inspection board is disconnected 3. kneading motor is broken or kneading b</t>
    </r>
    <r>
      <rPr>
        <rFont val="Arial"/>
        <b/>
        <color rgb="FFFF0000"/>
      </rPr>
      <t>elt is lost
Timer Display: [Timer Display: 0, 5, 10, 15, 20, and 30-minute segments ar</t>
    </r>
    <r>
      <rPr>
        <rFont val="Arial"/>
        <color theme="1"/>
      </rPr>
      <t>e lit orange]
Remarks: activate auto-check model</t>
    </r>
  </si>
  <si>
    <r>
      <rPr>
        <rFont val="Arial"/>
        <color theme="1"/>
      </rPr>
      <t xml:space="preserve">Meaning: more than 10 seconds didn't tested kneading signal
Description: 1. Main PCB is </t>
    </r>
    <r>
      <rPr>
        <rFont val="Arial"/>
        <b/>
        <color rgb="FFFF0000"/>
      </rPr>
      <t>broken
Timer Display: [Timer Display: 0, 5, 10, 15, 20, 25, and 30-minute segments are lit</t>
    </r>
    <r>
      <rPr>
        <rFont val="Arial"/>
        <color theme="1"/>
      </rPr>
      <t xml:space="preserve"> orange]
Remarks: activate auto-check model</t>
    </r>
  </si>
  <si>
    <r>
      <rPr>
        <rFont val="Arial"/>
        <color theme="1"/>
      </rPr>
      <t>Meaning: when not kneading but the wideth inspection signal still can be tested
Description: 1. Main PCB i</t>
    </r>
    <r>
      <rPr>
        <rFont val="Arial"/>
        <b/>
        <color rgb="FFFF0000"/>
      </rPr>
      <t>s broken
Timer Display: [Timer Display: 0, 5, 25, and 30-minute segments are l</t>
    </r>
    <r>
      <rPr>
        <rFont val="Arial"/>
        <color theme="1"/>
      </rPr>
      <t>it orange]
Remarks: activate auto-check model</t>
    </r>
  </si>
  <si>
    <r>
      <rPr>
        <rFont val="Arial"/>
        <color theme="1"/>
      </rPr>
      <t>Meaning: tested signals from up &amp; down limit sensor at the same time.
Description: 1. up &amp; down limit sensor are broken 2. backrest wire(black) is disc</t>
    </r>
    <r>
      <rPr>
        <rFont val="Arial"/>
        <b/>
        <color rgb="FFFF0000"/>
      </rPr>
      <t xml:space="preserve">onnected.
Timer Display: [Timer Display: 0, 5, 10, 25, and 30-minute segments are </t>
    </r>
    <r>
      <rPr>
        <rFont val="Arial"/>
        <color theme="1"/>
      </rPr>
      <t>lit orange]
Remarks: activate auto-check model</t>
    </r>
  </si>
  <si>
    <r>
      <rPr>
        <rFont val="Arial"/>
        <color theme="1"/>
      </rPr>
      <t>Meaning: more than 40s didn't tested the signal from the up limit sensor
Description: 1. upper limit sensor is broken. 2. backrest wires( black and gray) are disconnected 3. rolling motor is broken or rolling motor wire</t>
    </r>
    <r>
      <rPr>
        <rFont val="Arial"/>
        <b/>
        <color rgb="FFFF0000"/>
      </rPr>
      <t xml:space="preserve"> disconnected
Timer Display: [Timer Display: 0, 5, 10, 15, 25, and 30-minute segments </t>
    </r>
    <r>
      <rPr>
        <rFont val="Arial"/>
        <color theme="1"/>
      </rPr>
      <t>are lit orange]
Remarks: activate auto-check model</t>
    </r>
  </si>
  <si>
    <r>
      <rPr>
        <rFont val="Arial"/>
        <color theme="1"/>
      </rPr>
      <t xml:space="preserve">Meaning: height counting signal error
Description: 1. the counting sensor of the rolling motor is broken 2. backrest wire(black) is </t>
    </r>
    <r>
      <rPr>
        <rFont val="Arial"/>
        <b/>
        <color rgb="FFFF0000"/>
      </rPr>
      <t>disconnected
Timer Display: [Timer Display: 0, 5, 10, 15, 20, 25, and 30-minute segments a</t>
    </r>
    <r>
      <rPr>
        <rFont val="Arial"/>
        <color theme="1"/>
      </rPr>
      <t>re lit orange]
Remarks: activate auto-check model</t>
    </r>
  </si>
  <si>
    <r>
      <rPr>
        <rFont val="Arial"/>
        <color theme="1"/>
      </rPr>
      <t xml:space="preserve">Meaning: after tested signal from up limit sensor then tested signal from down limit sensor in 2 seconds.
Description: 1. down limit </t>
    </r>
    <r>
      <rPr>
        <rFont val="Arial"/>
        <b/>
        <color rgb="FFFF0000"/>
      </rPr>
      <t xml:space="preserve">sensor is broken
Timer Display: [Timer Display: 0, 5, 10, 15, 20, 25, and 30-minute segments are lit </t>
    </r>
    <r>
      <rPr>
        <rFont val="Arial"/>
        <color theme="1"/>
      </rPr>
      <t>orange (Full Arc)]
Remarks: activate auto-check model</t>
    </r>
  </si>
  <si>
    <r>
      <rPr>
        <rFont val="Arial"/>
        <color theme="1"/>
      </rPr>
      <t xml:space="preserve">Meaning: more than 40s didn't tested the signal from the up limit sensor
Description: 1. down limit sensor is broken 2. the backrest wire(black) is disconnected. 3. rolling motor is broken </t>
    </r>
    <r>
      <rPr>
        <rFont val="Arial"/>
        <b/>
        <color rgb="FFFF0000"/>
      </rPr>
      <t>or disconnected
Timer Display: [Timer Display: 0, 5, 10, 20, 25, and 30-minute segment</t>
    </r>
    <r>
      <rPr>
        <rFont val="Arial"/>
        <color theme="1"/>
      </rPr>
      <t>s are lit orange]
Remarks: activate auto-check model</t>
    </r>
  </si>
  <si>
    <r>
      <rPr>
        <rFont val="Arial"/>
        <color theme="1"/>
      </rPr>
      <t>Meaning: after tested signal from down limit sensor then tested signal from up limit sensor in 2 seconds.
Description: 1. upper limit sens</t>
    </r>
    <r>
      <rPr>
        <rFont val="Arial"/>
        <b/>
        <color rgb="FFFF0000"/>
      </rPr>
      <t>or is broken.
Timer Display: [Timer Display: 0, 5, 10, 15, 20, 25, and 30-minute segments are lit ora</t>
    </r>
    <r>
      <rPr>
        <rFont val="Arial"/>
        <color theme="1"/>
      </rPr>
      <t>nge (Full Arc)]
Remarks: activate auto-check model</t>
    </r>
  </si>
  <si>
    <r>
      <rPr>
        <rFont val="Arial"/>
        <color theme="1"/>
      </rPr>
      <t>Meaning: can't test signal from foot rest recline actuator
Description: 1. foot rest recline actuator is broken 2. foot rest actuator motor wire is disconnected 3. the signal wire of foot rest actuator i</t>
    </r>
    <r>
      <rPr>
        <rFont val="Arial"/>
        <b/>
        <color rgb="FFFF0000"/>
      </rPr>
      <t>s disconnected.
Timer Display: [Timer Display: 0, 5, 10, 15, 20, 25, and 30-minute segments are lit o</t>
    </r>
    <r>
      <rPr>
        <rFont val="Arial"/>
        <color theme="1"/>
      </rPr>
      <t>range (Full Arc)]
Remarks: activate auto-check model</t>
    </r>
  </si>
  <si>
    <r>
      <rPr>
        <rFont val="Arial"/>
        <color theme="1"/>
      </rPr>
      <t>Meaning: test signals from front sensor and rear sensor at the same time.
Description: 1. the 6 core signal wire is disconnected. 2. up &amp; down limit sensor of the foot r</t>
    </r>
    <r>
      <rPr>
        <rFont val="Arial"/>
        <b/>
        <color rgb="FFFF0000"/>
      </rPr>
      <t>est are broken
Timer Display: [Timer Display: 0, 5, 10, 15, 20, 25, and 30-minute segments are lit or</t>
    </r>
    <r>
      <rPr>
        <rFont val="Arial"/>
        <color theme="1"/>
      </rPr>
      <t>ange (Full Arc)]
Remarks: activate auto-check model</t>
    </r>
  </si>
  <si>
    <r>
      <rPr>
        <rFont val="Arial"/>
        <color theme="1"/>
      </rPr>
      <t xml:space="preserve">Meaning: didn't test signal from front sensor of the footrest more than 20 seconds.
Description: 1. the down limit sensor of the foot rest is broken 2. foot rest extending motor is broken </t>
    </r>
    <r>
      <rPr>
        <rFont val="Arial"/>
        <b/>
        <color rgb="FFFF0000"/>
      </rPr>
      <t>or disconnected
Timer Display: [Timer Display: 0, 5, 10, 15, 20, 25, and 30-minute segments are lit o</t>
    </r>
    <r>
      <rPr>
        <rFont val="Arial"/>
        <color theme="1"/>
      </rPr>
      <t>range (Full Arc)]
Remarks: activate auto-check model</t>
    </r>
  </si>
  <si>
    <r>
      <rPr>
        <rFont val="Arial"/>
        <color theme="1"/>
      </rPr>
      <t xml:space="preserve">Meaning: After tested front sensor signal, then tested front sensor signal in 2.5 seconds.
Description: 1. the upper limit sensor of foot </t>
    </r>
    <r>
      <rPr>
        <rFont val="Arial"/>
        <b/>
        <color rgb="FFFF0000"/>
      </rPr>
      <t xml:space="preserve">rest is broken
Timer Display: [Timer Display: 0 and 5-minute segments </t>
    </r>
    <r>
      <rPr>
        <rFont val="Arial"/>
        <color theme="1"/>
      </rPr>
      <t>are lit orange]
Remarks: activate auto-check model</t>
    </r>
  </si>
  <si>
    <r>
      <rPr>
        <rFont val="Arial"/>
        <color theme="1"/>
      </rPr>
      <t>Meaning: didn't tested rear sensor signal in 20 seconds
Description: 1. the upper limit sensor of foot rest is broken 2. foot rest extending motor is broken or the motor wire is</t>
    </r>
    <r>
      <rPr>
        <rFont val="Arial"/>
        <b/>
        <color rgb="FFFF0000"/>
      </rPr>
      <t xml:space="preserve"> disconnected.
Timer Display: [Timer Display: 0, 5, 10, and 15-minute segments</t>
    </r>
    <r>
      <rPr>
        <rFont val="Arial"/>
        <color theme="1"/>
      </rPr>
      <t xml:space="preserve"> are lit orange]
Remarks: activate auto-check model</t>
    </r>
  </si>
  <si>
    <r>
      <rPr>
        <rFont val="Arial"/>
        <color theme="1"/>
      </rPr>
      <t>Meaning: After tested rear sensor signal, hen tested front sensor signal in 2.5 seconds.
Description: 1. the lower limit sensor of the fo</t>
    </r>
    <r>
      <rPr>
        <rFont val="Arial"/>
        <b/>
        <color rgb="FFFF0000"/>
      </rPr>
      <t>ot rest is broken
Timer Display: [Timer Display: 0, 5, and 15-minute segme</t>
    </r>
    <r>
      <rPr>
        <rFont val="Arial"/>
        <color theme="1"/>
      </rPr>
      <t>nts are lit orange]
Remarks: activate auto-check model</t>
    </r>
  </si>
  <si>
    <r>
      <rPr>
        <rFont val="Arial"/>
        <color theme="1"/>
      </rPr>
      <t>Meaning: when start the backrest recline actuator, there is no counting signal for more than 2.5 seconds
Description: 1. backrest recline actuator is broken 2. backrest recline actuator wire is disconnected 3. the signal wire of the backrest recline wir</t>
    </r>
    <r>
      <rPr>
        <rFont val="Arial"/>
        <b/>
        <color rgb="FFFF0000"/>
      </rPr>
      <t>e is disconnected
Timer Display: [Timer Display: 0, 5, 10, and 15-minute segme</t>
    </r>
    <r>
      <rPr>
        <rFont val="Arial"/>
        <color theme="1"/>
      </rPr>
      <t>nts are lit orange]
Remarks: activate auto-check model</t>
    </r>
  </si>
  <si>
    <r>
      <rPr>
        <rFont val="Arial"/>
        <color theme="1"/>
      </rPr>
      <t xml:space="preserve">Meaning: when start the zero-gravity actuator, there is no counting signal for more than 2.5 seconds
Description: 1. Zero-gravity actuator is broken 2. zero-gravity actuator wire is disconnected. 3. the signal wire of zero-gravity actuator </t>
    </r>
    <r>
      <rPr>
        <rFont val="Arial"/>
        <b/>
        <color rgb="FFFF0000"/>
      </rPr>
      <t>is disconnected
Timer Display: [Timer Display: 0, 5, 10, 15, and 20-minute segment</t>
    </r>
    <r>
      <rPr>
        <rFont val="Arial"/>
        <color theme="1"/>
      </rPr>
      <t>s are lit orange]
Remarks: activate auto-check model</t>
    </r>
  </si>
  <si>
    <t>Meaning: remote control tested any key pressed more than 4 seconds
Description: 1. one of the KBY has been blocked.
Remarks: turn on the chair</t>
  </si>
  <si>
    <t>Meaning: remote control did not connected more than 4 seconds
Description: 1.remote control wire is broken or the remote control is disconnected
Remarks: turn on the chair</t>
  </si>
  <si>
    <t>1.reconnecte the remote control or change the remote control wire.</t>
  </si>
  <si>
    <t>Meaning: backrest signal is abnormity
Description: 1. backrest wire is not well connected.
2. backrest wire is broken
Remarks: turn on the chair</t>
  </si>
  <si>
    <t>Meaning: remote control tested any key pressed more than 45 seconds
Description: 1. one of the KBY has been blocked.
Remarks: enter auto-check model</t>
  </si>
  <si>
    <t>Meaning: leg rest tested more than 4 seconds
Description: 1. connector of leg rest wire not well
2. wire of leg rest broken
Remarks: enter auto-check model</t>
  </si>
  <si>
    <t>Meaning: Side panel controller fails to communicate with main PCB more than 4S
Description: connector of wire not well
Remarks: enter auto-check model</t>
  </si>
  <si>
    <t>Meaning: The position sensor of the rolling motor is abnormal, no change of the position code disk is detected after 8s.
Description: 1. Position sensor is broken
2. The connection between the main PCB and the 3D PCB is abnormal
3. rolling motor is broken or locked
4. Drive circuit components are damaged
Remarks: enter auto-check model</t>
  </si>
  <si>
    <t>Meaning: The position coding of rolling motor is abnormal, the code disk is in an incorrect position
Description: 1. position sensor broken
2. Incorrect initial position of code disk
3. mechanism overshoot
Remarks: enter auto-check model</t>
  </si>
  <si>
    <t>1. change the sensor 2. the mechanism to the initial height position, and then turn the code disk to the correct initial position.</t>
  </si>
  <si>
    <t>Meaning: The rotation speed sensor of the core massage (rolling) motor is abnormal, that is, no change of the rotation speed code disk is detected more than 4S.
Description: 1. position sensor is broken
2. The connection between the main PCB and the 3D PCB is abnormal
3. motor is broken or locked
4. Drive circuit components are damaged
Remarks: enter auto-check model</t>
  </si>
  <si>
    <t>Meaning: The position sensor of the core kneading motor is abnormal, that is, no change of the position code plate is detected after 8s.
Description: 1. position sensor is broken
2. The connection between the main PCB and the 3D PCB is abnormal
3. motor is broken or locked
4. Drive circuit components are damaged
Remarks: enter auto-check model</t>
  </si>
  <si>
    <t>Meaning: The rotation speed sensor of the core kneading motor is abnormal, that is, no change of the rotation speed code disk is detected after 5S.
Description: 1. position sensor is broken
2. The connection between the main PCB and the 3D PCB is abnormal
3. motor is broken or locked
4. Drive circuit components are damaged
Remarks: enter auto-check model</t>
  </si>
  <si>
    <t>Meaning: The position sensor of the core expansion motor is abnormal, i.e no change of the position code disk is detected after 10s.
Description: 1. position sensor is broken
2. The connection between the main PCB and the 3D PCB is abnormal
3. motor is broken or locked
4. Drive circuit components are damaged
Remarks: enter auto-check model</t>
  </si>
  <si>
    <t>Meaning: The position coding of the core expansion motor is abnormal, that is, the code disk is in an incorrect position.
Description: 1. position sensor is broken
2. Incorrect initial position of code disk
3. mechanism overshoot
Remarks: enter auto-check model</t>
  </si>
  <si>
    <t>Meaning: Abnormal rotation speed (count) sensor of core expansion motor
Description: 1. position sensor is broken
2. The connection between the main PCB and the 3D PCB is abnormal
3. motor is broken or locked
4. Drive circuit components are damaged
Remarks: enter auto-check model</t>
  </si>
  <si>
    <t>Meaning: backrest Count sensor abnormal
Description: 1. count sensor broken
2. the wire is broken
3. motor is broken or locked
4. Drive circuit components are damaged
Remarks: enter auto-check model</t>
  </si>
  <si>
    <t>Meaning: leg rest Count sensor abnormal
Description: 1. count sensor broken
2. the wire is broken
3. motor is broken or locked
4. Drive circuit components are damaged
Remarks: enter auto-check model</t>
  </si>
  <si>
    <t>Meaning: lengthen and shorten anti pinch sensor triggering (legrest)
Description: 1. counting sensor broken
2. Abnormal connection
Remarks: enter auto-check model</t>
  </si>
  <si>
    <t>1. change counting sentor
2. check the wire</t>
  </si>
  <si>
    <t>Meaning: anti pinch sensor triggering (legrest actuator)
Description: 1. counting sensor broken
2. Abnormal connection
Remarks: enter auto-check model</t>
  </si>
  <si>
    <t>Meaning: Calf extension position (count) sensor abnormal
Description: 1. count sensor broken
2. the wire is broken
3. motor is broken or locked
4. Drive circuit components are damaged
Remarks: enter auto-check model</t>
  </si>
  <si>
    <t>Meaning: Abnormal coding of crus extension position (the shortest and longest limit sensors are valid at the same time)
Description: 1. position sensor broken
2. wire broken
Remarks: enter auto-check model</t>
  </si>
  <si>
    <t>Meaning: Calf extension shortest limit sensor failure
Description: 1. position sensor broken
2. wire broken
Remarks: enter auto-check model</t>
  </si>
  <si>
    <t>Meaning: Calf extension longest limit sensor failure
Description: 1. position sensor broken
2. wire broken
Remarks: enter auto-check model</t>
  </si>
  <si>
    <t>Meaning: The back heating thyristor is short circuited, i. e. the temperature is greater than or equal to 78 degrees detected for 10s.
Description: The heating wire is short circuited and caused by overcurrent.
Remarks: enter auto-check model</t>
  </si>
  <si>
    <t>Meaning: The back heating thermistor is short circuited, i. e. the AD detection value is less than or equal to 5 in 5S.
Description: Heating thermistor wire short circuit to ground
Remarks: enter auto-check model</t>
  </si>
  <si>
    <t>Meaning: The back heating thermistor has an open circuit, that is, the ad detection value is greater than or equal to 247 in 5S.
Description: Heating thermistor wire disconnected
Remarks: enter auto-check model</t>
  </si>
  <si>
    <t>Leg anti pinch</t>
  </si>
  <si>
    <t>Meaning: Leg anti pinch
Description: the sensor triggering
Remarks: (1) enter auto-check model (2) Warning signal appears on the pad control</t>
  </si>
  <si>
    <t>(1) Check if there is anything under the leg (2) Replace the sensor wire or sensor</t>
  </si>
  <si>
    <t>leg lengthen and shorten anti pinch</t>
  </si>
  <si>
    <t>Meaning: leg lengthen and shorten anti pinch
Description: the sensor triggering
Remarks: (1) enter auto-check model (2) Warning signal appears on the pad control</t>
  </si>
  <si>
    <t>The manual controller has detected that the button length is more than 40s.
Possible Causes: 1.There are buttons, card keys.</t>
  </si>
  <si>
    <t>1.Check the manual control button</t>
  </si>
  <si>
    <t>The manual controller failed to communicate with the center board over 4S.
Possible Causes: 1.The manual controller is disconnected.</t>
  </si>
  <si>
    <t>1.Replace the manual controller connection</t>
  </si>
  <si>
    <t>The upper and lower limit sensors are valid at the same time
Possible Causes: 1.The upper and lower limit sensor is broken. 2.The connection of the back frame falls off.</t>
  </si>
  <si>
    <t>1.Replace the upper and lower limit sensor 2.Check the signal cable connection of the back frame</t>
  </si>
  <si>
    <t>When the movement with walking function is turned on, abnormal walking count is detected.
Possible Causes: 1.Poor contact of back frame signal to plug wire 2.The stroke counting sensor is broken.</t>
  </si>
  <si>
    <t>1.Check whether the back rack signal is plugged in. 2.The stroke counting sensor is broken.</t>
  </si>
  <si>
    <t>No counting signal of rotation circle of kneading motor was detected by 5s clock.
Possible Causes: 1.Width detection board is broken 2.Width plate connection is abnormal 3.The kneading motor is broken or the belt falls off</t>
  </si>
  <si>
    <t>1.Replace the width detection board 2.Replace the back frame signal cable 3.Replace the motor</t>
  </si>
  <si>
    <t>No wide bit signal detected by 5s clock
Possible Causes: 1.Width detection board is broken 2.Width plate connection is abnormal 3.The kneading motor is broken or the belt falls off</t>
  </si>
  <si>
    <t>No upper limit sensor signal detected by 40s clock
Possible Causes: 1.The upper limit sensor is broken. 2.The connection of the back frame falls off. 3.The walking motor is broken or broken.</t>
  </si>
  <si>
    <t>1.Replace the upper limit sensor board 2.Check the signal cable connection of the back frame 3.Replace the walking motor or connection</t>
  </si>
  <si>
    <t>After the upper limit sensor detected the signal, the lower limit sensor signal was detected in 2S.
Possible Causes: 1.The upper (lower) limit sensor is broken.</t>
  </si>
  <si>
    <t>1.Replace the lower (upper) limit sensor board 2.Check the wire connection of the lower (upper) limit sensor</t>
  </si>
  <si>
    <t>No lower limit sensor signal detected by 40s clock
Possible Causes: 1.The lower limit sensor is broken. 2.The connection of the back frame falls off. 3.The walking motor is broken or broken.</t>
  </si>
  <si>
    <t>1.Replace the lower limit sensor board 2.Check the back rack wire connection 3.Replace the broken or connected walking motor</t>
  </si>
  <si>
    <t>After the lower limit bit sensor detects the signal, the upper limit bit sensor signal is detected in 2S.
Possible Causes: 1.The upper (lower) limit sensor is broken.</t>
  </si>
  <si>
    <t>1.Replace the upper (lower) limit sensor board 2.Check the wire connection of the upper (lower) limit sensor</t>
  </si>
  <si>
    <t>No counting signal was detected when the calf putter opened 2.5s. (or 40s does not detect putter position signal)
Possible Causes: 1.The crus push rod motor is broken. 2.The connection of the calf push rod motor falls off</t>
  </si>
  <si>
    <t>1.Replace the calf push rod motor 2.Check the connection of the calf push rod motor</t>
  </si>
  <si>
    <t>There is no successful communication between the core board and the center board over 6S.
Possible Causes: 1.The core board is disconnected.</t>
  </si>
  <si>
    <t>1.Replace the movement board connection</t>
  </si>
  <si>
    <t>No counting signal was detected when the back putter opened 2.5s. (or 40s does not detect putter position signal)
Possible Causes: 1.The back push rod motor is broken. 2.The connection of the back push rod motor falls off. 3.The back putter count line falls off.</t>
  </si>
  <si>
    <t>1.Replace the back push rod motor 2.Check the connection of the back push rod motor 3.Check the back putter count connection</t>
  </si>
  <si>
    <t>Meaning: Center board detected that the power key has been pressed for more than 50 seconds.
Possible Causes: 1. There are buttons or jammed keys.
Remarks: Real-time detection</t>
  </si>
  <si>
    <t>1. Check the manual controller keys.</t>
  </si>
  <si>
    <t>Meaning: The manual controller failed to communicate with the center board over 4S.
Possible Causes: 1. The manual controller connection line is disconnected.
Remarks: Real-time detection</t>
  </si>
  <si>
    <t>1. Replace the manual controller connection line.</t>
  </si>
  <si>
    <t>Meaning: The upper and lower limit sensors are valid at the same time.
Possible Causes:
1. The upper and lower limit sensor is broken.
2. The connection line of the back frame falls off.
Remarks: Real-time detection</t>
  </si>
  <si>
    <t>1. Replace the upper and lower limit sensor.
2. Check the signal line connection of the back frame.</t>
  </si>
  <si>
    <t>Meaning: When the mechanism walking function is turned on, abnormal walking count is detected.
Possible Causes:
1. Poor contact of the back frame signal mating line.
2. The stroke counting sensor is broken.
Remarks: Real-time detection when the mechanism walking function is turned on.</t>
  </si>
  <si>
    <t>1. Check whether the back frame signal mating line is plugged in well.
2. Replace the stroke counting sensor.</t>
  </si>
  <si>
    <t>Meaning: Right calf board failed to communicate with the center board over 4S.
Possible Causes: 1. Right calf board connection line is disconnected.
Remarks: Real-time detection</t>
  </si>
  <si>
    <t>1. Replace the right calf board connection line.</t>
  </si>
  <si>
    <t>Meaning: Left calf board failed to communicate with the center board over 4S.
Possible Causes: 1. Left calf board connection line is disconnected.
Remarks: Real-time detection</t>
  </si>
  <si>
    <t>1. Replace the left calf board connection line.</t>
  </si>
  <si>
    <t>Meaning: No counting signal of the rotation circles of the kneading motor was detected within 5S.
Possible Causes:
1. Width detection board is broken.
2. Width plate connection line is abnormal.
3. The kneading motor is broken or the belt falls off.
Remarks: Detected when entering self-test mode.</t>
  </si>
  <si>
    <t>1. Replace the width detection board.
2. Replace the back frame signal line.
3. Replace the motor.</t>
  </si>
  <si>
    <t>Meaning: No wide position signal detected within 5S.
Possible Causes:
1. Width detection board is broken.
2. Width plate connection line is abnormal.
3. The kneading motor is broken or the belt falls off.
Remarks: Detected when entering self-test mode.</t>
  </si>
  <si>
    <t>Meaning: The upper and lower limit sensors are valid at the same time.
Possible Causes:
1. The upper and lower limit sensor is broken.
2. The connection line of the back frame falls off.
Remarks: Detected when entering self-test mode.</t>
  </si>
  <si>
    <t>Meaning: No upper limit sensor signal detected within 40S.
Possible Causes:
1. The upper limit sensor is broken.
2. The connection line of the back frame falls off.
3. The walking motor is broken or disconnected.
Remarks: Detected when entering self-test mode.</t>
  </si>
  <si>
    <t>1. Replace the upper limit sensor board.
2. Check the back frame signal line connection.
3. Replace the walking motor or connection line.</t>
  </si>
  <si>
    <t>Meaning: When the mechanism walking function is turned on, abnormal walking count is detected.
Possible Causes:
1. Poor contact of the back frame signal mating line.
2. The stroke counting sensor is broken.
Remarks: Detected when entering self-test mode.</t>
  </si>
  <si>
    <t>Meaning: After the upper limit sensor detected the signal, the lower limit sensor signal was detected within 2S.
Possible Causes: 1. The lower (upper) limit sensor is broken.
Remarks: Detected when entering self-test mode.</t>
  </si>
  <si>
    <t>1. Replace the lower (upper) limit sensor board.
2. Check the lower (upper) limit sensor line connection.</t>
  </si>
  <si>
    <t>Meaning: No lower limit sensor signal detected within 40S.
Possible Causes:
1. The lower limit sensor is broken.
2. The connection line of the back frame falls off.
3. The walking motor is broken or disconnected.
Remarks: Detected when entering self-test mode.</t>
  </si>
  <si>
    <t>1. Replace the lower limit sensor board.
2. Check the back frame line connection.
3. Replace the walking motor or connection line.</t>
  </si>
  <si>
    <t>Meaning: After the lower limit sensor detected the signal, the upper limit sensor signal was detected within 2S.
Possible Causes: 1. The upper (lower) limit sensor is broken.
Remarks: Detected when entering self-test mode.</t>
  </si>
  <si>
    <t>1. Replace the upper (lower) limit sensor board.
2. Check the upper (lower) limit sensor line connection.</t>
  </si>
  <si>
    <t>Meaning: When the right calf push rod starts, no counting signal is detected within 2.5S (or no push rod in-position signal is detected within 40S).
Possible Causes:
1. The right calf push rod motor is broken.
2. The right calf push rod motor connection line falls off.
Remarks: Detected when entering self-test mode.</t>
  </si>
  <si>
    <t>1. Replace the right calf push rod motor.
2. Check the right calf push rod motor connection line.</t>
  </si>
  <si>
    <t>Meaning: When the left calf push rod starts, no counting signal is detected within 2.5S (or no push rod in-position signal is detected within 40S).
Possible Causes:
1. The left calf push rod motor is broken.
2. The left calf push rod motor connection line falls off.
Remarks: Detected when entering self-test mode.</t>
  </si>
  <si>
    <t>1. Replace the left calf push rod motor.
2. Check the left calf push rod motor connection line.</t>
  </si>
  <si>
    <t>Meaning: Mechanism board failed to communicate with the center board over 6S.
Possible Causes: 1. Mechanism board connection line is disconnected.
Remarks: Real-time detection</t>
  </si>
  <si>
    <t>1. Replace the mechanism board connection line.</t>
  </si>
  <si>
    <t>Meaning: When the back push rod starts, no counting signal is detected within 2.5S (or no push rod in-position signal is detected within 40S).
Possible Causes:
1. The back push rod motor is broken.
2. The back push rod motor connection line falls off.
3. The back push rod counting line falls off.
Remarks: Detected when self-test is turned on.</t>
  </si>
  <si>
    <t>1. Replace the back push rod motor.
2. Check the back push rod motor connection line.
3. Check the back push rod counting line.</t>
  </si>
  <si>
    <t>phenomenon: remote control tested any key pressed more than 40 seconds
 problem description: 
 1.one of the KEY has been blocked.</t>
  </si>
  <si>
    <t>1.check the key of the remote control</t>
  </si>
  <si>
    <t>phenomenon: remote control did not connected more than 4s.
 problem description: 
 1.remote control wire is broken or the remote control is disconnected</t>
  </si>
  <si>
    <t>phenomenon: backrest signal is abnormity
 problem description: 
 1.backrest wire(black) is not well connected.
 2.up &amp; down limit sensor is broken</t>
  </si>
  <si>
    <t>1.check whether the backrest wire(black) is well connected
 2.change the up &amp; down limit sensor</t>
  </si>
  <si>
    <t>phenomenon: backrest signal is abnormity
 problem description: 
 1.backrest wire(black) is not well connected.
 2.the counting sensor of the rolling motor is broken</t>
  </si>
  <si>
    <t>1.check whether the backrest wire(black) is well connected
 2.change the counting sensor of the rolling motor</t>
  </si>
  <si>
    <t>phenomenon: tested more than 2 wideth inspection signal 
 problem description: 
 1.wideth inspection board is broken
 2.wideth inspection wire is not well connected</t>
  </si>
  <si>
    <t>1.change wideth inspection board
 2.change backrest wires.(black)</t>
  </si>
  <si>
    <t>phenomenon: more than 5 seconds did not tested the wide signal
 problem description: 
 1.wideth inspection board is broken
 2.the wire connect to the wideth inspection board is disconnected
 3.kneading motor is broken or kneading belt is lost</t>
  </si>
  <si>
    <t>1.change wideth inspection board
 2.change backrest wires.(black and gray)
 3.change kneading motor</t>
  </si>
  <si>
    <t>phenomenon: more than 5 seconds did not tested the middle signal
 problem description: 
 1.wideth inspection board is broken
 2.the wire connect to the wideth inspection board is disconnected
 3.kneading motor is broken or kneading belt is lost</t>
  </si>
  <si>
    <t>phenomenon: more than 5 seconds did not tested the narrow signal
 problem description: 
 1.wideth inspection board is broken
 2.the wire connect to the wideth inspection board is disconnected
 3.kneading motor is broken or kneading belt is lost</t>
  </si>
  <si>
    <t>phenomenon: more than 10 seconds didn't tested kneading signal
 problem description: 
 1.Main PCB is broken</t>
  </si>
  <si>
    <t>1.change PCB</t>
  </si>
  <si>
    <t>phenomenon: tested signals from up &amp; down limit sensor at the same time.
 problem description: 
 1.up &amp; down limit sensor are broken
 2.backrest wire(black) is disconnected.</t>
  </si>
  <si>
    <t>1.Change up &amp; down limit sensor
 2.check whether the backrest wire(black)is well connected</t>
  </si>
  <si>
    <t>phenomenon: more than 40s didn't tested the signal from the up limit sensor
 problem description: 
 1.upper limit sensor is broken.
 2.backrest wires( black and gray) are disconnected
 3.rolling motor is broken or rolling motor wire disconnected</t>
  </si>
  <si>
    <t>1.change upper limit sensor
 2.check whether the backrest wire(black) is well connected.
 3.change rolling motor or rolling motor wire.</t>
  </si>
  <si>
    <t>phenomenon: height counting signal error
 problem description: 
 1.the counting sensor of the rolling motor is broken
 2.backrest wire(black) is disconnected</t>
  </si>
  <si>
    <t>1.change the counting sensor of the rolling motor.
 2.check whether the backrest wire(black) is well connected.</t>
  </si>
  <si>
    <t>phenomenon: after tested signal from up limit sensor then tested signal from down limit sensor in 2 seconds.
 problem description: 
 1.down limit sensor is broken</t>
  </si>
  <si>
    <t>1.change down limit sensor
 2.check whether the backrest wire(black) is well connected.
 3.change rolling motor</t>
  </si>
  <si>
    <t>phenomenon: more than 40s didn't tested the signal from the up limit sensor
 problem description: 
 1.down limit sensor is broken
 2.the backrest wire(black) is disconnected.
 3.rolling motor is broken or disconnected</t>
  </si>
  <si>
    <t>phenomenon: after tested signal from down limit sensor then tested signal from up limit sensor in 2 seconds.
 problem description: 
 1.upper limit sensor is broken.</t>
  </si>
  <si>
    <t>1.change upper limit sensor</t>
  </si>
  <si>
    <t>phenomenon: can't test signal from foot rest recline actuator
 problem description: 
 1.foot rest recline actuator is broken
 2.foot rest actuator motor wire is disconnected
 3.the signal wire of foot rest actuator is disconnected.</t>
  </si>
  <si>
    <t>1.change foot rest recline actuator
 2.check whether the foot rest recline actuator motor wire is well connected.
 3.check whether the signal wire of foot rest actuator is well connected</t>
  </si>
  <si>
    <r>
      <rPr>
        <rFont val="微软雅黑"/>
        <b/>
        <color theme="1"/>
        <sz val="10.0"/>
      </rPr>
      <t>phenomenon</t>
    </r>
    <r>
      <rPr>
        <rFont val="微软雅黑"/>
        <color theme="1"/>
        <sz val="10.0"/>
      </rPr>
      <t xml:space="preserve">: when start the backrest recline actuator, there is no counting signal for more than 2.5 seconds
</t>
    </r>
    <r>
      <rPr>
        <rFont val="微软雅黑"/>
        <b/>
        <color theme="1"/>
        <sz val="10.0"/>
      </rPr>
      <t xml:space="preserve"> problem description: 
</t>
    </r>
    <r>
      <rPr>
        <rFont val="微软雅黑"/>
        <color theme="1"/>
        <sz val="10.0"/>
      </rPr>
      <t xml:space="preserve"> 1.backrest recline actuator is broken
 2.backrest recline actuator wire is disconnected
 3.the signal wire of the backrest recline wire is disconnected</t>
    </r>
  </si>
  <si>
    <t>1.change backrest recline actuator
 2.check whether backrest recline actuator motor wire is well connected.
 3.check whether the signal wire of the backrest recline actuator is well connected</t>
  </si>
  <si>
    <t>phenomenon: remote control tested any key pressed 
 more than 40 second
 problem description: 
 1.one of the KEY has been blocked</t>
  </si>
  <si>
    <t>phenomenon: remote control did not connected more than 4s.
 problem description: 
 1.remote control wire is broken or the remote control is disconnected
 2.Before power on, the upper and down limit sensors are valid at the same time</t>
  </si>
  <si>
    <t>1.reconnecte the remote control or change the remote control wire.
 2.Check the upper and down limit sensors and wiring</t>
  </si>
  <si>
    <t>phenomenon: power on, the upper and down limit sensors are valid at the same time
 problem description: 
 1.The connector of the backrest wire is not well connected
 2.up or down limit sensor is broken
 3.rolling motor or wire is broken</t>
  </si>
  <si>
    <t>1.check whether the backrest wire is well connected
 2.change the up &amp; down limit sensor</t>
  </si>
  <si>
    <t>phenomenon: rolling counting sensor is abnormal
 problem description: 
 1.backrest wire is not well connected.
 2.the counting sensor of the rolling motor is broken</t>
  </si>
  <si>
    <t>1.check whether the backrest wire is well connected
 2.change the counting sensor of the rolling</t>
  </si>
  <si>
    <t>phenomenon: more than 5 seconds did not test the middle signal
 problem description: 
 1.wideth inspection board is broken
 2.wideth inspection wire is not well connected
 3. Kneading motor is broken or kneading belt is lost</t>
  </si>
  <si>
    <t>1.change wideth inspection board
 2.change backrest wire
 3.change kneading motor</t>
  </si>
  <si>
    <t>phenomenon: tested signals from up &amp; down limit sensor at the same time.
 problem description: 
 1.up &amp; down limit sensor are broken
 2.backrest wire is disconnected.</t>
  </si>
  <si>
    <t>1.Change up &amp; down limit sensor
 2.check whether the backrest wire is well connected</t>
  </si>
  <si>
    <t>phenomenon: more than 40s didn't tested the signal from the up limit sensor
 problem description: 
 1.upper limit sensor is broken.
 2.backrest wires are disconnected
 3.rolling motor is broken or rolling motor wire disconnected</t>
  </si>
  <si>
    <t>1.change upper limit sensor
 2.check whether the backrest wire is well connected.
 3.change rolling motor or rolling motor wire.</t>
  </si>
  <si>
    <t>phenomenon: height counting signal error
 problem description: 
 1.the counting sensor of the rolling motor is broken
 2.backrest wire is disconnected</t>
  </si>
  <si>
    <t>1.change the counting sensor of the rolling motor.
 2.check whether the backrest wire is well connected.</t>
  </si>
  <si>
    <t>phenomenon: more than 40s didn't tested the signal from the down limit sensor
 problem description: 
 1.down limit sensor is broken
 2.the backrest wire is disconnected.
 3.rolling motor is broken or disconnected</t>
  </si>
  <si>
    <t>phenomenon: when start the zero-G actuator, there is no counting signal for more than 2.5 seconds (or 40 seconds did not test the actuator Reset signal)
 problem description: 
 1.zero-G actuator broken
 2.zero-G actuator wire broken</t>
  </si>
  <si>
    <t>1.change zero-G actuator
 2.check the wire of the zero-G actuator</t>
  </si>
  <si>
    <t>Button Stuck on the remote controller 01 - Possible Causes: Button Stuck</t>
  </si>
  <si>
    <t>check the keys</t>
  </si>
  <si>
    <t>Timeout between the connect of PCB and remote controller Main--Ctrl Link - Possible Causes: Bad connection or broken wiring</t>
  </si>
  <si>
    <t>check the wiring</t>
  </si>
  <si>
    <t>Button Stuck on the remote controller 01. Possible Causes: Button Stuck</t>
  </si>
  <si>
    <t>Timeout between the connect of PCB and remote controller Main--Ctrl Link. Possible Causes: Bad connection or broken wiring</t>
  </si>
  <si>
    <t>Fault: Communication error of quick keys on armrest\nPossible Causes:\n1. Quick key board failure.</t>
  </si>
  <si>
    <t>Fault Description: Backrest heating does not work\nPossible Causes:\n1. Backrest heating drive circuit issue. 2. Overload or short circuit of the backrest heating. 3. Fault in the mainboard heating circuit. 4. The heater is open-circuited, the plug-in is loose or the wire is broken.</t>
  </si>
  <si>
    <t>Fault Description: Foot roller motor does not work\nPossible Causes:\n1. Foot roller motor drive circuit issue. 2. The foot roller motor malfunctioned, causing excessive current. 3. Excessive current is caused by motor blockage due to excessive load or other reasons.</t>
  </si>
  <si>
    <t>Fault Description: Air pump does not work\nPossible Causes:\n1. Air pump drive circuit issue. 2. The air pump malfunctions, causing excessive current. 3. Excessive current occurs when the air pump is blocked due to overloading or other reasons.</t>
  </si>
  <si>
    <t>Fault Description: Calf heating does not work\nPossible Causes:\n1. Calf heating drive circuit issue. 2. Overload or short circuit of the calf heating. 3. Fault in the mainboard heating circuit. 4. The heater is open-circuited, the plug-in is loose or the wire is broken.</t>
  </si>
  <si>
    <t>Fault: Communication error between mechanical hand and main board\nPossible Causes:\n1. J31 mechanical hand failure.</t>
  </si>
  <si>
    <t>Fault Description: Footrest does not lift\nPossible Causes:\n1. Travel detection Hall element damaged. 2. Motor failure. 3. Motor drive circuit issues. 4. The motor fails to work properly due to excessive load or other reasons. 5. The upper and lower limit switch wires are not properly connected. 6. The upper and lower limit switches are damaged (one or two).</t>
  </si>
  <si>
    <t>Fault Description: Backrest does not lift\nPossible Causes:\n1. Circle detection Hall element damaged. 2. Motor failure. 3. Motor drive circuit issues. 4. The motor fails to work properly due to excessive load or other reasons.</t>
  </si>
  <si>
    <t>Fault Description: stretch motor has problem\nPossible Causes:\n1. Problems with the drive circuit of the telescopic motor. 2. The telescopic motor malfunctioned, causing excessive current. 3. The detection plate for the number of turns that can be extended or retracted is damaged. 4. Check if the magnet for the telescopic detection has fallen off.</t>
  </si>
  <si>
    <t>Fault: Kneading width detection signal not detected\nPossible Causes:\n1. Kneading width detection photoelectric pair 1/2 is damaged.</t>
  </si>
  <si>
    <t>Fault: Overload or short circuit in travel motor drive circuit\nPossible Causes:\n1. Travel motor drive circuit issues.</t>
  </si>
  <si>
    <t>Fault Description: Tapping motor has problem\nPossible Causes:\n1. There is a problem with the motor drive circuit. 2. The tapping motor malfunctioned, causing excessive current. 3. Excessive current is caused by motor blockage due to overloading or other reasons.</t>
  </si>
  <si>
    <t>Fault: Mechanical hand limit switch detected simultaneously\nPossible Causes:\n1. Upper and lower limit switch wires are not properly connected.</t>
  </si>
  <si>
    <t>Fault: Upper travel position not detected / Lower travel position not detected\nPossible Causes:\n1. Upper and lower position signal wires are not properly connected.</t>
  </si>
  <si>
    <t>Fault: Shoulder position detection signal not detected\nPossible Causes:\n1. Shoulder position detection slot-type optocoupler is damaged.</t>
  </si>
  <si>
    <t>Meaning: Hand controller and central board have no communication for more than 4 seconds
Possible Cause: 1. Poor contact or break in the interconnection cable
Remarks: (1) Real-time detection (2) Automatic shutdown upon fault; operation not allowed</t>
  </si>
  <si>
    <t>1. Check or replace the interconnection cable</t>
  </si>
  <si>
    <t>Meaning: Massage mechanism rolling motor position sensor fault (count reaches limit but no limit signal detected)
Possible Cause:
1. Upper/lower limit sensor defective
2. Mechanism magnet installed backwards
Remarks: (1) Detection when function is enabled (2) Automatic shutdown upon fault; operation not allowed</t>
  </si>
  <si>
    <t>1. Check magnet polarity
2. Replace the sensor</t>
  </si>
  <si>
    <t>Meaning: Massage mechanism rolling motor position encoding fault (upper and lower limit active simultaneously)
Possible Cause:
1. Upper/lower limit signal wire not connected on main board
2. Control board damaged
3. Upper/lower limit sensor defective
Remarks: (1) Real-time detection (2) Automatic shutdown upon fault; operation not allowed</t>
  </si>
  <si>
    <t>1. Check connections for upper/lower limit sensors
2. Replace control board
3. Replace the sensor</t>
  </si>
  <si>
    <t>Meaning: Massage mechanism rolling motor counting sensor fault (no count change detected for &gt;6 seconds)
Possible Cause:
1. Travel counting sensor defective or not connected
2. Motor terminal not connected or wire broken
3. Upper/lower limit magnet installed backwards or missing
4. Drive circuit component damaged
5. Motor defective or stalled
Remarks: (1) Detection when function is enabled (2) Automatic shutdown upon fault; operation not allowed</t>
  </si>
  <si>
    <t>1. Check connections
2. Verify magnet presence and polarity
3. Check or replace motor
4. Replace mechanism control board</t>
  </si>
  <si>
    <t>Meaning: Massage mechanism kneading motor position sensor fault (no position encoder change detected for &gt;8 seconds)
Possible Cause: 1. Home position sensor defective or wire not connected
Remarks: (1) Detection when function is enabled (2) Automatic shutdown upon fault; operation not allowed</t>
  </si>
  <si>
    <t>1. Replace the sensor
2. Check or replace motor
3. Replace mechanism control board</t>
  </si>
  <si>
    <t>Meaning: Massage mechanism kneading motor position encoding fault (at least two of wide/medium/narrow signals active simultaneously)
Possible Cause:
1. Circuit board abnormal
2. Home position sensor defective
Remarks: (1) Real-time detection (2) Automatic shutdown upon fault; operation not allowed</t>
  </si>
  <si>
    <t>1. Replace the sensor
2. Replace mechanism control board</t>
  </si>
  <si>
    <t>Meaning: Hand Controller Key Stuck
Possible Causes: Key physically stuck
Problem Description: Ctrl Key Stuck</t>
  </si>
  <si>
    <t>Inspect the key</t>
  </si>
  <si>
    <t>Meaning: Communication Timeout: Main Board &amp; Hand Controller
Possible Causes: Poor connection or broken wiring
Problem Description: Main--Ctrl Link</t>
  </si>
  <si>
    <t>Check the wiring</t>
  </si>
  <si>
    <t>Meaning: Panel Shortcut Key Stuck
Possible Causes: Key physically stuck
Problem Description: Panel Key Stuck</t>
  </si>
  <si>
    <t>Meaning: Communication Timeout: Main Board &amp; Massage Mechanism Board
Possible Causes: Poor connection or broken wiring
Problem Description: Main--Core Link</t>
  </si>
  <si>
    <t>Meaning: Communication Timeout: Main Board &amp; Voice Board
Possible Causes: Poor connection or broken wiring
Problem Description: Main--Voice Link</t>
  </si>
  <si>
    <t>Meaning: Communication Timeout: Main Board &amp; EEG Wave Board
Possible Causes: Poor connection or broken wiring
Problem Description: Main--EGG Link</t>
  </si>
  <si>
    <t>Meaning: No Occupancy Detected (Error)
Possible Causes: Not Applicable (Sensor-related)
Problem Description: Nobody Seat</t>
  </si>
  <si>
    <t>Not Applicable</t>
  </si>
  <si>
    <t>Meaning: Shoulder Detection Failed (Error)
Possible Causes: Not Applicable (Sensor-related)
Problem Description: NoDetect Shoulder</t>
  </si>
  <si>
    <t>Meaning: Communication Timeout: Main Board &amp; Audio Playback Board
Possible Causes: Poor connection or broken wiring
Problem Description: Main--Audio Link</t>
  </si>
  <si>
    <t>Meaning: Massage Mech. Kneading Motor: Two out of Narrow/Mid/Wide signals active simultaneously (or Position Encoder Error)
Possible Causes:
1. Poor sensor wiring
2. Abnormal sensor power supply
3. Sensor damaged
4. Drive circuit component damaged
Problem Description: CoreX Pos Code</t>
  </si>
  <si>
    <t>1. Check wiring
2. Check power terminals
3. Replace sensor
4. Replace circuit board</t>
  </si>
  <si>
    <t>Meaning: Massage Mech. Kneading Motor: Narrow position signal abnormal
Possible Causes:
1. Poor sensor wiring
2. Abnormal sensor power supply
3. Sensor damaged
4. Motor stalled or damaged (may occur without counting sensor)
Problem Description: CoreX Narrow</t>
  </si>
  <si>
    <t>1. Check wiring
2. Check power terminals
3. Replace sensor
4. Check/Replace motor</t>
  </si>
  <si>
    <t>Meaning: Massage Mech. Kneading Motor: Mid position signal abnormal
Possible Causes:
1. Poor sensor wiring
2. Abnormal sensor power supply
3. Sensor damaged
4. Motor stalled or damaged (may occur without counting sensor)
Problem Description: CoreX Mid</t>
  </si>
  <si>
    <t>Meaning: Massage Mech. Kneading Motor: Wide position signal abnormal
Possible Causes:
1. Poor sensor wiring
2. Abnormal sensor power supply
3. Sensor damaged
4. Motor stalled or damaged (may occur without counting sensor)
Problem Description: CoreX Wide</t>
  </si>
  <si>
    <t>Meaning: Massage Mech. Kneading Motor: Position (Count) signal abnormal
Possible Causes:
1. Poor sensor/motor wiring
2. Abnormal sensor power supply
3. Sensor damaged
4. Motor stalled or damaged
5. Drive circuit component damaged
Problem Description: CoreX Count</t>
  </si>
  <si>
    <t>1. Check wiring
2. Check power terminals
3. Replace sensor
4. Check/Replace motor
5. Replace circuit board</t>
  </si>
  <si>
    <t>Meaning: Massage Mech. Kneading Motor: Over-current fault
Possible Causes: 1. Motor stalled or damaged
Problem Description: CoreX Current</t>
  </si>
  <si>
    <t>1. Check/Replace motor</t>
  </si>
  <si>
    <t>Meaning: Massage Mech. Up/Down Motor: Upper &amp; Lower limits active simultaneously (or Position Encoder Error)
Possible Causes:
1. Poor sensor wiring
2. Abnormal sensor power supply
3. Sensor damaged
4. Drive circuit component damaged
Problem Description: CoreY Pos Code</t>
  </si>
  <si>
    <t>Meaning: Massage Mech. Up/Down Motor: Upper limit signal abnormal
Possible Causes:
1. Poor sensor wiring
2. Abnormal sensor power supply
3. Sensor damaged
Problem Description: CoreY ULimit</t>
  </si>
  <si>
    <t>1. Check wiring
2. Check power terminals
3. Replace sensor</t>
  </si>
  <si>
    <t>Meaning: Massage Mech. Up/Down Motor: Lower limit signal abnormal
Possible Causes:
1. Poor sensor wiring
2. Abnormal sensor power supply
3. Sensor damaged
Problem Description: CoreY DLimit</t>
  </si>
  <si>
    <t>Meaning: Massage Mech. Up/Down Motor: Position (Count) signal abnormal
Possible Causes:
1. Poor sensor/motor wiring
2. Abnormal sensor power supply
3. Sensor damaged
4. Motor stalled or damaged
5. Drive circuit component damaged
Problem Description: CoreY Count</t>
  </si>
  <si>
    <t>Meaning: Massage Mech. Up/Down Motor: Over-current fault
Possible Causes: 1. Motor stalled or damaged
Problem Description: CoreY Current</t>
  </si>
  <si>
    <t>Meaning: Massage Mech. Extend/Retract Motor: Front &amp; Rear limits active simultaneously (or Position Encoder Error)
Possible Causes:
1. Poor sensor wiring
2. Abnormal sensor power supply
3. Sensor damaged
4. Drive circuit component damaged
Problem Description: CoreZ Pos Code</t>
  </si>
  <si>
    <t>Meaning: Massage Mech. Extend/Retract Motor: Front limit signal abnormal
Possible Causes:
1. Poor sensor wiring
2. Abnormal sensor power supply
3. Sensor damaged
Problem Description: CoreZ FLimit</t>
  </si>
  <si>
    <t>Meaning: Massage Mech. Extend/Retract Motor: Rear limit signal abnormal
Possible Causes:
1. Poor sensor wiring
2. Abnormal sensor power supply
3. Sensor damaged
Problem Description: CoreZ BLimit</t>
  </si>
  <si>
    <t>Meaning: Massage Mech. Extend/Retract Motor: Position (Count) signal abnormal
Possible Causes:
1. Poor sensor/motor wiring
2. Abnormal sensor power supply
3. Sensor damaged
4. Motor stalled or damaged
5. Drive circuit component damaged
Problem Description: CoreZ Count</t>
  </si>
  <si>
    <t>Meaning: Massage Mech. Extend/Retract Motor: Over-current fault
Possible Causes: 1. Motor stalled or damaged
Problem Description: CoreZ Current</t>
  </si>
  <si>
    <t>Meaning: Massage Mech. Percussion Motor: Count signal abnormal
Possible Causes:
1. Poor sensor/motor wiring
2. Abnormal sensor power supply
3. Sensor damaged
4. Motor stalled or damaged
5. Drive circuit component damaged
Problem Description: CoreT Count</t>
  </si>
  <si>
    <t>Meaning: Massage Mech. Percussion Motor: Over-current fault
Possible Causes: 1. Motor stalled or damaged
Problem Description: CoreT Current</t>
  </si>
  <si>
    <t>Meaning: Massage Head Heating: Control circuit short-circuit
Possible Causes: 1. Drive circuit component damaged
Problem Description: HeatHead CtrlCircuit Short</t>
  </si>
  <si>
    <t>1. Replace circuit board</t>
  </si>
  <si>
    <t>Meaning: Massage Head Heating: Thermistor short-circuit
Possible Causes: 1. Thermistor damaged
Problem Description: HeatHead Thermistor Short</t>
  </si>
  <si>
    <t>1. Replace thermistor</t>
  </si>
  <si>
    <t>Meaning: Massage Head Heating: Thermistor open-circuit
Possible Causes:
1. Thermistor damaged
2. Detection wire broken or poor contact
Problem Description: HeatHead Thermistor Open</t>
  </si>
  <si>
    <t>1. Replace thermistor
2. Check wiring</t>
  </si>
  <si>
    <t>Meaning: Backrest Push Rod: Position (Count) signal abnormal
Possible Causes:
1. Poor sensor/motor wiring
2. Abnormal sensor power supply
3. Sensor damaged
4. Motor stalled or damaged
5. Drive circuit component damaged
Problem Description: SpikeBack Count</t>
  </si>
  <si>
    <t>Meaning: Backrest Push Rod: Over-current fault
Possible Causes: 1. Motor stalled or damaged
Problem Description: SpikeBack Current</t>
  </si>
  <si>
    <t>Meaning: Calf Push Rod: Position (Count) signal abnormal
Possible Causes:
1. Poor sensor/motor wiring
2. Abnormal sensor power supply
3. Sensor damaged
4. Motor stalled or damaged
5. Drive circuit component damaged
Problem Description: SpikeLeg Count</t>
  </si>
  <si>
    <t>Meaning: Calf Push Rod: Over-current fault
Possible Causes: 1. Motor stalled or damaged
Problem Description: SpikeLeg Current</t>
  </si>
  <si>
    <t>Meaning: Calf Extend/Retract: Front &amp; Rear limits active simultaneously (or Position Encoder Error)
Possible Causes:
1. Poor sensor wiring
2. Abnormal sensor power supply
3. Sensor damaged
4. Drive circuit component damaged
Problem Description: SpikeLegFlex Pos Code</t>
  </si>
  <si>
    <t>Meaning: Calf Extend/Retract: Front limit signal abnormal
Possible Causes:
1. Poor sensor wiring
2. Abnormal sensor power supply
3. Sensor damaged
Problem Description: SpikeLegFlex FLimit</t>
  </si>
  <si>
    <t>Meaning: Calf Extend/Retract: Rear limit signal abnormal
Possible Causes:
1. Poor sensor wiring
2. Abnormal sensor power supply
3. Sensor damaged
Problem Description: SpikeLegFlex BLimit</t>
  </si>
  <si>
    <t>Meaning: Calf Extend/Retract: Position (Count) signal abnormal
Possible Causes:
1. Poor sensor/motor wiring
2. Abnormal sensor power supply
3. Sensor damaged
4. Motor stalled or damaged
5. Drive circuit component damaged
Problem Description: SpikeLegFlex Count</t>
  </si>
  <si>
    <t>Meaning: Calf Extend/Retract: Over-current fault
Possible Causes: 1. Motor stalled or damaged
Problem Description: SpikeLegFlex Current</t>
  </si>
  <si>
    <t>Meaning: Upper Calf Extend/Retract: Front &amp; Rear limits active simultaneously (or Position Encoder Error)
Possible Causes:
1. Poor sensor wiring
2. Abnormal sensor power supply
3. Sensor damaged
4. Drive circuit component damaged
Problem Description: SpikeULegFlex Pos Code</t>
  </si>
  <si>
    <t>Meaning: Upper Calf Extend/Retract: Front limit signal abnormal
Possible Causes:
1. Poor sensor wiring
2. Abnormal sensor power supply
3. Sensor damaged
Problem Description: SpikeULegFlex FLimit</t>
  </si>
  <si>
    <t>Meaning: Upper Calf Extend/Retract: Rear limit signal abnormal
Possible Causes:
1. Poor sensor wiring
2. Abnormal sensor power supply
3. Sensor damaged
Problem Description: SpikeULegFlex BLimit</t>
  </si>
  <si>
    <t>Meaning: Upper Calf Extend/Retract: Position (Count) signal abnormal
Possible Causes:
1. Poor sensor/motor wiring
2. Abnormal sensor power supply
3. Sensor damaged
4. Motor stalled or damaged
5. Drive circuit component damaged
Problem Description: SpikeULegFlex Count</t>
  </si>
  <si>
    <t>Meaning: Upper Calf Extend/Retract: Over-current fault
Possible Causes: 1. Motor stalled or damaged
Problem Description: SpikeULegFlex Current</t>
  </si>
  <si>
    <t>Meaning: Zero-Gravity Push Rod: Position (Count) signal abnormal
Possible Causes:
1. Poor sensor/motor wiring
2. Abnormal sensor power supply
3. Sensor damaged
4. Motor stalled or damaged
5. Drive circuit component damaged
Problem Description: SpikeZero Count</t>
  </si>
  <si>
    <t>Meaning: Zero-Gravity Push Rod: Over-current fault
Possible Causes: 1. Motor stalled or damaged
Problem Description: SpikeZero Current</t>
  </si>
  <si>
    <t>Meaning: Foot Roller Motor: Front &amp; Rear limits active simultaneously (or Position Encoder Error)
Possible Causes:
1. Poor sensor wiring
2. Abnormal sensor power supply
3. Sensor damaged
4. Drive circuit component damaged
Problem Description: RollerFeet Pos Code</t>
  </si>
  <si>
    <t>Meaning: Foot Roller Motor: Front limit signal abnormal
Possible Causes:
1. Poor sensor wiring
2. Abnormal sensor power supply
3. Sensor damaged
Problem Description: RollerFeet FLimit</t>
  </si>
  <si>
    <t>Meaning: Foot Roller Motor: Rear limit signal abnormal
Possible Causes:
1. Poor sensor wiring
2. Abnormal sensor power supply
3. Sensor damaged
Problem Description: RollerFeet BLimit</t>
  </si>
  <si>
    <t>Meaning: Foot Roller Motor: Position (Count) signal abnormal
Possible Causes:
1. Poor sensor/motor wiring
2. Abnormal sensor power supply
3. Sensor damaged
4. Motor stalled or damaged
5. Drive circuit component damaged
Problem Description: RollerFeet Count</t>
  </si>
  <si>
    <t>Meaning: Calf Roller Motor: Front &amp; Rear limits active simultaneously (or Position Encoder Error)
Possible Causes:
1. Poor sensor wiring
2. Abnormal sensor power supply
3. Sensor damaged
4. Drive circuit component damaged
Problem Description: RollerCalves Pos Code</t>
  </si>
  <si>
    <t>Meaning: Calf Roller Motor: Front limit signal abnormal
Possible Causes:
1. Poor sensor wiring
2. Abnormal sensor power supply
3. Sensor damaged
Problem Description: RollerCalves FLimit</t>
  </si>
  <si>
    <t>Meaning: Calf Roller Motor: Rear limit signal abnormal
Possible Causes:
1. Poor sensor wiring
2. Abnormal sensor power supply
3. Sensor damaged
Problem Description: RollerCalves BLimit</t>
  </si>
  <si>
    <t>Meaning: Calf Roller Motor: Position (Count) signal abnormal
Possible Causes:
1. Poor sensor/motor wiring
2. Abnormal sensor power supply
3. Sensor damaged
4. Motor stalled or damaged
5. Drive circuit component damaged
Problem Description: RollerCalves Count</t>
  </si>
  <si>
    <t>Meaning: Arm Roller Motor: Front &amp; Rear limits active simultaneously (or Position Encoder Error)
Possible Causes:
1. Poor sensor wiring
2. Abnormal sensor power supply
3. Sensor damaged
4. Drive circuit component damaged
Problem Description: RollerArm Pos Code</t>
  </si>
  <si>
    <t>Meaning: Arm Roller Motor: Front limit signal abnormal
Possible Causes:
1. Poor sensor wiring
2. Abnormal sensor power supply
3. Sensor damaged
Problem Description: RollerArm FLimit</t>
  </si>
  <si>
    <t>Meaning: Arm Roller Motor: Rear limit signal abnormal
Possible Causes:
1. Poor sensor wiring
2. Abnormal sensor power supply
3. Sensor damaged
Problem Description: RollerArm BLimit</t>
  </si>
  <si>
    <t>Meaning: Arm Roller Motor: Position (Count) signal abnormal
Possible Causes:
1. Poor sensor/motor wiring
2. Abnormal sensor power supply
3. Sensor damaged
4. Motor stalled or damaged
5. Drive circuit component damaged
Problem Description: RollerArm Count</t>
  </si>
  <si>
    <t>Meaning: Audio Wave: Music Sync Signal open-circuit abnormal
Possible Causes:
1. Poor wiring
2. Poor SD card contact
3. Audio wave board abnormal
4. Main board abnormal
Problem Description: Music SyncSignal Open</t>
  </si>
  <si>
    <t>1. Check wiring
2. Check SD card
3. Replace audio wave board
4. Replace main board</t>
  </si>
  <si>
    <t>Meaning: Audio Wave: Music Sync Signal output abnormal
Possible Causes:
1. Poor wiring
2. Poor SD card contact
3. Audio wave board abnormal
4. Main board abnormal
Problem Description: Music SyncSignal Output</t>
  </si>
  <si>
    <t>Meaning: Lower Mech. Kneading Motor: Two out of Narrow/Mid/Wide signals active simultaneously (or Position Encoder Error)
Possible Causes:
1. Poor sensor wiring
2. Abnormal sensor power supply
3. Sensor damaged
4. Drive circuit component damaged
Problem Description: DCoreX Pos Code</t>
  </si>
  <si>
    <t>Meaning: Lower Mech. Kneading Motor: Narrow position signal abnormal
Possible Causes:
1. Poor sensor wiring
2. Abnormal sensor power supply
3. Sensor damaged
4. Motor stalled or damaged (may occur without counting sensor)
Problem Description: DCoreX Narrow</t>
  </si>
  <si>
    <t>Meaning: Lower Mech. Kneading Motor: Mid position signal abnormal
Possible Causes:
1. Poor sensor wiring
2. Abnormal sensor power supply
3. Sensor damaged
4. Motor stalled or damaged (may occur without counting sensor)
Problem Description: DCoreX Mid</t>
  </si>
  <si>
    <t>Meaning: Lower Mech. Kneading Motor: Wide position signal abnormal
Possible Causes:
1. Poor sensor wiring
2. Abnormal sensor power supply
3. Sensor damaged
4. Motor stalled or damaged (may occur without counting sensor)
Problem Description: DCoreX Wide</t>
  </si>
  <si>
    <t>Meaning: Lower Mech. Kneading Motor: Position (Count) signal abnormal
Possible Causes:
1. Poor sensor/motor wiring
2. Abnormal sensor power supply
3. Sensor damaged
4. Motor stalled or damaged
5. Drive circuit component damaged
Problem Description: DCoreX Count</t>
  </si>
  <si>
    <t>Meaning: Lower Mech. Kneading Motor: Over-current fault
Possible Causes: 1. Motor stalled or damaged
Problem Description: DCoreX Current</t>
  </si>
  <si>
    <t>Meaning: Lower Mech. Up/Down Motor: Upper &amp; Lower limits active simultaneously (or Position Encoder Error)
Possible Causes:
1. Poor sensor wiring
2. Abnormal sensor power supply
3. Sensor damaged
4. Drive circuit component damaged
Problem Description: DCoreY Pos Code</t>
  </si>
  <si>
    <t>Meaning: Lower Mech. Up/Down Motor: Upper limit signal abnormal
Possible Causes:
1. Poor sensor wiring
2. Abnormal sensor power supply
3. Sensor damaged
Problem Description: DCoreY ULimit</t>
  </si>
  <si>
    <t>Meaning: Lower Mech. Up/Down Motor: Lower limit signal abnormal
Possible Causes:
1. Poor sensor wiring
2. Abnormal sensor power supply
3. Sensor damaged
Problem Description: DCoreY DLimit</t>
  </si>
  <si>
    <t>Meaning: Lower Mech. Up/Down Motor: Position (Count) signal abnormal
Possible Causes:
1. Poor sensor/motor wiring
2. Abnormal sensor power supply
3. Sensor damaged
4. Motor stalled or damaged
5. Drive circuit component damaged
Problem Description: DCoreY Count</t>
  </si>
  <si>
    <t>Meaning: Lower Mech. Up/Down Motor: Over-current fault
Possible Causes: 1. Motor stalled or damaged
Problem Description: DCoreY Current</t>
  </si>
  <si>
    <t>Meaning: Lower Mech. Extend/Retract Motor: Front &amp; Rear limits active simultaneously (or Position Encoder Error)
Possible Causes:
1. Poor sensor wiring
2. Abnormal sensor power supply
3. Sensor damaged
4. Drive circuit component damaged
Problem Description: DCoreZ Pos Code</t>
  </si>
  <si>
    <t>Meaning: Lower Mech. Extend/Retract Motor: Front limit signal abnormal
Possible Causes:
1. Poor sensor wiring
2. Abnormal sensor power supply
3. Sensor damaged
Problem Description: DCoreZ FLimit</t>
  </si>
  <si>
    <t>Meaning: Lower Mech. Extend/Retract Motor: Rear limit signal abnormal
Possible Causes:
1. Poor sensor wiring
2. Abnormal sensor power supply
3. Sensor damaged
Problem Description: DCoreZ BLimit</t>
  </si>
  <si>
    <t>Meaning: Lower Mech. Extend/Retract Motor: Position (Count) signal abnormal
Possible Causes:
1. Poor sensor/motor wiring
2. Abnormal sensor power supply
3. Sensor damaged
4. Motor stalled or damaged
5. Drive circuit component damaged
Problem Description: DCoreZ Count</t>
  </si>
  <si>
    <t>Meaning: Lower Mech. Extend/Retract Motor: Over-current fault
Possible Causes: 1. Motor stalled or damaged
Problem Description: DCoreZ Current</t>
  </si>
  <si>
    <t>Meaning: Lower Mech. Percussion Motor: Count signal abnormal
Possible Causes:
1. Poor sensor/motor wiring
2. Abnormal sensor power supply
3. Sensor damaged
4. Motor stalled or damaged
5. Drive circuit component damaged
Problem Description: DCoreT Count</t>
  </si>
  <si>
    <t>Meaning: Lower Mech. Percussion Motor: Over-current fault
Possible Causes: 1. Motor stalled or damaged
Problem Description: DCoreT Current</t>
  </si>
  <si>
    <t>Meaning: Lower Mech. Massage Head Heating: Control circuit short-circuit
Possible Causes: 1. Drive circuit component damaged
Problem Description: DHeatHead CtrlCircuit Short</t>
  </si>
  <si>
    <t>Meaning: Lower Mech. Massage Head Heating: Thermistor short-circuit
Possible Causes: 1. Thermistor damaged
Problem Description: DHeatHead Thermistor Short</t>
  </si>
  <si>
    <t>Meaning: Lower Mech. Massage Head Heating: Thermistor open-circuit
Possible Causes:
1. Thermistor damaged
2. Detection wire broken or poor contact
Problem Description: DHeatHead Thermistor Open</t>
  </si>
  <si>
    <t>Meaning: Card key
Possible Causes: Hold the button down for a long time.</t>
  </si>
  <si>
    <t>Check the hand controller</t>
  </si>
  <si>
    <t>Meaning: Communication with the hand controller has been interrupted.
Possible Causes: The hand controller and the device lost contact.</t>
  </si>
  <si>
    <t>Meaning: Width detection board or connection is abnormal
Possible Causes: Width detection board or connection is abnormal</t>
  </si>
  <si>
    <t>Check the connection</t>
  </si>
  <si>
    <t>Meaning: The upper and lower limit sensors are triggered at the same time
Possible Causes: The upper and lower limit sensors are triggered at the same time</t>
  </si>
  <si>
    <t>Check the sensor</t>
  </si>
  <si>
    <t>Meaning: The movement moves downward for 4 seconds, but the counting point does not change.
Possible Causes: The movement moves downward for 4 seconds, but the counting point does not change.</t>
  </si>
  <si>
    <t>Meaning: The movement moves upward for 4 seconds, but the counting point does not change.
Possible Causes: The movement moves upward for 4 seconds, but the counting point does not change.</t>
  </si>
  <si>
    <t>Meaning: Abnormal bottom sensor
Possible Causes: Abnormal bottom sensor</t>
  </si>
  <si>
    <t>Meaning: There is no signal after 2.5 seconds of the back push rod opening.
Possible Causes: There is no signal after 2.5 seconds of the back push rod opening.</t>
  </si>
  <si>
    <t>Check the flat push rod</t>
  </si>
  <si>
    <t>0-0</t>
  </si>
  <si>
    <t>Subject Area: Backrest
Meaning: Both limit turn ON same time. (In case of both limits of 2 turn ON same time)
Remarks: Both limmit turn ON of Backrest</t>
  </si>
  <si>
    <t>0-1</t>
  </si>
  <si>
    <t>Subject Area: Backrest
Meaning: Does not reach to the original position. (In case of Mechanism does not reach to the original position after motor moves in 20 sec.)</t>
  </si>
  <si>
    <t>1-0</t>
  </si>
  <si>
    <t>Subject Area: Footrest
Meaning: Both limit turn ON same time. (In case of both limits of 2 turn ON same time)</t>
  </si>
  <si>
    <t>Subject Area: Footrest
Meaning: Does not reach to the original position. (In case of Mechanism does not reach to the original position after motor moves in 20 sec.)</t>
  </si>
  <si>
    <t>Subject Area: Back Upper Mech.
Meaning: Does not reach to the original position. (In case of Mechanism does not reach to the original position after motor moves in 20 sec.)</t>
  </si>
  <si>
    <t>Subject Area: Back Upper Mech.
Meaning: There is no pulse. (After motor starts to move, cannot detect the pulse event though elapse 400mm sec.)</t>
  </si>
  <si>
    <t>Subject Area: Back Upper Mech.
Meaning: Deviation of Pulse. (Count number of pulse shows deviation 10% from the assumed value.)</t>
  </si>
  <si>
    <t>Subject Area: Back Lower Mech.
Meaning: Does not reach to the original position. (In case of Mechanism does not reach to the original position after motor moves in 20 sec.)</t>
  </si>
  <si>
    <t>Subject Area: Back Lower Mech.
Meaning: There is no pulse. (After motor starts to move, cannot detect the pulse event though elapse 400mm sec.)</t>
  </si>
  <si>
    <t>Subject Area: Back Lower Mech.
Meaning: Deviation of Pulse. (Count number of pulse shows deviation 10% from the assumed value.)</t>
  </si>
  <si>
    <t>Subject Area: Back Elevation Mech.
Meaning: Does not reach to the original position. (In case of Mechanism does not reach to the original position after motor moves in 20 sec.)</t>
  </si>
  <si>
    <t>Subject Area: Back Elevation Mech.
Meaning: There is no pulse. (After motor starts to move, cannot detect the pulse event though elapse 400mm sec.)</t>
  </si>
  <si>
    <t>Subject Area: Back Elevation Mech.
Meaning: Deviation of Pulse. (Count number of pulse shows deviation 10% from the assumed value.)</t>
  </si>
  <si>
    <t>Subject Area: Left Arm
Meaning: There is no pulse. (After motor starts to move, cannot detect the pulse event though elapse 400mm sec.)
Remarks: There is no pulse at Left Arm Mechanism.</t>
  </si>
  <si>
    <t>Subject Area: Left Arm
Meaning: Deviation of Pulse. (Count number of pulse shows deviation 10% from the assumed value.)</t>
  </si>
  <si>
    <t>Meaning: Check the right side panel connection</t>
  </si>
  <si>
    <t>Subject Area: Right Arm
Meaning: There is no pulse. (After motor starts to move, cannot detect the pulse event though elapse 400mm sec.)</t>
  </si>
  <si>
    <t>Subject Area: Right Arm
Meaning: Deviation of Pulse. (Count number of pulse shows deviation 10% from the assumed value.)</t>
  </si>
  <si>
    <t>Subject Area: Left Arm Slide Mech.
Meaning: There is no pulse. (After motor starts to move, cannot detect the pulse event though elapse 400mm sec.)</t>
  </si>
  <si>
    <t>Subject Area: Left Arm Slide Mech.
Meaning: Deviation of Pulse. (Count number of pulse shows deviation 10% from the assumed value.)</t>
  </si>
  <si>
    <t>Subject Area: Right Arm Slide Mech.
Meaning: There is no pulse. (After motor starts to move, cannot detect the pulse event though elapse 400mm sec.)</t>
  </si>
  <si>
    <t>Subject Area: Right Arm Slide Mech.
Meaning: Deviation of Pulse. (Count number of pulse shows deviation 10% from the assumed value.)</t>
  </si>
  <si>
    <t>Subject Area: Left Calf Mech.
Meaning: There is no pulse. (After motor starts to move, cannot detect the pulse event though elapse 400mm sec.)</t>
  </si>
  <si>
    <t>Subject Area: Left Calf Mech.
Meaning: Deviation of Pulse. (Count number of pulse shows deviation 10% from the assumed value.)</t>
  </si>
  <si>
    <t>Subject Area: Right Calf Mech.
Meaning: There is no pulse. (After motor starts to move, cannot detect the pulse event though elapse 400mm sec.)</t>
  </si>
  <si>
    <t>Subject Area: Right Calf Mech.
Meaning: Deviation of Pulse. (Count number of pulse shows deviation 10% from the assumed value.)</t>
  </si>
  <si>
    <t>Subject Area: Foot Upper Slide Mech.
Meaning: Excess speed. (Speed is faster than 500 rpm from the assumed value.)</t>
  </si>
  <si>
    <t>Subject Area: Foot Lower Slide Mech.
Meaning: Excess speed. (Speed is faster than 500 rpm from the assumed value.)</t>
  </si>
  <si>
    <t>13-4</t>
  </si>
  <si>
    <t>Subject Area: Left Foot Sole Mech.
Meaning: Excess speed. (Speed is faster than 500 rpm from the assumed value.)</t>
  </si>
  <si>
    <t>14-4</t>
  </si>
  <si>
    <t>Subject Area: Right Foot Sole Mech.
Meaning: Excess speed. (Speed is faster than 500 rpm from the assumed value.)</t>
  </si>
  <si>
    <t>Subject Area: Main PCB
Remarks: In order to make smooth update of the tablet without connecting to the chair. Thus, there is no error indication and record.</t>
  </si>
  <si>
    <t>Subject Area: Back Mech. PCB
Meaning: In case of the communication error occurs between "Main PCB and Back Mech. Sub PCB."
Remarks: It is possible to indicate the multiple communication error in same time.</t>
  </si>
  <si>
    <t>Subject Area: Audio PCB
Meaning: In case of the communication error occurs between "Main PCB and Audio PCB."
Remarks: It is possible to indicate the multiple communication error in same time.</t>
  </si>
  <si>
    <t>Subject Area: Left Side PCB
Meaning: In case of the communication error occurs between "Main PCB and Left Side Sub PCB."
Remarks: It is possible to indicate the multiple communication error in same time.</t>
  </si>
  <si>
    <t>Subject Area: Right Side PCB
Meaning: In case of the communication error occurs between "Main PCB and Right Side Sub PCB."
Remarks: It is possible to indicate the multiple communication error in same time.</t>
  </si>
  <si>
    <t>Subject Area: Foot Sole PCB
Meaning: In case of the communication error occurs between "Main PCB and Foot Sole Sub PCB."
Remarks: It is possible to indicate the multiple communication error in same time.</t>
  </si>
  <si>
    <t>Subject Area: Terminal Information
Meaning: Terminal information unentered error. (No enter of serial number).
Remarks: It only indicates when the communication reaches to the chair.</t>
  </si>
  <si>
    <t>The hand controller button was pressed for more than 45s without letting go
Possible Causes: Button stuck</t>
  </si>
  <si>
    <t>Check the status of each button carefully
Replace the hand controller</t>
  </si>
  <si>
    <t>The hand controller does not communicate with the center board for more than 4s
Possible Causes: Bad contact or fracture of inserting wire</t>
  </si>
  <si>
    <t>Check or replace the plug-in cable
Replace the hand controller
Replace the center board</t>
  </si>
  <si>
    <t>The position sensor is abnormal for up-down motor in the rolling mechanism
Possible Causes: Position sensor is bad
Connection is abnormal
The motor is broken or blocked
The driving circuit device is damaged</t>
  </si>
  <si>
    <t>Check the connection between the sensor and the rolling mechanism board
Check the connection between the main PCBA and the rolling mechanism board
Replace the sensor
Move the rolling mechanism to the initial height position
Replace the rolling mechanism board
Remarks: (1) Start detection when the function is turned on (2) Automatic shutdown in case of failure, and not allowed to start</t>
  </si>
  <si>
    <t>Position coding anomaly of the rolling mechanism walking motor. That is, the code disk is in the incorrect position.
Possible Causes: The position sensor is broken
Rolling mechanism overshoot</t>
  </si>
  <si>
    <t>Replacement of sensors
Move the rolling mechanism to the initial height position
Replacement of rolling mechanism board
Remarks: (1) Real-time detection (2) Shut down automatically in the event of failure time, and not allowed to boot</t>
  </si>
  <si>
    <t>Abnormal speed sensor of the rolling mechanism walking motor. That is, no change of speed code disk was detected in excess of 6S.
Possible Causes: The motor is broken or blocked
Drive circuit device damage</t>
  </si>
  <si>
    <t>Check the connection between the motor and the rolling mechanism board
Check or replace motor
Replacement of rolling mechanism board
Remarks: (1) Detection when function is turned on (2) Shut down automatically in the event of failure time, and not allowed to boot</t>
  </si>
  <si>
    <t>The position sensor is abnormal of Core motor. That is, no change of position code disk is detected over 10S.
Possible Causes: The position sensor is broken
The motor is broken or blocked
Drive circuit device damage</t>
  </si>
  <si>
    <t>Check the connection between the sensor and the rolling mechanism board
Replace the sensor
Check or replace motor
Replacement of movement board
Remarks: (1) Detection when function is turned on (2) Shut down automatically in the event of failure time, and not allowed to boot</t>
  </si>
  <si>
    <t>The speed sensor is abnormal for kneading motor in the rolling mechanism. That is, more than 6S did not detect the speed code disk change.
Possible Causes: The motor is broken or blocked
Drive circuit device damage</t>
  </si>
  <si>
    <t>Check the connection between the motor and the rolling mechanism PCBA
Check or replace motor
Replacement of rolling mechanism PCBA
Remarks: (1) Detection when function is turned on (2) Shut down automatically in the event of failure time, and not allowed to boot</t>
  </si>
  <si>
    <t>Kneading motor in the rolling mechanism position wide, medium and narrow are abnormal.
Possible Causes: Position sensor is broken
The motor is broken or blocked
The driving circuit device is damaged</t>
  </si>
  <si>
    <t>Check the connection between the sensor and the rolling mechanism PCBA
Replace the sensor
Check or replace the motor
Replace the rolling mechanism PCBA
Replace the brushless motor drive board
Remarks: (1) Detection when function is turned on (2) Shut down automatically in the event of failure time, and not allowed to boot</t>
  </si>
  <si>
    <t>Motor drive chip A4459 on the Main is broken.
Possible Causes: The motor is blocked
The driving circuit device is damaged</t>
  </si>
  <si>
    <t>Replace the Main PCBA
Remarks: (1) Detection when function is turned on (2) Shut down automatically in the event of failure time, and not allowed to boot</t>
  </si>
  <si>
    <t>Subject Area: Power Button
Meaning: The POWER button on the side panel is pressed for more than 40S
Possible Causes: 1. There are key card keys</t>
  </si>
  <si>
    <t>Subject Area: Remote Control Connection
Meaning: remote control did not connected
Possible Causes: 1. remote control wire is broken or the remote control is disconnected</t>
  </si>
  <si>
    <t>Subject Area: Backrest Signal
Meaning: backrest signal is abnormity
Possible Causes: 1. The connector of the backrest wire is not well connected 2. Backrest wire Broken</t>
  </si>
  <si>
    <t>Subject Area: Rolling Signal
Meaning: rolling signal is abnormity
Possible Causes: 1. The connector of the backrest wire is not well connected 2. rolling sensor broken</t>
  </si>
  <si>
    <t>Subject Area: Side Panel Key Testing
Meaning: side panel tested any key pressed more than 40seconds
Possible Causes: 1. one of the KEY has been blocked.</t>
  </si>
  <si>
    <t>Subject Area: Leg Rest Testing
Meaning: leg rest tested more than 4 seconds
Possible Causes: 1. connector of leg rest wire not well 2. wire of leg rest broken</t>
  </si>
  <si>
    <t>Subject Area: Gear Box Kneading Count
Meaning: The kneading count of the gear box is abnormal
Possible Causes: 1. Abnormal gear box kneading motor 2. Abnormal gear box kneading drive circuit 3. The kneading counter board of the gear box is abnormal</t>
  </si>
  <si>
    <t>1. Replace kneading motor 2. Replace the 3D PCB 3. Replace the kneading counter plate</t>
  </si>
  <si>
    <t>Subject Area: Gear Box Knock Count
Meaning: Abnormal knock count on gear box
Possible Causes: 1. Abnormal striking motor for gear box 2. Abnormal gear box knocking drive circuit 3. The gear box strikes the counter board abnormally</t>
  </si>
  <si>
    <t>1. Replace the tapping motor 2. Replace the 3D PCB 3. Replace the knock counter board</t>
  </si>
  <si>
    <t>Subject Area: Gear Box Expansion Count
Meaning: The gear box expansion count is abnormal
Possible Causes: 1. Abnormal movement expansion motor 2. Abnormal movement expansion drive circuit 3. Abnormal movement telescopic counter board</t>
  </si>
  <si>
    <t>1. Replace the telescopic motor 2. Replace the 3D PCB 3. Replace the telescopic counter plate</t>
  </si>
  <si>
    <t>Subject Area: X-axis Motor
Meaning: X-axis motor alarm
Possible Causes: 1. 01: Overcurrent 2. 04: Overvoltage 3. 05: Undervoltage 4. 06: Phase loss 5. 07: Locked rotor 6. 08: Over temperature 7. 0B: Low pressure warning 8. 0D: Hall stalling fault</t>
  </si>
  <si>
    <t>1. Replace the motor 2. Testing wires</t>
  </si>
  <si>
    <t>Subject Area: Y-axis Motor
Meaning: Y-axis motor alarm
Possible Causes: 1. 01: Overcurrent 2. 04: Overvoltage 3. 05: Undervoltage 4. 06: Phase loss 5. 07: Locked rotor 6. 08: Over temperature 7. 0B: Low pressure warning 8. 0D: Hall stalling fault</t>
  </si>
  <si>
    <t>Subject Area: Lower Leg Extension and Contraction Count
Meaning: Abnormal counting signal of lower leg extension and contraction
Possible Causes: 1. The lower leg extension motor is broken 2. The connection for counting the extension and contraction of the lower leg has fallen off 3. Abnormal counting sensor for lower leg extension and contraction</t>
  </si>
  <si>
    <t>1. Replace the calf extension motor 2. Check the wiring of the calf extension motor 3. Replace the calf extension counting sensor</t>
  </si>
  <si>
    <t>Subject Area: Upper Leg Extension and Contraction Count
Meaning: Abnormal counting signal of upper leg extension and contraction
Possible Causes: 1. The upper leg extension motor is broken 2. The connecting line for counting the extension and contraction of the upper leg has fallen off 3. Abnormal upper leg extension and contraction counting sensor</t>
  </si>
  <si>
    <t>1. Replace the upper leg extension motor 2. Check the wiring of the upper leg extension motor 3. Replace the upper leg extension counting sensor</t>
  </si>
  <si>
    <t>Subject Area: Legrest Actuator Timing
Meaning: No counting signal detected when the legrest actuator is turned on at 2.5S (Or the actuator in place signal is not detected in 40S)
Possible Causes: 1. The legrest actuator motor is broken 2. The legrest actuator motor connection comes off</t>
  </si>
  <si>
    <t>1. Replace the legrest actuator motor 2. Check the connection of the legrest actuator motor</t>
  </si>
  <si>
    <t>Subject Area: X-axis Motor Communication
Meaning: X-axis motor loses communication
Possible Causes: 1. Motor abnormality 2. Cable issues</t>
  </si>
  <si>
    <t>Subject Area: Y-axis Motor Communication
Meaning: Y-axis motor loses communication
Possible Causes: 1. Motor abnormality 2. Cable issues</t>
  </si>
  <si>
    <t>Subject Area: Tablet Power Key Alarm
Meaning: Tablet Power key card key alarm for more than 50 seconds
Possible Causes: 1. There are keycard keys</t>
  </si>
  <si>
    <t>1. Check the POWER button on the side panel</t>
  </si>
  <si>
    <t>Subject Area: Leg Extension Actuator Sensor
Meaning: The leg extension actuator detects the rear signal and detects the front signal again within 2.5 seconds (the rear sensor is broken)
Possible Causes: 1. The telescopic sensor is broken or has wiring problems 2. The telescopic motor is broken</t>
  </si>
  <si>
    <t>1. Replace the sensor 2. Detecting sensor wires 3. Replace the telescopic motor</t>
  </si>
  <si>
    <t>Subject Area: Backrest Actuator Timing
Meaning: Backrest actuator open for 2.5 seconds, no counting signal detected (Or 40S no actuator in place signal detected)
Possible Causes: 1. The backrest actuator motor is broken 2. The wiring of the backrest actuator motor has come loose</t>
  </si>
  <si>
    <t>1. Replace the backrest actuator motor 2. Check the wiring of the backrest actuator motor</t>
  </si>
  <si>
    <t>Subject Area: Zero Gravity Actuator Timing
Meaning: Zero gravity actuator open for 2.5 seconds, no counting signal detected (Or 40S no actuator in place signal detected)
Possible Causes: 1. The zero gravity actuator motor is broken 2. The connection of the zero gravity actuator motor has come loose</t>
  </si>
  <si>
    <t>1. Replace the zero gravity actuator motor 2. Check the wiring of the zero gravity actuator motor</t>
  </si>
  <si>
    <t>Subject Area: Main PCB and Side Board Communication
Meaning: The communication between the main PCB and the side board has not been successful for more than 15 seconds
Possible Causes: 1. Poor contact between the side panel and the plug wire 2. The side panel's plug-in line is broken</t>
  </si>
  <si>
    <t>1. Check if the side panel signal is properly plugged in 2. Replace the side panel docking cable</t>
  </si>
  <si>
    <t>Subject Area: Lower Leg Limit Sensors
Meaning: Simultaneously triggering the upper and lower limits of the lower leg extension and contraction
Possible Causes: 1. The broken connection between the upper and lower limit sensors of the lower leg extension and retraction has fallen off 2. The upper and lower limit sensors for the lower leg extension are damaged</t>
  </si>
  <si>
    <t>1. Check the wiring of the upper and lower limit sensors of the calf 2. Replace the lower leg upper and lower limit sensors, which are damaged</t>
  </si>
  <si>
    <t>Subject Area: Leg Extension Actuator Front Sensor
Meaning: The leg extension actuator 20S did not detect the front sensor signal
Possible Causes: 1. The telescopic sensor is broken or has wiring problems 2. The telescopic motor is broken</t>
  </si>
  <si>
    <t>Subject Area: Leg Extension Actuator Sensor Logic
Meaning: The leg extension actuator detects the front signal and then detects the rear signal within 2.5 seconds (the rear sensor is broken)
Possible Causes: 1. The telescopic sensor is broken or has wiring problems 2. The telescopic motor is broken</t>
  </si>
  <si>
    <t>Subject Area: Leg Extension Actuator Rear Sensor
Meaning: The leg extension actuator 20S did not detect the rear sensor signal
Possible Causes: 1. The telescopic sensor is broken or there is a wiring problem 2. The telescopic motor is broken</t>
  </si>
  <si>
    <t>Subject Area: Power Button
Meaning: The POWER button on the side panel is pressed for more than 40S</t>
  </si>
  <si>
    <t>Possible Causes: 1. There are key card keys
Troubleshooting Steps: 1. Check the POWER key of the side panel</t>
  </si>
  <si>
    <t>Subject Area: Manual Controller Communication
Meaning: The manual controller failed to communicate successfully with the center board for more than 4S</t>
  </si>
  <si>
    <t>Possible Causes:
Hand controller disconnected
Upper and lower limits are valid simultaneously before power-on
Troubleshooting Steps:
Connect the connection between the manual controller and the center board to the plug
Replace the manual controller connection
Check the upper and lower limit sensors and wiring</t>
  </si>
  <si>
    <t>Subject Area: Upper Movement Control Board Communication
Meaning: The upper movement control board and the center board failed to communicate successfully for more than 4S</t>
  </si>
  <si>
    <t>Possible Causes:
Poor contact between back frame and plug cord
Broken wire on back frame
Troubleshooting Steps:
Poor contact between back frame and plug cord
Broken wire on back frame</t>
  </si>
  <si>
    <t>Subject Area: Upper Movement Walking Function
Meaning: When the upper movement has a walking function on, abnormal walking count was detected</t>
  </si>
  <si>
    <t>Possible Causes:
Poor contact between back frame signal and patch cord
Travel counting sensor is broken
Troubleshooting Steps:
Check whether the back frame signal pair plug cord is plugged in properly
Travel counting sensor is broken</t>
  </si>
  <si>
    <t>Subject Area: Side Panel Buttons
Meaning: Long press of side panel buttons exceeds 40S</t>
  </si>
  <si>
    <t>Possible Causes: 1. There are key card keys
Troubleshooting Steps: 1. Check side panel buttons</t>
  </si>
  <si>
    <t>Subject Area: Center Board and Calf Board Communication
Meaning: The center board manufacturing board and the calf board failed to communicate successfully over 4S</t>
  </si>
  <si>
    <t>Possible Causes:
Poor contact between the calf and the plug cord
The calf pair is inserted and disconnected
Troubleshooting Steps:
Check whether the calf signal is plugged in properly
Replace the calf pair cord</t>
  </si>
  <si>
    <t>Subject Area: Upper Movement Kneading Count
Meaning: The kneading count of the upper movement is abnormal</t>
  </si>
  <si>
    <t>Possible Causes:
Abnormal movement kneading motor
Abnormal movement kneading drive circuit
The kneading counter board of the movement is abnormal
Troubleshooting Steps:
Replace kneading motor
Replace the movement plate
Replace the kneading counter plate</t>
  </si>
  <si>
    <t>Subject Area: Upper Movement Knock Count
Meaning: Abnormal knock count on upper movement</t>
  </si>
  <si>
    <t>Possible Causes:
Abnormal striking motor for movement
Abnormal movement knocking drive circuit
The movement strikes the counter board abnormally
Troubleshooting Steps:
Replace the tapping motor
Replace the movement plate
Replace the knock counter board</t>
  </si>
  <si>
    <t>Subject Area: Upper Movement Expansion Count
Meaning: The upper movement expansion count is abnormal</t>
  </si>
  <si>
    <t>Possible Causes:
Abnormal movement expansion motor
Abnormal movement expansion drive circuit
Abnormal movement telescopic counter board
Troubleshooting Steps:
Replace the telescopic motor
Replace the movement plate
Replace the telescopic counter plate</t>
  </si>
  <si>
    <t>Subject Area: Upper Movement Heating Sensor
Meaning: Upper movement heating sensor abnormal</t>
  </si>
  <si>
    <t>Possible Causes:
Abnormal movement heating drive circuit
Movement heating sensor abnormal
Movement heating sensor wire
Troubleshooting Steps:
Replace the movement plate
Replace the movement heating swing arm
Replace the movement heating sensor cable</t>
  </si>
  <si>
    <t>Subject Area: Foot Roller Count
Meaning: Abnormal foot roller count</t>
  </si>
  <si>
    <t>Possible Causes:
Abnormal foot roller motor
The sole roller circuit is abnormal
The foot roller counting sensor is abnormal
Troubleshooting Steps:
Replace the roller motor
Replace the calf plate
Replace the roller counter plate</t>
  </si>
  <si>
    <t>Subject Area: Lower Calf Extension Counting Signal
Meaning: Lower calf extension counting signal is abnormal</t>
  </si>
  <si>
    <t>Possible Causes:
Lower calf extension motor is broken
Lower calf extension and counting line fell off
Lower calf extension counting sensor abnormal
Troubleshooting Steps:
Replace the lower calf extension motor
Check the wiring of the calf extension motor
Replace the lower calf extension counting sensor</t>
  </si>
  <si>
    <t>Subject Area: Calf Push Rod Actuator
Meaning: No counting signal detected when the calf push rod is turned on at 2.5S (Or the push rod in place signal is not detected in 40S)</t>
  </si>
  <si>
    <t>Possible Causes:
The calf push rod motor is broken
The calf push rod motor connection comes off
Troubleshooting Steps:
Replace the calf push rod motor
Check the connection of the calf push rod motor</t>
  </si>
  <si>
    <t>Subject Area: Tablet Power Button
Meaning: The tablet POWER button is pressed for more than 40S</t>
  </si>
  <si>
    <t>Possible Causes: 1. There are key card keys
Troubleshooting Steps: 1. Check the panel POWER button</t>
  </si>
  <si>
    <t>Subject Area: Back Push Rod Actuator
Meaning: Back push rod opens 2.5S No count signal detected (Or the push rod in place signal is not detected in 40S)</t>
  </si>
  <si>
    <t>Possible Causes:
The backrest push rod motor is broken
The backrest push rod motor wiring comes off
Troubleshooting Steps:
Replace backrest push rod motor
Check the backrest push rod motor wiring</t>
  </si>
  <si>
    <t>Subject Area: Lower Calf Extension and Contraction Limits
Meaning: Lower calf extension and contraction upper and lower limits triggered simultaneously</t>
  </si>
  <si>
    <t>Possible Causes:
Lower calf extension upper and lower limit sensors are broken and the connection line falls off
Lower calf telescopic upper and lower limit sensor is broken
Troubleshooting Steps:
Check the wiring of the upper and lower limit sensors in the lower calf
Replacement lower and upper limit sensors for lower calf are broken</t>
  </si>
  <si>
    <t>Subject Area: Leg Telescopic Push Rod Front Sensor
Meaning: No front sensor signal detected in leg telescopic push rod 20S</t>
  </si>
  <si>
    <t>Possible Causes:
The telescopic sensor is broken or wiring problem
The telescopic motor is broken
Troubleshooting Steps:
replace the sensor
Detection sensor wire
Replace the telescopic motor</t>
  </si>
  <si>
    <t>Subject Area: Leg Telescopic Push Rod Sensor Logic (Rear Sensor Broken)
Meaning: The leg telescopic push rod detects the front signal and detects the rear signal within 2.5S (the rear sensor is broken)</t>
  </si>
  <si>
    <t>Subject Area: Leg Telescopic Push Rod Rear Sensor
Meaning: No rear sensor signal detected by leg telescopic push rod 20S</t>
  </si>
  <si>
    <t>Subject Area: Leg Telescopic Push Rod Sensor Logic (Rear End Sensor Broken)
Meaning: The leg telescopic push rod detects the rear end signal and detects the front end signal within 2.5S (the rear end sensor is broken)</t>
  </si>
  <si>
    <t>Subject Area: Zero-Gravity Push Rod Actuator
Meaning: Zero-gravity push rod is turned on for 2.5S and no counting signal is detected (Or the push rod in place signal is not detected in 40S)</t>
  </si>
  <si>
    <t>Possible Causes:
Zero-gravity push rod motor is broken
The zero-gravity push rod motor connection comes off
Troubleshooting Steps:
Replace the zero-gravity push rod motor
Check the zero-gravity push rod motor wiring</t>
  </si>
  <si>
    <t>Subject Area: Remote Control Button
Meaning: The remote control detects that the button has been pressed for more than 40 seconds.
Possible Causes: There is a key card slot.
Remarks: Real-time detection.</t>
  </si>
  <si>
    <t>Check the buttons of the manual controller.</t>
  </si>
  <si>
    <t>Subject Area: Hand Controller Communication
Meaning: The hand controller failed to successfully communicate with the central panel for more than 4 seconds.
Possible Causes: The connection of the remote control is disconnected.
Remarks: Real-time detection.</t>
  </si>
  <si>
    <t>Replace the connection of the manual controller.</t>
  </si>
  <si>
    <t>Subject Area: Upper and Lower Limit Sensors
Meaning: Both the upper and lower limit position sensors are functioning properly.
Possible Causes:
1.  The upper and lower limit position sensors are faulty.
2.  The connection wires of the back frame have come off.
Remarks: Real-time detection.</t>
  </si>
  <si>
    <t>1.  Replace the upper and lower limit position sensors.
2.  Check the connection of the bracket signal lines.</t>
  </si>
  <si>
    <t>Subject Area: Mechanism Movement Walking Count
Meaning: When the movement of the mechanism is activated, an abnormality in the walking count is detected.
Possible Causes:
1.  The back frame signal has poor contact with the plug-in line.
2.  The travel counter sensor is faulty.
Remarks: When the movement has the walking function and is activated, it will conduct real-time detection.</t>
  </si>
  <si>
    <t>1.  Check if the back frame signal plug is properly inserted.
2.  The travel counter sensor is faulty.</t>
  </si>
  <si>
    <t>Subject Area: Side Panel Button
Meaning: The side panel detected that the button was pressed for more than 45 seconds.
Possible Causes: There is a key card slot.
Remarks: Real-time detection.</t>
  </si>
  <si>
    <t>Check the side panel buttons.</t>
  </si>
  <si>
    <t>Subject Area: Kneading Motor Rotation Count
Meaning: The 5S clock failed to detect the rotation count signal of the kneading motor.
Possible Causes:
1.  Width detection board is damaged.
2.  Width board connection is abnormal.
3.  Squeezing motor is broken or the belt has come off.
Remarks: When entering the self-check mode, the detection is carried out.</t>
  </si>
  <si>
    <t>1.  Replace the width detection plate.
2.  Replace the signal lines of the rear frame.
3.  Replace the motor.</t>
  </si>
  <si>
    <t>Subject Area: Wide-Width Signal
Meaning: The 5S clock did not detect the wide-width signal.
Possible Causes:
1.  Width detection board is damaged.
2.  Width board connection is abnormal.
3.  Squeezing motor is broken or the belt has come off.
Remarks: When entering the self-check mode, the detection is carried out.</t>
  </si>
  <si>
    <t>Subject Area: Limit Position Sensors (Dual Functioning)
Meaning: Both the upper and lower limit position sensors are functioning properly.
Possible Causes:
1.  The upper and lower limit position sensors are faulty.
2.  The connection wires of the back frame have come off.
Remarks: When entering the self-check mode, the detection is carried out.</t>
  </si>
  <si>
    <t>Subject Area: Upper Limit Sensor Signal
Meaning: The upper limit sensor signal was not detected within 40 seconds.
Possible Causes:
1.  The upper limit position sensor is faulty.
2.  The connection line of the back frame has come off.
3.  The walking motor is faulty or there is a broken wire.
Remarks: When entering the self-check mode, the detection is carried out.</t>
  </si>
  <si>
    <t>1.  Replace the limit sensor board.
2.  Check the connection of the frame signal lines.
3.  Replace the walking motor or rewire.</t>
  </si>
  <si>
    <t>Subject Area: Mechanism Movement Walking Count (Self-Check)
Meaning: When the movement of the mechanism is activated, an abnormality in the walking count is detected.
Possible Causes:
1.  The back frame signal has poor contact with the plug-in line.
2.  The travel counter sensor is faulty.
Remarks: When entering the self-check mode, the detection is carried out.</t>
  </si>
  <si>
    <t>Subject Area: Upper &amp; Lower Limit Sensor Logic
Meaning: The upper limit position sensor detected the signal, and within 2 seconds after that, it also detected the signal from the lower limit position sensor.
Possible Causes: The lower (upper) limit position sensor is faulty.
Remarks: When entering the self-check mode, the detection is carried out.</t>
  </si>
  <si>
    <t>1.  Replace the lower (upper) limit sensor plate.
2.  Check the connection of the lower (upper) limit sensor wire.</t>
  </si>
  <si>
    <t>Subject Area: Lower Limit Sensor Signal
Meaning: The lower limit sensor signal was not detected within 40 seconds.
Possible Causes:
1.  The lower limit position sensor is faulty.
2.  The connection line of the back frame has come off.
3.  The walking motor is faulty or there is a break in the connection line.
Remarks: When entering the self-check mode, the detection is carried out.</t>
  </si>
  <si>
    <t>1.  Replace the limit sensor board.
2.  Check the connection of the frame wire.
3.  Replace the faulty walking motor or the connecting wires.</t>
  </si>
  <si>
    <t>Subject Area: Lower &amp; Upper Limit Sensor Logic
Meaning: The lower limit position sensor detected the signal, and within 2 seconds, it also detected the signal from the upper limit position sensor.
Possible Causes: Upper (lower) limit position sensor is faulty.
Remarks: When entering the self-check mode, the detection is carried out.</t>
  </si>
  <si>
    <t>1.  Replace the upper (lower) limit sensor plate.
2.  Check the connection of the upper (lower) limit sensor wires.</t>
  </si>
  <si>
    <t>Subject Area: Lower Leg Push Rod
Meaning: The push rod of the lower leg was activated for 2.5 seconds but no counting signal was detected (Or no push rod position signal was detected after 40 seconds).
Possible Causes:
1.  The motor of the lower leg pusher is broken.
2.  The connection wire of the lower leg pusher motor has come off.
Remarks: When entering the self-check mode, the detection is carried out.</t>
  </si>
  <si>
    <t>1.  Replace the motor of the lower leg push rod.
2.  Check the connection of the lower leg push rod motor.</t>
  </si>
  <si>
    <t>Subject Area: Board Communication
Meaning: The communication between the movement plate and the center plate failed after more than 6 seconds.
Possible Causes: The connection lines of the movement board are disconnected.
Remarks: Real-time detection.</t>
  </si>
  <si>
    <t>Replace the connection lines of the movement plate.</t>
  </si>
  <si>
    <t>Subject Area: Back Push Rod
Meaning: The back push rod was activated for 2.5 seconds but no counting signal was detected (Or no push rod position signal was detected after 40 seconds).
Possible Causes:
1.  The motor of the back push rod is broken.
2.  The connection wire of the back push rod motor has come off.
3.  The connection wire for the count of the back push rod has come off.
Remarks: Self-checking is activated and begins the detection process.</t>
  </si>
  <si>
    <t>1.  Replace the back push rod motor.
2.  Check the connection of the back push rod motor.
3.  Check the connection of the back push rod counter.</t>
  </si>
  <si>
    <t>Subject Area: Controller Buttons
Meaning: Controller detects that some buttons have been pressed for over 40secs
Possible Causes: Some buttons might get stuck.
Remarks: Live-time-on-the-spot detection</t>
  </si>
  <si>
    <t>Check buttons of the controller</t>
  </si>
  <si>
    <t>Subject Area: Main PCB Communication
Meaning: Controller and the main PCB fail to connect after four seconds.
Possible Causes: Wires of the controller might be broken.
Remarks: Live-time-on-the-spot detection</t>
  </si>
  <si>
    <t>1. reconnect the controller wires to the main PCB
2. replace the controller wires</t>
  </si>
  <si>
    <t>Subject Area: Limit Sensors (Power On)
Meaning: Up/Down limit sensors are both active when the power is on.
Possible Causes:
1. Backrest signal connectors are not well-connected.
2. Up/Down limit sensor is broken.
3. Rolling motor or the wire is broken
Remarks: Live-time detection when active.</t>
  </si>
  <si>
    <t>1. Check the connection of Backrest signal connectors.
2. Replace the Up/Down sensor.</t>
  </si>
  <si>
    <t>Subject Area: Width Inspection Positions
Meaning: Width inspection detects two valid positions
Possible Causes:
1. Width inspection board is broken
2. Width inspection board fail to connect well.
Remarks: activate auto-check model</t>
  </si>
  <si>
    <t>1. Replace the inspection board.
2. Replace backrest signal wires</t>
  </si>
  <si>
    <t>Subject Area: Width Signal Timing
Meaning: No width signal has been detected after 5S
Possible Causes:
1. Width inspection board is broken
2. Width inspection board fail to connect well.
3. Kneading motor broke down or belt is loose.
Remarks: activate auto-check model</t>
  </si>
  <si>
    <t>1. Replace the inspection board.
2. Replace backrest signal wires
3. Replace the kneading motor.</t>
  </si>
  <si>
    <t>Subject Area: Middle Signal Timing
Meaning: No middle signal has been detected after 5S
Possible Causes:
1. Width inspection board is broken
2. Width inspection board fail to connect well.
3. Kneading motor broke down or belt is loose.
Remarks: activate auto-check model</t>
  </si>
  <si>
    <t>Subject Area: Narrow Signal Timing
Meaning: No narrow signal has been detected after 5S
Possible Causes:
1. Width inspection board is broken
2. Width inspection board fail to connect well.
3. Kneading motor broke down or belt is loose.
Remarks: activate auto-check model</t>
  </si>
  <si>
    <t>1. Replace the inspection board.
2. Replace backrest signal wires
3. Replace the electric motor.</t>
  </si>
  <si>
    <t>Subject Area: Kneading Signal
Meaning: more than 10 seconds didn't tested kneading signal
Possible Causes: Main PCB is broken
Remarks: activate auto-check model</t>
  </si>
  <si>
    <t>change PCB</t>
  </si>
  <si>
    <t>Subject Area: Kneading Motor Off Signal
Meaning: Width signal has been detected when the kneading motor is off.
Possible Causes: Malfunction in Main PCB.
Remarks: activate auto-check model</t>
  </si>
  <si>
    <t>Replace the PCB</t>
  </si>
  <si>
    <t>Subject Area: Limit Sensors Status
Meaning: Up/Down limit sensers are both active.
Possible Causes:
1. Up/Down Limit sensor broken.
2. Backrest wires are broken.
Remarks: activate auto-check model</t>
  </si>
  <si>
    <t>1. Replace the Up/down limit sensor.
2. Check the connection of the backrest signal wires.</t>
  </si>
  <si>
    <t>Subject Area: Upper Limit Signal Timing
Meaning: No up limit signal has been detected after 40S
Possible Causes:
1. Up limit sensor is broken
2. Backrest wire broken
3. Rolling Motor broken or the wire
Remarks: activate auto-check model</t>
  </si>
  <si>
    <t>1. Replace the up limit sensor board.
2. Check the connection of backrest signal wire.
3. Replace the rolling motor or the wire</t>
  </si>
  <si>
    <t>Subject Area: Height Counting
Meaning: height counting signal error
Possible Causes:
1. Backrest wire(black) is disconnected
2. The counting sensor of the rolling motor is broken
Remarks: activate auto-check model</t>
  </si>
  <si>
    <t>1. Check whether the backrest wire(black) is well connected.
2. Change the counting sensor of the rolling motor.</t>
  </si>
  <si>
    <t>Subject Area: Limit Sensor Sequential Logic (Upper to Down)
Meaning: Sensor detects upper limit signal 2S and then the down limit sensor is detected.
Possible Causes: Either the upper or the down sensor is broken.
Remarks: activate auto-check model</t>
  </si>
  <si>
    <t>1. Replace the sensor.
2. Check the connection between then.</t>
  </si>
  <si>
    <t>Subject Area: Lower Limit Signal Timing
Meaning: No lower limit signal has been detected after 40S
Possible Causes:
1. The sensor is broken
2. The backrest wire is off.
3. Rolling broken or the wire off.
Remarks: activate auto-check model</t>
  </si>
  <si>
    <t>1. Replace the down limit sensor board.
2. Check the backrest wire.
3. Replace the rolling mtor or the wire.</t>
  </si>
  <si>
    <t>Subject Area: Limit Sensor Sequential Logic (Lower to Upper)
Meaning: Sensor detects lower limit signal 2S and then the upper limit sensor is detected.
Possible Causes: Either the up or the down sensor is broken.
Remarks: activate auto-check model</t>
  </si>
  <si>
    <t>1. Replace the up or down limit sensor.
2. Check the connection between then.</t>
  </si>
  <si>
    <t>Subject Area: Footrest Actuator Timing
Meaning: No counting signals have been detected after footrest actuator has on for 2.5S (Or no signals have been detected after 40S)
Possible Causes:
1. Footrest actuator is broken
2. Footrest actuator motor wire is pulled off
Remarks: activate auto-check model</t>
  </si>
  <si>
    <t>1. Replace footrest actuator motor
2. Check footrest actuator motor wire</t>
  </si>
  <si>
    <t>Subject Area: Backrest Actuator Timing
Meaning: No counting signals have been detected after backrest actuator has on for 2.5S (Or no signals have been detected after 40S)
Possible Causes:
1. Backrest actuator is broken
2. Backrest actuator motor wire is pulled off
Remarks: activate auto-check model</t>
  </si>
  <si>
    <t>1. Replace backrest acutator motor.
2. Check backrest actuator motor connections.</t>
  </si>
  <si>
    <t>Subject Area: Zero-Gravity Actuator Timing
Meaning: When start the zero-gravity actuator, there is no counting signal for more than 2.5 seconds
Possible Causes:
1. Zero-gravity actuator is broken
2. zero-gravity actuator wire is disconnected.
3. the signal wire of zero-gravity actuator is disconnected
Remarks: activate auto-check model</t>
  </si>
  <si>
    <t>1. change zero-gravity actuator
2. check whether the zero-gravity motor wire is well connected.
3. check whether the signal wire of zero-gravity actuator is well connected</t>
  </si>
  <si>
    <t>Subject Area: 3D Mechanism Extension Sensor
Meaning: 3D massage mechanism counting sensor of extension motor signal error
Possible Causes:
1. 3D extension counting sensor is broken
2. 3D extension counting sensor is disconnected
Remarks: Live-time-on-the-spot detection</t>
  </si>
  <si>
    <t>1. Replace the 3D extension counting sensor
2. Check whether 3D extension counting sensor is well connected</t>
  </si>
  <si>
    <t>Subject Area: 3D Mechanism Limit Sensor Logic
Meaning: Limit sensor detect signal 2s and then the other limit sensor signal is detected
Possible Causes: 3D limit sensor is broken
Remarks: Live-time-on-the-spot detection</t>
  </si>
  <si>
    <t>Replace the 3D limit sensor</t>
  </si>
  <si>
    <t>Error Code Search Tool</t>
  </si>
  <si>
    <t>Model / Mfg No.:</t>
  </si>
  <si>
    <t>Error Code(s):</t>
  </si>
  <si>
    <t>Note: Search multiple error codes using commas (e.g., 44, 46).</t>
  </si>
  <si>
    <t>Note #2 : If using a serial number, use the first couple numbers and the first letter (e.g., 8602A for 8602A20111028).</t>
  </si>
  <si>
    <t>Model</t>
  </si>
  <si>
    <t>Troubleshooting</t>
  </si>
  <si>
    <t>Severity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</si>
</sst>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9">
    <font>
      <sz val="10.0"/>
      <color rgb="FF000000"/>
      <name val="Arial"/>
      <scheme val="minor"/>
    </font>
    <font>
      <b/>
      <color theme="1"/>
      <name val="Arial"/>
      <scheme val="minor"/>
    </font>
    <font>
      <sz val="24.0"/>
      <color rgb="FF3E5E8F"/>
      <name val="Montserrat"/>
    </font>
    <font>
      <color theme="1"/>
      <name val="Arial"/>
      <scheme val="minor"/>
    </font>
    <font>
      <b/>
      <color rgb="FFFFFFFF"/>
      <name val="Montserrat"/>
    </font>
    <font>
      <color rgb="FF181D16"/>
      <name val="Roboto"/>
    </font>
    <font>
      <sz val="10.0"/>
      <color rgb="FF181D16"/>
      <name val="Roboto"/>
    </font>
    <font>
      <u/>
      <sz val="10.0"/>
      <color rgb="FF0000FF"/>
      <name val="Roboto"/>
    </font>
    <font>
      <u/>
      <color rgb="FF0000FF"/>
      <name val="Roboto"/>
    </font>
    <font>
      <color theme="1"/>
      <name val="Roboto"/>
    </font>
    <font>
      <sz val="10.0"/>
      <color theme="1"/>
      <name val="Arial"/>
      <scheme val="minor"/>
    </font>
    <font>
      <sz val="10.0"/>
      <color theme="1"/>
      <name val="Roboto"/>
    </font>
    <font>
      <b/>
      <sz val="10.0"/>
      <color rgb="FFFFFFFF"/>
      <name val="Roboto"/>
    </font>
    <font>
      <sz val="10.0"/>
      <color rgb="FF000000"/>
      <name val="Roboto"/>
    </font>
    <font>
      <b/>
      <color rgb="FFFFFFFF"/>
      <name val="Arial"/>
      <scheme val="minor"/>
    </font>
    <font>
      <sz val="10.0"/>
      <color theme="1"/>
      <name val="微软雅黑"/>
    </font>
    <font>
      <sz val="24.0"/>
      <color rgb="FF19355C"/>
      <name val="Montserrat"/>
    </font>
    <font/>
    <font>
      <b/>
      <sz val="11.0"/>
      <color theme="1"/>
      <name val="Montserrat"/>
    </font>
  </fonts>
  <fills count="9">
    <fill>
      <patternFill patternType="none"/>
    </fill>
    <fill>
      <patternFill patternType="lightGray"/>
    </fill>
    <fill>
      <patternFill patternType="solid">
        <fgColor rgb="FF3E5E8F"/>
        <bgColor rgb="FF3E5E8F"/>
      </patternFill>
    </fill>
    <fill>
      <patternFill patternType="solid">
        <fgColor rgb="FF3B5F90"/>
        <bgColor rgb="FF3B5F90"/>
      </patternFill>
    </fill>
    <fill>
      <patternFill patternType="solid">
        <fgColor rgb="FFF8F8FF"/>
        <bgColor rgb="FFF8F8FF"/>
      </patternFill>
    </fill>
    <fill>
      <patternFill patternType="solid">
        <fgColor rgb="FFFFFFFF"/>
        <bgColor rgb="FFFFFFFF"/>
      </patternFill>
    </fill>
    <fill>
      <patternFill patternType="solid">
        <fgColor rgb="FFEA9999"/>
        <bgColor rgb="FFEA9999"/>
      </patternFill>
    </fill>
    <fill>
      <patternFill patternType="solid">
        <fgColor rgb="FF435E91"/>
        <bgColor rgb="FF435E91"/>
      </patternFill>
    </fill>
    <fill>
      <patternFill patternType="solid">
        <fgColor rgb="FFF0F2F3"/>
        <bgColor rgb="FFF0F2F3"/>
      </patternFill>
    </fill>
  </fills>
  <borders count="7">
    <border/>
    <border>
      <left style="dotted">
        <color rgb="FF000000"/>
      </left>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horizontal="center"/>
    </xf>
    <xf borderId="0" fillId="0" fontId="2" numFmtId="0" xfId="0" applyFont="1"/>
    <xf borderId="0" fillId="0" fontId="3" numFmtId="0" xfId="0" applyAlignment="1" applyFont="1">
      <alignment horizontal="center"/>
    </xf>
    <xf borderId="0" fillId="0" fontId="3" numFmtId="0" xfId="0" applyAlignment="1" applyFont="1">
      <alignment horizontal="center" readingOrder="0"/>
    </xf>
    <xf borderId="0" fillId="0" fontId="4" numFmtId="0" xfId="0" applyAlignment="1" applyFont="1">
      <alignment readingOrder="0" vertical="center"/>
    </xf>
    <xf borderId="0" fillId="2" fontId="4" numFmtId="0" xfId="0" applyAlignment="1" applyFill="1" applyFont="1">
      <alignment readingOrder="0" vertical="center"/>
    </xf>
    <xf borderId="0" fillId="0" fontId="4" numFmtId="0" xfId="0" applyAlignment="1" applyFont="1">
      <alignment vertical="center"/>
    </xf>
    <xf borderId="0" fillId="2" fontId="4" numFmtId="0" xfId="0" applyAlignment="1" applyFont="1">
      <alignment horizontal="center" readingOrder="0" vertical="center"/>
    </xf>
    <xf borderId="0" fillId="2" fontId="4" numFmtId="0" xfId="0" applyAlignment="1" applyFont="1">
      <alignment readingOrder="0" shrinkToFit="0" vertical="center" wrapText="0"/>
    </xf>
    <xf borderId="0" fillId="0" fontId="4" numFmtId="0" xfId="0" applyFont="1"/>
    <xf borderId="0" fillId="0" fontId="5"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vertical="center"/>
    </xf>
    <xf borderId="0" fillId="0" fontId="6" numFmtId="0" xfId="0" applyAlignment="1" applyFont="1">
      <alignment horizontal="center" readingOrder="0" vertical="center"/>
    </xf>
    <xf borderId="0" fillId="0" fontId="7" numFmtId="0" xfId="0" applyAlignment="1" applyFont="1">
      <alignment readingOrder="0" shrinkToFit="0" vertical="center" wrapText="0"/>
    </xf>
    <xf borderId="0" fillId="0" fontId="5" numFmtId="0" xfId="0" applyFont="1"/>
    <xf borderId="0" fillId="0" fontId="3" numFmtId="0" xfId="0" applyAlignment="1" applyFont="1">
      <alignment readingOrder="0"/>
    </xf>
    <xf borderId="0" fillId="0" fontId="5" numFmtId="0" xfId="0" applyAlignment="1" applyFont="1">
      <alignment horizontal="center" readingOrder="0" vertical="center"/>
    </xf>
    <xf borderId="0" fillId="0" fontId="8" numFmtId="0" xfId="0" applyAlignment="1" applyFont="1">
      <alignment readingOrder="0" shrinkToFit="0" vertical="center" wrapText="0"/>
    </xf>
    <xf borderId="0" fillId="0" fontId="3" numFmtId="0" xfId="0" applyAlignment="1" applyFont="1">
      <alignment shrinkToFit="0" wrapText="0"/>
    </xf>
    <xf borderId="0" fillId="0" fontId="9" numFmtId="0" xfId="0" applyAlignment="1" applyFont="1">
      <alignment readingOrder="0" shrinkToFit="0" vertical="center" wrapText="0"/>
    </xf>
    <xf borderId="0" fillId="0" fontId="5" numFmtId="0" xfId="0" applyAlignment="1" applyFont="1">
      <alignment vertical="center"/>
    </xf>
    <xf borderId="0" fillId="0" fontId="10" numFmtId="0" xfId="0" applyAlignment="1" applyFont="1">
      <alignment horizontal="center" readingOrder="0" vertical="center"/>
    </xf>
    <xf borderId="0" fillId="0" fontId="10" numFmtId="0" xfId="0" applyAlignment="1" applyFont="1">
      <alignment shrinkToFit="0" vertical="center" wrapText="0"/>
    </xf>
    <xf borderId="0" fillId="0" fontId="3" numFmtId="0" xfId="0" applyAlignment="1" applyFont="1">
      <alignment horizontal="center" readingOrder="0"/>
    </xf>
    <xf quotePrefix="1" borderId="0" fillId="0" fontId="3" numFmtId="0" xfId="0" applyAlignment="1" applyFont="1">
      <alignment horizontal="center" readingOrder="0"/>
    </xf>
    <xf borderId="0" fillId="0" fontId="6" numFmtId="0" xfId="0" applyAlignment="1" applyFont="1">
      <alignment vertical="center"/>
    </xf>
    <xf borderId="0" fillId="0" fontId="5" numFmtId="0" xfId="0" applyAlignment="1" applyFont="1">
      <alignment horizontal="center" readingOrder="0" vertical="center"/>
    </xf>
    <xf borderId="0" fillId="0" fontId="10" numFmtId="0" xfId="0" applyAlignment="1" applyFont="1">
      <alignment vertical="center"/>
    </xf>
    <xf borderId="0" fillId="0" fontId="3" numFmtId="0" xfId="0" applyAlignment="1" applyFont="1">
      <alignment horizontal="center" readingOrder="0"/>
    </xf>
    <xf borderId="0" fillId="0" fontId="3" numFmtId="0" xfId="0" applyAlignment="1" applyFont="1">
      <alignment shrinkToFit="0" wrapText="0"/>
    </xf>
    <xf borderId="0" fillId="0" fontId="10" numFmtId="0" xfId="0" applyAlignment="1" applyFont="1">
      <alignment horizontal="center" readingOrder="0" vertical="center"/>
    </xf>
    <xf borderId="0" fillId="0" fontId="10" numFmtId="0" xfId="0" applyAlignment="1" applyFont="1">
      <alignment shrinkToFit="0" vertical="center" wrapText="0"/>
    </xf>
    <xf borderId="0" fillId="0" fontId="11" numFmtId="0" xfId="0" applyAlignment="1" applyFont="1">
      <alignment readingOrder="0" shrinkToFit="0" vertical="center" wrapText="0"/>
    </xf>
    <xf borderId="0" fillId="0" fontId="3" numFmtId="0" xfId="0" applyAlignment="1" applyFont="1">
      <alignment horizontal="center"/>
    </xf>
    <xf borderId="0" fillId="3" fontId="12" numFmtId="0" xfId="0" applyAlignment="1" applyFill="1" applyFont="1">
      <alignment horizontal="center" readingOrder="0" shrinkToFit="0" vertical="center" wrapText="1"/>
    </xf>
    <xf borderId="0" fillId="4" fontId="11" numFmtId="0" xfId="0" applyAlignment="1" applyFill="1" applyFont="1">
      <alignment horizontal="center" readingOrder="0" shrinkToFit="0" vertical="top" wrapText="1"/>
    </xf>
    <xf borderId="0" fillId="4" fontId="11" numFmtId="0" xfId="0" applyAlignment="1" applyFont="1">
      <alignment readingOrder="0" shrinkToFit="0" vertical="top" wrapText="1"/>
    </xf>
    <xf borderId="0" fillId="5" fontId="11" numFmtId="0" xfId="0" applyAlignment="1" applyFill="1" applyFont="1">
      <alignment horizontal="center" readingOrder="0" shrinkToFit="0" vertical="top" wrapText="1"/>
    </xf>
    <xf borderId="0" fillId="5" fontId="11" numFmtId="0" xfId="0" applyAlignment="1" applyFont="1">
      <alignment shrinkToFit="0" vertical="top" wrapText="1"/>
    </xf>
    <xf borderId="0" fillId="4" fontId="11" numFmtId="0" xfId="0" applyAlignment="1" applyFont="1">
      <alignment horizontal="center" shrinkToFit="0" vertical="top" wrapText="1"/>
    </xf>
    <xf borderId="0" fillId="5" fontId="11" numFmtId="0" xfId="0" applyAlignment="1" applyFont="1">
      <alignment horizontal="center" shrinkToFit="0" vertical="top" wrapText="1"/>
    </xf>
    <xf borderId="0" fillId="5" fontId="11" numFmtId="0" xfId="0" applyAlignment="1" applyFont="1">
      <alignment readingOrder="0" shrinkToFit="0" vertical="top" wrapText="1"/>
    </xf>
    <xf borderId="0" fillId="4" fontId="11" numFmtId="0" xfId="0" applyAlignment="1" applyFont="1">
      <alignment readingOrder="0" shrinkToFit="0" vertical="top" wrapText="1"/>
    </xf>
    <xf borderId="0" fillId="5" fontId="3" numFmtId="0" xfId="0" applyAlignment="1" applyFont="1">
      <alignment horizontal="center" readingOrder="0" vertical="center"/>
    </xf>
    <xf borderId="0" fillId="5" fontId="3" numFmtId="0" xfId="0" applyAlignment="1" applyFont="1">
      <alignment horizontal="center" readingOrder="0" shrinkToFit="0" vertical="center" wrapText="1"/>
    </xf>
    <xf borderId="0" fillId="5" fontId="3" numFmtId="0" xfId="0" applyAlignment="1" applyFont="1">
      <alignment shrinkToFit="0" vertical="center" wrapText="1"/>
    </xf>
    <xf borderId="0" fillId="5" fontId="11" numFmtId="0" xfId="0" applyAlignment="1" applyFont="1">
      <alignment horizontal="center" readingOrder="0" shrinkToFit="0" vertical="top" wrapText="1"/>
    </xf>
    <xf borderId="0" fillId="6" fontId="11" numFmtId="0" xfId="0" applyAlignment="1" applyFill="1" applyFont="1">
      <alignment horizontal="center" readingOrder="0" shrinkToFit="0" vertical="top" wrapText="1"/>
    </xf>
    <xf borderId="0" fillId="6" fontId="11" numFmtId="0" xfId="0" applyAlignment="1" applyFont="1">
      <alignment horizontal="center" shrinkToFit="0" vertical="top" wrapText="1"/>
    </xf>
    <xf borderId="0" fillId="6" fontId="11" numFmtId="0" xfId="0" applyAlignment="1" applyFont="1">
      <alignment readingOrder="0" shrinkToFit="0" vertical="top" wrapText="1"/>
    </xf>
    <xf borderId="0" fillId="4" fontId="3" numFmtId="0" xfId="0" applyAlignment="1" applyFont="1">
      <alignment horizontal="center" readingOrder="0" vertical="center"/>
    </xf>
    <xf borderId="0" fillId="4" fontId="3" numFmtId="0" xfId="0" applyAlignment="1" applyFont="1">
      <alignment horizontal="center" readingOrder="0" shrinkToFit="0" vertical="center" wrapText="1"/>
    </xf>
    <xf borderId="0" fillId="4" fontId="3" numFmtId="0" xfId="0" applyAlignment="1" applyFont="1">
      <alignment horizontal="center" shrinkToFit="0" vertical="center" wrapText="1"/>
    </xf>
    <xf borderId="0" fillId="4" fontId="3" numFmtId="0" xfId="0" applyAlignment="1" applyFont="1">
      <alignment shrinkToFit="0" vertical="center" wrapText="1"/>
    </xf>
    <xf borderId="0" fillId="6" fontId="3" numFmtId="0" xfId="0" applyAlignment="1" applyFont="1">
      <alignment horizontal="center" readingOrder="0" vertical="center"/>
    </xf>
    <xf borderId="0" fillId="6" fontId="3" numFmtId="0" xfId="0" applyAlignment="1" applyFont="1">
      <alignment horizontal="center" readingOrder="0" shrinkToFit="0" vertical="center" wrapText="1"/>
    </xf>
    <xf borderId="0" fillId="6" fontId="3" numFmtId="0" xfId="0" applyAlignment="1" applyFont="1">
      <alignment shrinkToFit="0" vertical="center" wrapText="1"/>
    </xf>
    <xf borderId="0" fillId="4" fontId="11" numFmtId="0" xfId="0" applyAlignment="1" applyFont="1">
      <alignment shrinkToFit="0" vertical="top" wrapText="1"/>
    </xf>
    <xf borderId="0" fillId="5" fontId="11" numFmtId="0" xfId="0" applyAlignment="1" applyFont="1">
      <alignment readingOrder="0" shrinkToFit="0" vertical="top" wrapText="1"/>
    </xf>
    <xf borderId="0" fillId="5" fontId="3" numFmtId="0" xfId="0" applyAlignment="1" applyFont="1">
      <alignment horizontal="center" shrinkToFit="0" vertical="center" wrapText="1"/>
    </xf>
    <xf borderId="0" fillId="5" fontId="3" numFmtId="0" xfId="0" applyAlignment="1" applyFont="1">
      <alignment readingOrder="0" shrinkToFit="0" vertical="center" wrapText="1"/>
    </xf>
    <xf borderId="0" fillId="4" fontId="11" numFmtId="0" xfId="0" applyAlignment="1" applyFont="1">
      <alignment horizontal="center" readingOrder="0" shrinkToFit="0" vertical="top" wrapText="1"/>
    </xf>
    <xf borderId="0" fillId="5" fontId="3" numFmtId="0" xfId="0" applyAlignment="1" applyFont="1">
      <alignment horizontal="center" readingOrder="0" vertical="center"/>
    </xf>
    <xf quotePrefix="1" borderId="0" fillId="5" fontId="3" numFmtId="0" xfId="0" applyAlignment="1" applyFont="1">
      <alignment horizontal="center" readingOrder="0" vertical="center"/>
    </xf>
    <xf borderId="0" fillId="6" fontId="3" numFmtId="0" xfId="0" applyAlignment="1" applyFont="1">
      <alignment readingOrder="0" shrinkToFit="0" vertical="center" wrapText="1"/>
    </xf>
    <xf borderId="0" fillId="6" fontId="11" numFmtId="0" xfId="0" applyAlignment="1" applyFont="1">
      <alignment shrinkToFit="0" vertical="top" wrapText="1"/>
    </xf>
    <xf borderId="0" fillId="6" fontId="13" numFmtId="0" xfId="0" applyAlignment="1" applyFont="1">
      <alignment horizontal="center" readingOrder="0" shrinkToFit="0" vertical="center" wrapText="1"/>
    </xf>
    <xf borderId="0" fillId="4" fontId="3" numFmtId="0" xfId="0" applyAlignment="1" applyFont="1">
      <alignment horizontal="center" vertical="center"/>
    </xf>
    <xf borderId="0" fillId="5" fontId="3" numFmtId="0" xfId="0" applyAlignment="1" applyFont="1">
      <alignment horizontal="center"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shrinkToFit="0" vertical="center" wrapText="1"/>
    </xf>
    <xf borderId="1" fillId="7" fontId="4" numFmtId="0" xfId="0" applyAlignment="1" applyBorder="1" applyFill="1" applyFont="1">
      <alignment horizontal="left" shrinkToFit="0" vertical="center" wrapText="1"/>
    </xf>
    <xf borderId="1" fillId="7" fontId="4" numFmtId="0" xfId="0" applyAlignment="1" applyBorder="1" applyFont="1">
      <alignment horizontal="left" readingOrder="0" shrinkToFit="0" vertical="center" wrapText="1"/>
    </xf>
    <xf borderId="1" fillId="7" fontId="14" numFmtId="0" xfId="0" applyAlignment="1" applyBorder="1" applyFont="1">
      <alignment shrinkToFit="0" vertical="center" wrapText="1"/>
    </xf>
    <xf borderId="1" fillId="4" fontId="3" numFmtId="0" xfId="0" applyAlignment="1" applyBorder="1" applyFont="1">
      <alignment vertical="center"/>
    </xf>
    <xf borderId="1" fillId="4" fontId="3" numFmtId="0" xfId="0" applyAlignment="1" applyBorder="1" applyFont="1">
      <alignment horizontal="left" vertical="center"/>
    </xf>
    <xf borderId="1" fillId="4" fontId="3" numFmtId="0" xfId="0" applyAlignment="1" applyBorder="1" applyFont="1">
      <alignment horizontal="center" vertical="center"/>
    </xf>
    <xf borderId="1" fillId="4" fontId="3" numFmtId="0" xfId="0" applyAlignment="1" applyBorder="1" applyFont="1">
      <alignment shrinkToFit="0" vertical="top" wrapText="1"/>
    </xf>
    <xf borderId="1" fillId="4" fontId="3" numFmtId="0" xfId="0" applyAlignment="1" applyBorder="1" applyFont="1">
      <alignment readingOrder="0" vertical="center"/>
    </xf>
    <xf borderId="1" fillId="4" fontId="3" numFmtId="0" xfId="0" applyAlignment="1" applyBorder="1" applyFont="1">
      <alignment readingOrder="0" shrinkToFit="0" vertical="center" wrapText="1"/>
    </xf>
    <xf borderId="1" fillId="4" fontId="3" numFmtId="0" xfId="0" applyAlignment="1" applyBorder="1" applyFont="1">
      <alignment vertical="center"/>
    </xf>
    <xf borderId="1" fillId="0" fontId="3" numFmtId="0" xfId="0" applyAlignment="1" applyBorder="1" applyFont="1">
      <alignment vertical="center"/>
    </xf>
    <xf borderId="1" fillId="5" fontId="3" numFmtId="0" xfId="0" applyAlignment="1" applyBorder="1" applyFont="1">
      <alignment vertical="center"/>
    </xf>
    <xf borderId="1" fillId="5" fontId="3" numFmtId="0" xfId="0" applyAlignment="1" applyBorder="1" applyFont="1">
      <alignment horizontal="left" vertical="center"/>
    </xf>
    <xf borderId="1" fillId="5" fontId="3" numFmtId="0" xfId="0" applyAlignment="1" applyBorder="1" applyFont="1">
      <alignment horizontal="center" vertical="center"/>
    </xf>
    <xf borderId="1" fillId="5" fontId="3" numFmtId="0" xfId="0" applyAlignment="1" applyBorder="1" applyFont="1">
      <alignment shrinkToFit="0" vertical="top" wrapText="1"/>
    </xf>
    <xf borderId="1" fillId="5" fontId="3" numFmtId="0" xfId="0" applyAlignment="1" applyBorder="1" applyFont="1">
      <alignment readingOrder="0" vertical="center"/>
    </xf>
    <xf borderId="1" fillId="5" fontId="3" numFmtId="0" xfId="0" applyAlignment="1" applyBorder="1" applyFont="1">
      <alignment readingOrder="0" shrinkToFit="0" vertical="center" wrapText="1"/>
    </xf>
    <xf borderId="1" fillId="5" fontId="3" numFmtId="0" xfId="0" applyAlignment="1" applyBorder="1" applyFont="1">
      <alignment vertical="center"/>
    </xf>
    <xf borderId="1" fillId="5" fontId="3" numFmtId="0" xfId="0" applyAlignment="1" applyBorder="1" applyFont="1">
      <alignment shrinkToFit="0" vertical="center" wrapText="1"/>
    </xf>
    <xf borderId="1" fillId="5" fontId="3" numFmtId="0" xfId="0" applyAlignment="1" applyBorder="1" applyFont="1">
      <alignment horizontal="left" shrinkToFit="0" vertical="center" wrapText="1"/>
    </xf>
    <xf borderId="1" fillId="5" fontId="3" numFmtId="0" xfId="0" applyAlignment="1" applyBorder="1" applyFont="1">
      <alignment horizontal="center" shrinkToFit="0" vertical="center" wrapText="1"/>
    </xf>
    <xf borderId="1" fillId="5" fontId="3" numFmtId="0" xfId="0" applyAlignment="1" applyBorder="1" applyFont="1">
      <alignment shrinkToFit="0" vertical="center" wrapText="1"/>
    </xf>
    <xf borderId="1" fillId="0" fontId="3" numFmtId="0" xfId="0" applyAlignment="1" applyBorder="1" applyFont="1">
      <alignment shrinkToFit="0" vertical="center" wrapText="1"/>
    </xf>
    <xf borderId="1" fillId="4" fontId="3" numFmtId="0" xfId="0" applyAlignment="1" applyBorder="1" applyFont="1">
      <alignment shrinkToFit="0" vertical="center" wrapText="1"/>
    </xf>
    <xf borderId="1" fillId="4" fontId="3" numFmtId="0" xfId="0" applyAlignment="1" applyBorder="1" applyFont="1">
      <alignment shrinkToFit="0" vertical="center" wrapText="1"/>
    </xf>
    <xf borderId="1" fillId="4" fontId="3" numFmtId="0" xfId="0" applyAlignment="1" applyBorder="1" applyFont="1">
      <alignment horizontal="left" shrinkToFit="0" vertical="center" wrapText="1"/>
    </xf>
    <xf borderId="1" fillId="4" fontId="3" numFmtId="0" xfId="0" applyAlignment="1" applyBorder="1" applyFont="1">
      <alignment horizontal="center" shrinkToFit="0" vertical="center" wrapText="1"/>
    </xf>
    <xf borderId="1" fillId="5" fontId="3" numFmtId="0" xfId="0" applyAlignment="1" applyBorder="1" applyFont="1">
      <alignment shrinkToFit="0" vertical="top" wrapText="1"/>
    </xf>
    <xf borderId="1" fillId="4" fontId="3" numFmtId="0" xfId="0" applyAlignment="1" applyBorder="1" applyFont="1">
      <alignment horizontal="left" shrinkToFit="0" vertical="center" wrapText="1"/>
    </xf>
    <xf borderId="1" fillId="4" fontId="3" numFmtId="0" xfId="0" applyAlignment="1" applyBorder="1" applyFont="1">
      <alignment horizontal="center" shrinkToFit="0" vertical="center" wrapText="1"/>
    </xf>
    <xf borderId="1" fillId="4" fontId="3" numFmtId="0" xfId="0" applyAlignment="1" applyBorder="1" applyFont="1">
      <alignment shrinkToFit="0" vertical="top" wrapText="1"/>
    </xf>
    <xf borderId="1" fillId="5" fontId="3" numFmtId="0" xfId="0" applyAlignment="1" applyBorder="1" applyFont="1">
      <alignment horizontal="left" shrinkToFit="0" vertical="center" wrapText="1"/>
    </xf>
    <xf borderId="1" fillId="5" fontId="3" numFmtId="0" xfId="0" applyAlignment="1" applyBorder="1" applyFont="1">
      <alignment horizontal="center" shrinkToFit="0" vertical="center" wrapText="1"/>
    </xf>
    <xf borderId="1" fillId="5" fontId="3" numFmtId="0" xfId="0" applyAlignment="1" applyBorder="1" applyFont="1">
      <alignment horizontal="left" vertical="center"/>
    </xf>
    <xf borderId="1" fillId="5" fontId="3" numFmtId="0" xfId="0" applyAlignment="1" applyBorder="1" applyFont="1">
      <alignment horizontal="center" vertical="center"/>
    </xf>
    <xf borderId="1" fillId="4" fontId="3" numFmtId="0" xfId="0" applyAlignment="1" applyBorder="1" applyFont="1">
      <alignment horizontal="left" vertical="center"/>
    </xf>
    <xf borderId="1" fillId="4" fontId="3" numFmtId="0" xfId="0" applyAlignment="1" applyBorder="1" applyFont="1">
      <alignment horizontal="center" vertical="center"/>
    </xf>
    <xf borderId="1" fillId="4" fontId="3" numFmtId="0" xfId="0" applyAlignment="1" applyBorder="1" applyFont="1">
      <alignment horizontal="left" readingOrder="0" shrinkToFit="0" vertical="center" wrapText="1"/>
    </xf>
    <xf borderId="1" fillId="5" fontId="3" numFmtId="0" xfId="0" applyAlignment="1" applyBorder="1" applyFont="1">
      <alignment horizontal="left" readingOrder="0" shrinkToFit="0" vertical="center" wrapText="1"/>
    </xf>
    <xf borderId="1" fillId="5" fontId="3" numFmtId="0" xfId="0" applyAlignment="1" applyBorder="1" applyFont="1">
      <alignment horizontal="left" readingOrder="0" vertical="center"/>
    </xf>
    <xf borderId="1" fillId="4" fontId="3" numFmtId="0" xfId="0" applyAlignment="1" applyBorder="1" applyFont="1">
      <alignment horizontal="left" readingOrder="0" vertical="center"/>
    </xf>
    <xf quotePrefix="1" borderId="1" fillId="4" fontId="3" numFmtId="0" xfId="0" applyAlignment="1" applyBorder="1" applyFont="1">
      <alignment horizontal="center" readingOrder="0" vertical="center"/>
    </xf>
    <xf borderId="1" fillId="4" fontId="3" numFmtId="0" xfId="0" applyAlignment="1" applyBorder="1" applyFont="1">
      <alignment readingOrder="0" shrinkToFit="0" vertical="top" wrapText="1"/>
    </xf>
    <xf quotePrefix="1" borderId="1" fillId="5" fontId="3" numFmtId="0" xfId="0" applyAlignment="1" applyBorder="1" applyFont="1">
      <alignment horizontal="center" readingOrder="0" vertical="center"/>
    </xf>
    <xf borderId="1" fillId="5" fontId="3" numFmtId="0" xfId="0" applyAlignment="1" applyBorder="1" applyFont="1">
      <alignment readingOrder="0" shrinkToFit="0" vertical="top" wrapText="1"/>
    </xf>
    <xf borderId="1" fillId="5" fontId="3" numFmtId="0" xfId="0" applyAlignment="1" applyBorder="1" applyFont="1">
      <alignment horizontal="center" readingOrder="0" vertical="center"/>
    </xf>
    <xf borderId="1" fillId="4" fontId="3" numFmtId="0" xfId="0" applyAlignment="1" applyBorder="1" applyFont="1">
      <alignment horizontal="center" readingOrder="0" vertical="center"/>
    </xf>
    <xf borderId="1" fillId="5" fontId="3" numFmtId="0" xfId="0" applyAlignment="1" applyBorder="1" applyFont="1">
      <alignment horizontal="center" readingOrder="0" shrinkToFit="0" vertical="center" wrapText="1"/>
    </xf>
    <xf borderId="1" fillId="4" fontId="3" numFmtId="0" xfId="0" applyAlignment="1" applyBorder="1" applyFont="1">
      <alignment horizontal="center" readingOrder="0" shrinkToFit="0" vertical="center" wrapText="1"/>
    </xf>
    <xf quotePrefix="1" borderId="1" fillId="4" fontId="3" numFmtId="0" xfId="0" applyAlignment="1" applyBorder="1" applyFont="1">
      <alignment horizontal="center" vertical="center"/>
    </xf>
    <xf quotePrefix="1" borderId="1" fillId="5" fontId="3" numFmtId="0" xfId="0" applyAlignment="1" applyBorder="1" applyFont="1">
      <alignment horizontal="center" vertical="center"/>
    </xf>
    <xf borderId="1" fillId="0" fontId="3" numFmtId="0" xfId="0" applyAlignment="1" applyBorder="1" applyFont="1">
      <alignment readingOrder="0" vertical="center"/>
    </xf>
    <xf quotePrefix="1" borderId="1" fillId="4" fontId="3" numFmtId="0" xfId="0" applyAlignment="1" applyBorder="1" applyFont="1">
      <alignment horizontal="center" readingOrder="0" shrinkToFit="0" vertical="center" wrapText="1"/>
    </xf>
    <xf quotePrefix="1" borderId="1" fillId="5" fontId="3" numFmtId="0" xfId="0" applyAlignment="1" applyBorder="1" applyFont="1">
      <alignment horizontal="center" readingOrder="0" shrinkToFit="0" vertical="center" wrapText="1"/>
    </xf>
    <xf borderId="1" fillId="4" fontId="3" numFmtId="0" xfId="0" applyAlignment="1" applyBorder="1" applyFont="1">
      <alignment horizontal="left" readingOrder="0" vertical="center"/>
    </xf>
    <xf borderId="1" fillId="5" fontId="3" numFmtId="0" xfId="0" applyAlignment="1" applyBorder="1" applyFont="1">
      <alignment horizontal="left" readingOrder="0" vertical="center"/>
    </xf>
    <xf borderId="1" fillId="5" fontId="15" numFmtId="0" xfId="0" applyAlignment="1" applyBorder="1" applyFont="1">
      <alignment horizontal="left" readingOrder="0" shrinkToFit="0" vertical="top" wrapText="1"/>
    </xf>
    <xf borderId="1" fillId="4" fontId="15" numFmtId="0" xfId="0" applyAlignment="1" applyBorder="1" applyFont="1">
      <alignment horizontal="left" readingOrder="0" shrinkToFit="0" vertical="top" wrapText="1"/>
    </xf>
    <xf borderId="1" fillId="4" fontId="3" numFmtId="164" xfId="0" applyAlignment="1" applyBorder="1" applyFont="1" applyNumberFormat="1">
      <alignment horizontal="center" readingOrder="0" vertical="center"/>
    </xf>
    <xf borderId="1" fillId="5" fontId="3" numFmtId="164" xfId="0" applyAlignment="1" applyBorder="1" applyFont="1" applyNumberFormat="1">
      <alignment horizontal="center" readingOrder="0" vertical="center"/>
    </xf>
    <xf quotePrefix="1" borderId="1" fillId="5" fontId="3" numFmtId="0" xfId="0" applyAlignment="1" applyBorder="1" applyFont="1">
      <alignment horizontal="left" readingOrder="0" vertical="center"/>
    </xf>
    <xf quotePrefix="1" borderId="1" fillId="4" fontId="3" numFmtId="0" xfId="0" applyAlignment="1" applyBorder="1" applyFont="1">
      <alignment horizontal="left" readingOrder="0" vertical="center"/>
    </xf>
    <xf borderId="1" fillId="0" fontId="3" numFmtId="0" xfId="0" applyAlignment="1" applyBorder="1" applyFont="1">
      <alignment horizontal="left" readingOrder="0" vertical="center"/>
    </xf>
    <xf borderId="1" fillId="0" fontId="3" numFmtId="0" xfId="0" applyAlignment="1" applyBorder="1" applyFont="1">
      <alignment horizontal="center" readingOrder="0" vertical="center"/>
    </xf>
    <xf borderId="1" fillId="0" fontId="3" numFmtId="0" xfId="0" applyAlignment="1" applyBorder="1" applyFont="1">
      <alignment readingOrder="0" shrinkToFit="0" vertical="center" wrapText="1"/>
    </xf>
    <xf borderId="0" fillId="0" fontId="3" numFmtId="0" xfId="0" applyAlignment="1" applyFont="1">
      <alignment horizontal="left"/>
    </xf>
    <xf borderId="0" fillId="0" fontId="3" numFmtId="0" xfId="0" applyAlignment="1" applyFont="1">
      <alignment shrinkToFit="0" wrapText="1"/>
    </xf>
    <xf borderId="0" fillId="0" fontId="16" numFmtId="0" xfId="0" applyAlignment="1" applyFont="1">
      <alignment readingOrder="0"/>
    </xf>
    <xf borderId="2" fillId="8" fontId="3" numFmtId="49" xfId="0" applyAlignment="1" applyBorder="1" applyFill="1" applyFont="1" applyNumberFormat="1">
      <alignment horizontal="left" readingOrder="0"/>
    </xf>
    <xf borderId="3" fillId="0" fontId="17" numFmtId="0" xfId="0" applyBorder="1" applyFont="1"/>
    <xf borderId="4" fillId="0" fontId="17" numFmtId="0" xfId="0" applyBorder="1" applyFont="1"/>
    <xf borderId="5" fillId="0" fontId="18" numFmtId="0" xfId="0" applyAlignment="1" applyBorder="1" applyFont="1">
      <alignment horizontal="left" readingOrder="0" shrinkToFit="0" vertical="center" wrapText="0"/>
    </xf>
    <xf borderId="5" fillId="0" fontId="18" numFmtId="0" xfId="0" applyAlignment="1" applyBorder="1" applyFont="1">
      <alignment horizontal="left" readingOrder="0" shrinkToFit="0" vertical="center" wrapText="1"/>
    </xf>
    <xf borderId="5" fillId="0" fontId="3" numFmtId="0" xfId="0" applyBorder="1" applyFont="1"/>
    <xf borderId="5" fillId="0" fontId="11" numFmtId="0" xfId="0" applyAlignment="1" applyBorder="1" applyFont="1">
      <alignment horizontal="center" shrinkToFit="0" vertical="center" wrapText="0"/>
    </xf>
    <xf borderId="5" fillId="0" fontId="11" numFmtId="0" xfId="0" applyAlignment="1" applyBorder="1" applyFont="1">
      <alignment horizontal="center" shrinkToFit="0" vertical="center" wrapText="1"/>
    </xf>
    <xf borderId="5" fillId="0" fontId="11" numFmtId="0" xfId="0" applyAlignment="1" applyBorder="1" applyFont="1">
      <alignment shrinkToFit="0" vertical="top" wrapText="0"/>
    </xf>
    <xf borderId="6" fillId="0" fontId="3" numFmtId="0" xfId="0" applyBorder="1" applyFont="1"/>
    <xf borderId="0" fillId="0" fontId="11" numFmtId="0" xfId="0" applyAlignment="1" applyFont="1">
      <alignment horizontal="center" vertical="center"/>
    </xf>
    <xf borderId="0" fillId="0" fontId="11" numFmtId="0" xfId="0" applyAlignment="1" applyFont="1">
      <alignment horizontal="center" shrinkToFit="0" vertical="center" wrapText="1"/>
    </xf>
    <xf borderId="0" fillId="0" fontId="11" numFmtId="0" xfId="0" applyAlignment="1" applyFont="1">
      <alignment vertical="top"/>
    </xf>
    <xf borderId="0" fillId="0" fontId="3" numFmtId="0" xfId="0" applyAlignment="1" applyFont="1">
      <alignment vertical="top"/>
    </xf>
    <xf borderId="0" fillId="0" fontId="3" numFmtId="0" xfId="0" applyAlignment="1" applyFont="1">
      <alignment horizontal="left" vertical="top"/>
    </xf>
    <xf borderId="0" fillId="0" fontId="3" numFmtId="0" xfId="0" applyAlignment="1" applyFont="1">
      <alignment shrinkToFit="0" vertical="top" wrapText="1"/>
    </xf>
  </cellXfs>
  <cellStyles count="1">
    <cellStyle xfId="0" name="Normal" builtinId="0"/>
  </cellStyles>
  <dxfs count="7">
    <dxf>
      <font/>
      <fill>
        <patternFill patternType="none"/>
      </fill>
      <border/>
    </dxf>
    <dxf>
      <font/>
      <fill>
        <patternFill patternType="solid">
          <fgColor rgb="FF3B5F90"/>
          <bgColor rgb="FF3B5F90"/>
        </patternFill>
      </fill>
      <border/>
    </dxf>
    <dxf>
      <font/>
      <fill>
        <patternFill patternType="solid">
          <fgColor rgb="FFF8F8FF"/>
          <bgColor rgb="FFF8F8FF"/>
        </patternFill>
      </fill>
      <border/>
    </dxf>
    <dxf>
      <font/>
      <fill>
        <patternFill patternType="solid">
          <fgColor rgb="FFFFFFFF"/>
          <bgColor rgb="FFFFFFFF"/>
        </patternFill>
      </fill>
      <border/>
    </dxf>
    <dxf>
      <font/>
      <fill>
        <patternFill patternType="solid">
          <fgColor rgb="FF1A73E8"/>
          <bgColor rgb="FF1A73E8"/>
        </patternFill>
      </fill>
      <border/>
    </dxf>
    <dxf>
      <font/>
      <fill>
        <patternFill patternType="solid">
          <fgColor rgb="FFF6F8F9"/>
          <bgColor rgb="FFF6F8F9"/>
        </patternFill>
      </fill>
      <border/>
    </dxf>
    <dxf>
      <border>
        <left style="thin">
          <color rgb="FF1A73E8"/>
        </left>
        <right style="thin">
          <color rgb="FF1A73E8"/>
        </right>
        <top style="thin">
          <color rgb="FF1A73E8"/>
        </top>
        <bottom style="thin">
          <color rgb="FF1A73E8"/>
        </bottom>
      </border>
    </dxf>
  </dxfs>
  <tableStyles count="4">
    <tableStyle count="3" pivot="0" name="Map-style">
      <tableStyleElement dxfId="1" type="headerRow"/>
      <tableStyleElement dxfId="2" type="firstRowStripe"/>
      <tableStyleElement dxfId="3" type="secondRowStripe"/>
    </tableStyle>
    <tableStyle count="3" pivot="0" name="Map-style 2">
      <tableStyleElement dxfId="1" type="headerRow"/>
      <tableStyleElement dxfId="2" type="firstRowStripe"/>
      <tableStyleElement dxfId="3" type="secondRowStripe"/>
    </tableStyle>
    <tableStyle count="3" pivot="0" name="Map-style 3">
      <tableStyleElement dxfId="1" type="headerRow"/>
      <tableStyleElement dxfId="2" type="firstRowStripe"/>
      <tableStyleElement dxfId="3" type="secondRowStripe"/>
    </tableStyle>
    <tableStyle count="4" pivot="0" name="Error Code Lookup-style">
      <tableStyleElement dxfId="4" type="headerRow"/>
      <tableStyleElement dxfId="3"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34304c03-ae38-4b0a-8034-8e1a909850a6}">
    <Anchor>
      <Comment id="{79419c47-28f2-406a-b07c-19cd844ce6a4}"/>
    </Anchor>
    <History>
      <Event time="2026-07-20T13:34:44.00" id="{d3370e73-06b5-4ef4-9a7c-338380b33526}">
        <Attribution userId="placeholder@email.com" userName="Michael Ouanes" userProvider="google-sheets"/>
        <Anchor>
          <Comment id="{79419c47-28f2-406a-b07c-19cd844ce6a4}"/>
        </Anchor>
        <Create/>
      </Event>
      <Event time="2026-07-20T13:34:44.00" id="{d4aae4d9-86d3-4e4c-8ce6-aa9cb576208e}">
        <Attribution userId="placeholder@email.com" userName="Michael Ouanes" userProvider="google-sheets"/>
        <Anchor>
          <Comment id="{79419c47-28f2-406a-b07c-19cd844ce6a4}"/>
        </Anchor>
        <Assign userId="alfonso.c@osakititan.com" userName="alfonso.c@osakititan.com" userProvider="google-sheets"/>
      </Event>
    </History>
  </Task>
  <Task id="{f92de329-1ac5-48df-80c8-01732f1ed598}">
    <Anchor>
      <Comment id="{e2192283-82dd-40d0-8152-82ccbc68f24f}"/>
    </Anchor>
    <History>
      <Event time="2026-07-10T15:13:01.00" id="{7ac924be-4732-4877-8100-ba39180cd496}">
        <Attribution userId="placeholder@email.com" userName="Michael Ouanes" userProvider="google-sheets"/>
        <Anchor>
          <Comment id="{e2192283-82dd-40d0-8152-82ccbc68f24f}"/>
        </Anchor>
        <Create/>
      </Event>
      <Event time="2026-07-10T15:13:01.00" id="{1831a8bb-0af7-45dc-8792-eda11c065ca6}">
        <Attribution userId="placeholder@email.com" userName="Michael Ouanes" userProvider="google-sheets"/>
        <Anchor>
          <Comment id="{e2192283-82dd-40d0-8152-82ccbc68f24f}"/>
        </Anchor>
        <Assign userId="alfonso.c@osakititan.com" userName="alfonso.c@osakititan.com" userProvider="google-sheets"/>
      </Event>
    </History>
  </Task>
  <Task id="{14c57596-0d61-4292-8b14-27a55e54b623}">
    <Anchor>
      <Comment id="{8a017be7-1559-4d34-827e-a4b0bad00429}"/>
    </Anchor>
    <History>
      <Event time="2026-07-12T23:32:38.00" id="{77cff192-3c08-4829-b0a7-5cfded249b6b}">
        <Attribution userId="placeholder@email.com" userName="Michael Ouanes" userProvider="google-sheets"/>
        <Anchor>
          <Comment id="{8a017be7-1559-4d34-827e-a4b0bad00429}"/>
        </Anchor>
        <Create/>
      </Event>
      <Event time="2026-07-12T23:32:38.00" id="{55d2dbb5-7f45-4a34-853d-4654b12ed905}">
        <Attribution userId="placeholder@email.com" userName="Michael Ouanes" userProvider="google-sheets"/>
        <Anchor>
          <Comment id="{8a017be7-1559-4d34-827e-a4b0bad00429}"/>
        </Anchor>
        <Assign userId="alfonso.c@osakititan.com" userName="alfonso.c@osakititan.com" userProvider="google-sheets"/>
      </Event>
    </History>
  </Task>
</Tasks>
</file>

<file path=xl/documenttasks/documenttask2.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6.png"/><Relationship Id="rId9" Type="http://schemas.openxmlformats.org/officeDocument/2006/relationships/image" Target="../media/image8.png"/><Relationship Id="rId5" Type="http://schemas.openxmlformats.org/officeDocument/2006/relationships/image" Target="../media/image2.png"/><Relationship Id="rId6" Type="http://schemas.openxmlformats.org/officeDocument/2006/relationships/image" Target="../media/image7.png"/><Relationship Id="rId7" Type="http://schemas.openxmlformats.org/officeDocument/2006/relationships/image" Target="../media/image9.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1335</xdr:row>
      <xdr:rowOff>0</xdr:rowOff>
    </xdr:from>
    <xdr:ext cx="36195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1336</xdr:row>
      <xdr:rowOff>0</xdr:rowOff>
    </xdr:from>
    <xdr:ext cx="352425" cy="200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1337</xdr:row>
      <xdr:rowOff>0</xdr:rowOff>
    </xdr:from>
    <xdr:ext cx="438150"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1338</xdr:row>
      <xdr:rowOff>0</xdr:rowOff>
    </xdr:from>
    <xdr:ext cx="361950"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1339</xdr:row>
      <xdr:rowOff>0</xdr:rowOff>
    </xdr:from>
    <xdr:ext cx="361950"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1340</xdr:row>
      <xdr:rowOff>0</xdr:rowOff>
    </xdr:from>
    <xdr:ext cx="42862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1341</xdr:row>
      <xdr:rowOff>0</xdr:rowOff>
    </xdr:from>
    <xdr:ext cx="428625" cy="20002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1342</xdr:row>
      <xdr:rowOff>0</xdr:rowOff>
    </xdr:from>
    <xdr:ext cx="495300" cy="1905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1343</xdr:row>
      <xdr:rowOff>0</xdr:rowOff>
    </xdr:from>
    <xdr:ext cx="428625" cy="200025"/>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ael Ouanes" id="{042104ef-52d0-4b6a-8a0a-a5c4cc06bf69}" providerId="google-sheets"/>
  <x18tc:person displayName="alfonso.c@osakititan.com" id="{c26169de-1649-4a78-8b72-05c1e68e6198}" userId="alfonso.c@osakititan.com" providerId="google-sheets"/>
</x18tc:personList>
</file>

<file path=xl/tables/table1.xml><?xml version="1.0" encoding="utf-8"?>
<table xmlns="http://schemas.openxmlformats.org/spreadsheetml/2006/main" ref="B4:B18" displayName="Table_1" name="Table_1" id="1">
  <tableColumns count="1">
    <tableColumn name="Manufacturers" id="1"/>
  </tableColumns>
  <tableStyleInfo name="Map-style" showColumnStripes="0" showFirstColumn="1" showLastColumn="1" showRowStripes="1"/>
</table>
</file>

<file path=xl/tables/table2.xml><?xml version="1.0" encoding="utf-8"?>
<table xmlns="http://schemas.openxmlformats.org/spreadsheetml/2006/main" ref="D4:G193" displayName="Table_2" name="Table_2" id="2">
  <tableColumns count="4">
    <tableColumn name="Manufacturer" id="1"/>
    <tableColumn name="OTA Model Name" id="2"/>
    <tableColumn name="Mfg Product Code" id="3"/>
    <tableColumn name="Drive Folder Link" id="4"/>
  </tableColumns>
  <tableStyleInfo name="Map-style 2" showColumnStripes="0" showFirstColumn="1" showLastColumn="1" showRowStripes="1"/>
</table>
</file>

<file path=xl/tables/table3.xml><?xml version="1.0" encoding="utf-8"?>
<table xmlns="http://schemas.openxmlformats.org/spreadsheetml/2006/main" ref="J4:J7" displayName="Table_3" name="Table_3" id="3">
  <tableColumns count="1">
    <tableColumn name="Error Code Display Mechanism" id="1"/>
  </tableColumns>
  <tableStyleInfo name="Map-style 3" showColumnStripes="0" showFirstColumn="1" showLastColumn="1" showRowStripes="1"/>
</table>
</file>

<file path=xl/tables/table4.xml><?xml version="1.0" encoding="utf-8"?>
<table xmlns="http://schemas.openxmlformats.org/spreadsheetml/2006/main" ref="B8:I28" displayName="ErrorCodeTable" name="ErrorCodeTable" id="4">
  <tableColumns count="8">
    <tableColumn name="Manufacturer" id="1"/>
    <tableColumn name="Model" id="2"/>
    <tableColumn name="Error Code" id="3"/>
    <tableColumn name="Display" id="4"/>
    <tableColumn name="Meaning" id="5"/>
    <tableColumn name="Troubleshooting" id="6"/>
    <tableColumn name="Parts Required" id="7"/>
    <tableColumn name="Severity" id="8"/>
  </tableColumns>
  <tableStyleInfo name="Error Code Looku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4" dT="2026-07-20T13:34:44.00" personId="{042104ef-52d0-4b6a-8a0a-a5c4cc06bf69}" id="{79419c47-28f2-406a-b07c-19cd844ce6a4}" done="0">
    <x18tc:text xml:space="preserve">@alfonso.c@osakititan.com
Assigned to alfonso.c@osakititan.com</x18tc:text>
    <x18tc:mentions>
      <x18tc:mention mentionpersonId="{c26169de-1649-4a78-8b72-05c1e68e6198}" mentionId="{94e1275b-ed37-44b1-8e1f-621b8146c582}" startIndex="0" length="25"/>
    </x18tc:mentions>
  </x18tc:threadedComment>
  <x18tc:threadedComment ref="A1" dT="2026-07-10T15:13:01.00" personId="{042104ef-52d0-4b6a-8a0a-a5c4cc06bf69}" id="{e2192283-82dd-40d0-8152-82ccbc68f24f}" done="0">
    <x18tc:text xml:space="preserve">@alfonso.c@osakititan.com 
semi automated approach: basically you want a few helper columns that use regex to extract certain stings likely to preceded a part that would be sent out. so this one does the phrases "check whether the" or check the". wed prob need a few more of these, each with their own column and then we would need a way to trim and clean (e.g. some codes have multiple poss failure points like a harness or motor). even after this, you still will prob end up with a fair amount of manual tweaks
Assigned to alfonso.c@osakititan.com</x18tc:text>
    <x18tc:mentions>
      <x18tc:mention mentionpersonId="{c26169de-1649-4a78-8b72-05c1e68e6198}" mentionId="{6c585dc4-e90b-4e4d-9b6a-6c1c17f08d8b}" startIndex="0" length="25"/>
    </x18tc:mentions>
  </x18tc:threadedComment>
  <x18tc:threadedComment ref="A1" dT="2026-07-12T23:32:38.00" personId="{042104ef-52d0-4b6a-8a0a-a5c4cc06bf69}" id="{8a017be7-1559-4d34-827e-a4b0bad00429}" done="0">
    <x18tc:text xml:space="preserve">@alfonso.c@osakititan.com
Assigned to alfonso.c@osakititan.com</x18tc:text>
    <x18tc:mentions>
      <x18tc:mention mentionpersonId="{c26169de-1649-4a78-8b72-05c1e68e6198}" mentionId="{31c9e32b-9aeb-4be4-8c69-f8f4d06658da}" startIndex="0" length="25"/>
    </x18tc:mentions>
  </x18tc:threadedComment>
  <x18tc:threadedComment ref="A1" dT="2026-07-12T23:33:19.00" personId="{042104ef-52d0-4b6a-8a0a-a5c4cc06bf69}" id="{56ce00fe-f91c-42a6-84ab-84849de54780}" parentId="{8a017be7-1559-4d34-827e-a4b0bad00429}">
    <x18tc:text xml:space="preserve">@alfonso.c@osakititan.com 
here are some more models i had on my lists (i.e. chairs ive serviced) that are missing from your list</x18tc:text>
    <x18tc:mentions>
      <x18tc:mention mentionpersonId="{c26169de-1649-4a78-8b72-05c1e68e6198}" mentionId="{95b41b39-519d-4914-b19b-b8fc808e5974}" startIndex="0" length="2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7-10T14:30:31.00" personId="{042104ef-52d0-4b6a-8a0a-a5c4cc06bf69}" id="{2254dab9-6631-4d9e-97f6-7a3ab2ce76d4}" done="0">
    <x18tc:text xml:space="preserve">@alfonso.c@osakititan.com 
eventually you will need to separate out the different types of info within a cell (i.e. each column should be narrow to one piece of info; phenomenon is a textual description of what is prompting the code, problem description is what the possible failure points to cause are)</x18tc:text>
    <x18tc:mentions>
      <x18tc:mention mentionpersonId="{c26169de-1649-4a78-8b72-05c1e68e6198}" mentionId="{bad00b02-bf71-4f3a-ad92-b26227ff6546}" startIndex="0" length="25"/>
    </x18tc:mentions>
  </x18tc:threadedComment>
  <x18tc:threadedComment ref="A1332" dT="2026-07-10T14:40:26.00" personId="{042104ef-52d0-4b6a-8a0a-a5c4cc06bf69}" id="{bbe8a900-306a-4f5e-a1d9-b0368250cfb4}" done="0">
    <x18tc:text xml:space="preserve">This is a sample of automating the extraction. This is from claude sonnet 5/haiku. Sonnet just did image extracts. Total cost was $.77 to run and keep in mind the extraction (or structure of data within columns can be improved...or even optimized on cost)</x18tc:text>
    <x18tc:extLst>
      <ext uri="{F7C98A9C-CBB3-438F-8F68-D28B6AF4A901}">
        <xltc2:checksum/>
        <xltc2:hyperlink startIndex="218" length="13" url="http://improved...or"/>
      </ext>
    </x18tc:extLst>
  </x18tc:threadedComment>
  <x18tc:threadedComment ref="A1332" dT="2026-07-10T14:47:11.00" personId="{042104ef-52d0-4b6a-8a0a-a5c4cc06bf69}" id="{c865f6f3-d26f-4173-9879-bf863ca2eed1}" parentId="{bbe8a900-306a-4f5e-a1d9-b0368250cfb4}">
    <x18tc:text xml:space="preserve">@alfonso.c@osakititan.com</x18tc:text>
    <x18tc:mentions>
      <x18tc:mention mentionpersonId="{c26169de-1649-4a78-8b72-05c1e68e6198}" mentionId="{b988d2a2-b405-401e-815e-05e6fe6c45d5}" startIndex="0" length="25"/>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urFx4nBakJW3gfl0yHHDvngjrx3GrdbH?usp=drive_link" TargetMode="External"/><Relationship Id="rId42" Type="http://schemas.openxmlformats.org/officeDocument/2006/relationships/hyperlink" Target="https://drive.google.com/drive/folders/1RyKamJq55rP4gdmUyx6YgYTgFnV0JYoj?usp=drive_link" TargetMode="External"/><Relationship Id="rId41" Type="http://schemas.openxmlformats.org/officeDocument/2006/relationships/hyperlink" Target="https://drive.google.com/drive/folders/1GnR2D4um0Y2G3q4gf63ewAAdIR2ctpCS?usp=drive_link" TargetMode="External"/><Relationship Id="rId44" Type="http://schemas.openxmlformats.org/officeDocument/2006/relationships/hyperlink" Target="https://drive.google.com/drive/folders/15syKHgb7HilDi679WTnMzaQCilWbxxwh?usp=drive_link" TargetMode="External"/><Relationship Id="rId43" Type="http://schemas.openxmlformats.org/officeDocument/2006/relationships/hyperlink" Target="https://drive.google.com/drive/folders/1LvPkexhRVXrRvxmgogIOVR8ltEH9T1-Z?usp=drive_link" TargetMode="External"/><Relationship Id="rId46" Type="http://schemas.openxmlformats.org/officeDocument/2006/relationships/hyperlink" Target="https://drive.google.com/drive/folders/1vo5z1yvqz31NZypXuOukJYPjLg10U8D_?usp=drive_link" TargetMode="External"/><Relationship Id="rId45" Type="http://schemas.openxmlformats.org/officeDocument/2006/relationships/hyperlink" Target="https://drive.google.com/drive/folders/1tGxMbkhEab6-lzvW94nGki7vguERoMv2?usp=drive_link" TargetMode="External"/><Relationship Id="rId107" Type="http://schemas.openxmlformats.org/officeDocument/2006/relationships/hyperlink" Target="https://drive.google.com/drive/folders/1IWbqf4bgLqhT0Jg-l-xmTkWHwa7Iv74d?usp=drive_link" TargetMode="External"/><Relationship Id="rId106" Type="http://schemas.openxmlformats.org/officeDocument/2006/relationships/hyperlink" Target="https://drive.google.com/drive/folders/1G3O6FLrWVD4TRwoNBMVxOoeaKaP3Wd5l?usp=drive_link" TargetMode="External"/><Relationship Id="rId105" Type="http://schemas.openxmlformats.org/officeDocument/2006/relationships/hyperlink" Target="https://drive.google.com/drive/folders/15NcO8eVG1LJzCQWdAVARpZu7iaza9dCz?usp=drive_link" TargetMode="External"/><Relationship Id="rId104" Type="http://schemas.openxmlformats.org/officeDocument/2006/relationships/hyperlink" Target="https://drive.google.com/drive/folders/189anPZrumsd4WZymR2eDq-WMqnisjs13?usp=drive_link" TargetMode="External"/><Relationship Id="rId109" Type="http://schemas.openxmlformats.org/officeDocument/2006/relationships/hyperlink" Target="https://drive.google.com/drive/folders/1AP5bsiWX-wKVrA6Ep3VzOp3K20lFBFXq?usp=drive_link" TargetMode="External"/><Relationship Id="rId108" Type="http://schemas.openxmlformats.org/officeDocument/2006/relationships/hyperlink" Target="https://drive.google.com/drive/folders/1vSqNHaH8oxFnKIOT3VkDS01wtN6ev83h?usp=drive_link" TargetMode="External"/><Relationship Id="rId48" Type="http://schemas.openxmlformats.org/officeDocument/2006/relationships/hyperlink" Target="https://drive.google.com/drive/folders/1f83E7yme1rMPSzGEPs0xCQkaBATxp4Q8?usp=drive_link" TargetMode="External"/><Relationship Id="rId47" Type="http://schemas.openxmlformats.org/officeDocument/2006/relationships/hyperlink" Target="https://drive.google.com/drive/folders/1JLtLdJB6G0nAShr9_DpFFOVS0fENUubT?usp=drive_link" TargetMode="External"/><Relationship Id="rId49" Type="http://schemas.openxmlformats.org/officeDocument/2006/relationships/hyperlink" Target="https://drive.google.com/drive/folders/1ZlzTGyeyaoprN8hasfjBnEYuRMtHKa4p?usp=drive_link" TargetMode="External"/><Relationship Id="rId103" Type="http://schemas.openxmlformats.org/officeDocument/2006/relationships/hyperlink" Target="https://drive.google.com/drive/folders/1jzevJlKfkIiGXllTMROa3UujrpKXGnXK?usp=drive_link" TargetMode="External"/><Relationship Id="rId102" Type="http://schemas.openxmlformats.org/officeDocument/2006/relationships/hyperlink" Target="https://drive.google.com/drive/folders/1ER-YWkF67GfYCo0Q86teTHKKAVSZ79Xg?usp=drive_link" TargetMode="External"/><Relationship Id="rId101" Type="http://schemas.openxmlformats.org/officeDocument/2006/relationships/hyperlink" Target="https://drive.google.com/drive/folders/1ieE3OVCEZxF9fgeYWCyd0JZfFBqiSeTG?usp=drive_link" TargetMode="External"/><Relationship Id="rId100" Type="http://schemas.openxmlformats.org/officeDocument/2006/relationships/hyperlink" Target="https://drive.google.com/drive/folders/1oIqjgdWHHszQk3dpYb66sh-tEOFEa-5K?usp=drive_link" TargetMode="External"/><Relationship Id="rId31" Type="http://schemas.openxmlformats.org/officeDocument/2006/relationships/hyperlink" Target="https://drive.google.com/drive/folders/1lKzm3-0XyS8oK5OkRzpSpNeQhYrTrAmV?usp=drive_link" TargetMode="External"/><Relationship Id="rId30" Type="http://schemas.openxmlformats.org/officeDocument/2006/relationships/hyperlink" Target="https://drive.google.com/drive/folders/1la3NEwHRbxDaSV7jhEQ3PgtPtPD4a_xi?usp=drive_link" TargetMode="External"/><Relationship Id="rId33" Type="http://schemas.openxmlformats.org/officeDocument/2006/relationships/hyperlink" Target="https://drive.google.com/drive/folders/1ci6Z_jMNS3Vz-vtNef_g49IqyO4D8BVT?usp=drive_link" TargetMode="External"/><Relationship Id="rId32" Type="http://schemas.openxmlformats.org/officeDocument/2006/relationships/hyperlink" Target="https://drive.google.com/drive/folders/1UuiMu753WlFBJGYQIrNWf7L6lMry-Htp?usp=drive_link" TargetMode="External"/><Relationship Id="rId35" Type="http://schemas.openxmlformats.org/officeDocument/2006/relationships/hyperlink" Target="https://drive.google.com/drive/folders/1bazhAKh9WFATDEJ-JVsovxXQKf2OTwgf?usp=drive_link" TargetMode="External"/><Relationship Id="rId34" Type="http://schemas.openxmlformats.org/officeDocument/2006/relationships/hyperlink" Target="https://drive.google.com/drive/folders/1HOWMMoy8m_NOgGGve9S7r2b40MA0-qd0?usp=drive_link" TargetMode="External"/><Relationship Id="rId37" Type="http://schemas.openxmlformats.org/officeDocument/2006/relationships/hyperlink" Target="https://drive.google.com/drive/folders/1_RRXE43igxt3CnTDokWeeuBro03C5MB9?usp=drive_link" TargetMode="External"/><Relationship Id="rId36" Type="http://schemas.openxmlformats.org/officeDocument/2006/relationships/hyperlink" Target="https://drive.google.com/drive/folders/1ep4m1vWDrKtlr_8l5pbK-1v3rbo1NOXP?usp=drive_link" TargetMode="External"/><Relationship Id="rId39" Type="http://schemas.openxmlformats.org/officeDocument/2006/relationships/hyperlink" Target="https://drive.google.com/drive/folders/1_dUDvJjA9DT6I_kVbtloYnCQ_CnP9Tbi?usp=drive_link" TargetMode="External"/><Relationship Id="rId38" Type="http://schemas.openxmlformats.org/officeDocument/2006/relationships/hyperlink" Target="https://drive.google.com/drive/folders/1kjyCphzqcRtPM2rs9MKbGz6YlwG2Szr6?usp=drive_link" TargetMode="External"/><Relationship Id="rId20" Type="http://schemas.openxmlformats.org/officeDocument/2006/relationships/hyperlink" Target="https://drive.google.com/drive/folders/1sEpMbmI8fUMsVS07IjG1u1GZE8W4nTdk?usp=drive_link" TargetMode="External"/><Relationship Id="rId22" Type="http://schemas.openxmlformats.org/officeDocument/2006/relationships/hyperlink" Target="https://drive.google.com/drive/folders/1SOpLuavnl0_oZmcpbAx5JImfGb7Z5Vfj?usp=drive_link" TargetMode="External"/><Relationship Id="rId21" Type="http://schemas.openxmlformats.org/officeDocument/2006/relationships/hyperlink" Target="https://drive.google.com/drive/folders/1xFw_gmdtx4ZINXGhFh8IQ27OoC0wxT3d?usp=drive_link" TargetMode="External"/><Relationship Id="rId24" Type="http://schemas.openxmlformats.org/officeDocument/2006/relationships/hyperlink" Target="https://drive.google.com/drive/folders/1RJvx8ElWyLJ59QZL3Q3SiIVagtOz49Wj?usp=drive_link" TargetMode="External"/><Relationship Id="rId23" Type="http://schemas.openxmlformats.org/officeDocument/2006/relationships/hyperlink" Target="https://drive.google.com/drive/folders/13ncQTz2ED3q21LbWvUabJuicmoZoSooN?usp=drive_link" TargetMode="External"/><Relationship Id="rId129" Type="http://schemas.openxmlformats.org/officeDocument/2006/relationships/hyperlink" Target="https://drive.google.com/drive/folders/1OFUO7y71Lkt_TzBmPVbCkEUkMga_-I-b?usp=drive_link" TargetMode="External"/><Relationship Id="rId128" Type="http://schemas.openxmlformats.org/officeDocument/2006/relationships/hyperlink" Target="https://drive.google.com/drive/folders/1Meg_dUpEa_gnF-jWeHIjhnL8ffQo5NJ3?usp=drive_link" TargetMode="External"/><Relationship Id="rId127" Type="http://schemas.openxmlformats.org/officeDocument/2006/relationships/hyperlink" Target="https://drive.google.com/drive/folders/1lbP62ic3el3eewfLpRJuXNxI-17BWICB?usp=drive_link" TargetMode="External"/><Relationship Id="rId126" Type="http://schemas.openxmlformats.org/officeDocument/2006/relationships/hyperlink" Target="https://drive.google.com/drive/folders/1JGsYVzcbzb-KCs-qkPAjvSnIEt1ICqN4?usp=drive_link" TargetMode="External"/><Relationship Id="rId26" Type="http://schemas.openxmlformats.org/officeDocument/2006/relationships/hyperlink" Target="https://drive.google.com/drive/folders/1npf8fxw-vxATg-KUbDF1uKA--hyOr1W2?usp=drive_link" TargetMode="External"/><Relationship Id="rId121" Type="http://schemas.openxmlformats.org/officeDocument/2006/relationships/hyperlink" Target="https://drive.google.com/drive/folders/1wrFSaXCtNrcJ6bD26wNp-u0Pl337Qrsu?usp=drive_link" TargetMode="External"/><Relationship Id="rId25" Type="http://schemas.openxmlformats.org/officeDocument/2006/relationships/hyperlink" Target="https://drive.google.com/drive/folders/1d0zV5bG3uYErO7_k-vx8HAQxBf62-z2_?usp=drive_link" TargetMode="External"/><Relationship Id="rId120" Type="http://schemas.openxmlformats.org/officeDocument/2006/relationships/hyperlink" Target="https://drive.google.com/drive/folders/1wrFSaXCtNrcJ6bD26wNp-u0Pl337Qrsu?usp=drive_link" TargetMode="External"/><Relationship Id="rId28" Type="http://schemas.openxmlformats.org/officeDocument/2006/relationships/hyperlink" Target="https://drive.google.com/drive/folders/11B0FxI_FWNeQfZ2piR_JVog6WmFiQvaD?usp=drive_link" TargetMode="External"/><Relationship Id="rId27" Type="http://schemas.openxmlformats.org/officeDocument/2006/relationships/hyperlink" Target="https://drive.google.com/drive/folders/1GoDfLGTRow5jsCsU5_HeQtjfMELyKJ_3?usp=drive_link" TargetMode="External"/><Relationship Id="rId125" Type="http://schemas.openxmlformats.org/officeDocument/2006/relationships/hyperlink" Target="https://drive.google.com/drive/folders/1yAIBhJGXaAaLgw_sxPH4c5TyhaHJi4NT?usp=drive_link" TargetMode="External"/><Relationship Id="rId29" Type="http://schemas.openxmlformats.org/officeDocument/2006/relationships/hyperlink" Target="https://drive.google.com/drive/folders/1aF-d-pNu2efQC06blxtVSNd3xcJ3EvMC?usp=drive_link" TargetMode="External"/><Relationship Id="rId124" Type="http://schemas.openxmlformats.org/officeDocument/2006/relationships/hyperlink" Target="https://drive.google.com/drive/folders/1OByappZe9K1_6fHBGIuLkGAbiY0nWs66?usp=drive_link" TargetMode="External"/><Relationship Id="rId123" Type="http://schemas.openxmlformats.org/officeDocument/2006/relationships/hyperlink" Target="https://drive.google.com/drive/folders/11SEa_ZLtSQ-A3hy70Nqo6Z2auyOkI5m5?usp=drive_link" TargetMode="External"/><Relationship Id="rId122" Type="http://schemas.openxmlformats.org/officeDocument/2006/relationships/hyperlink" Target="https://drive.google.com/drive/folders/1FY-CaP0LF8z9UADiUxcAITAvjGuDmDfq?usp=drive_link" TargetMode="External"/><Relationship Id="rId95" Type="http://schemas.openxmlformats.org/officeDocument/2006/relationships/hyperlink" Target="https://drive.google.com/drive/folders/19v9K0v5t_jVGcFcCZNF3Ixz5Pz409CDN?usp=drive_link" TargetMode="External"/><Relationship Id="rId94" Type="http://schemas.openxmlformats.org/officeDocument/2006/relationships/hyperlink" Target="https://drive.google.com/drive/folders/1zyGtefHRfVeX_z-KgzeO-O8h9DW1KP79?usp=drive_link" TargetMode="External"/><Relationship Id="rId97" Type="http://schemas.openxmlformats.org/officeDocument/2006/relationships/hyperlink" Target="https://drive.google.com/drive/folders/1Si-vQ58QwVT9ESIH5OEnSrDpL0OX8i7l?usp=drive_link" TargetMode="External"/><Relationship Id="rId96" Type="http://schemas.openxmlformats.org/officeDocument/2006/relationships/hyperlink" Target="https://drive.google.com/drive/folders/1Vh7KS5C3GoLXQGhowerS8d2u7SpF1Jeb?usp=drive_link" TargetMode="External"/><Relationship Id="rId11" Type="http://schemas.openxmlformats.org/officeDocument/2006/relationships/hyperlink" Target="https://drive.google.com/drive/folders/1xVyfj2tmIlOU9QLLx3o164wTMxPy4R2c?usp=drive_link" TargetMode="External"/><Relationship Id="rId99" Type="http://schemas.openxmlformats.org/officeDocument/2006/relationships/hyperlink" Target="https://drive.google.com/drive/folders/19Fd9uYIPp3Wm5VBkxMxOFe1XF_R3uv50?usp=drive_link" TargetMode="External"/><Relationship Id="rId10" Type="http://schemas.openxmlformats.org/officeDocument/2006/relationships/hyperlink" Target="https://drive.google.com/drive/folders/1HVO7x1E7kqDy8_9wHs4qhubRiz9mMdMS?usp=drive_link" TargetMode="External"/><Relationship Id="rId98" Type="http://schemas.openxmlformats.org/officeDocument/2006/relationships/hyperlink" Target="https://drive.google.com/drive/folders/1oIqjgdWHHszQk3dpYb66sh-tEOFEa-5K?usp=drive_link" TargetMode="External"/><Relationship Id="rId13" Type="http://schemas.openxmlformats.org/officeDocument/2006/relationships/hyperlink" Target="https://drive.google.com/drive/folders/1ihioy4QmXBIxRboSurrTr15sz0xndfUS?usp=drive_link" TargetMode="External"/><Relationship Id="rId12" Type="http://schemas.openxmlformats.org/officeDocument/2006/relationships/hyperlink" Target="https://drive.google.com/drive/folders/1ggmyJRvMFA5K1qDhXyjYqrwDjIvs010m?usp=drive_link" TargetMode="External"/><Relationship Id="rId91" Type="http://schemas.openxmlformats.org/officeDocument/2006/relationships/hyperlink" Target="https://drive.google.com/drive/folders/1AIp9AIxy_BmdQRZTqhOkDPVEmS--lXZj?usp=drive_link" TargetMode="External"/><Relationship Id="rId90" Type="http://schemas.openxmlformats.org/officeDocument/2006/relationships/hyperlink" Target="https://drive.google.com/drive/folders/1iDW13C7U3mry6neoF1uoeH9PrKBQSZF8?usp=drive_link" TargetMode="External"/><Relationship Id="rId93" Type="http://schemas.openxmlformats.org/officeDocument/2006/relationships/hyperlink" Target="https://drive.google.com/drive/folders/1-HqnKQzr7mxsppaU0xRb2gs_vuYgl2MY?usp=drive_link" TargetMode="External"/><Relationship Id="rId92" Type="http://schemas.openxmlformats.org/officeDocument/2006/relationships/hyperlink" Target="https://drive.google.com/drive/folders/1JIn_hFNx4UyPr3mXaKfyzc604YvHFbul?usp=drive_link" TargetMode="External"/><Relationship Id="rId118" Type="http://schemas.openxmlformats.org/officeDocument/2006/relationships/hyperlink" Target="https://drive.google.com/drive/folders/1Z3fhdUir4ghP-mZPvF86UZvK2mrUC8jC?usp=drive_link" TargetMode="External"/><Relationship Id="rId117" Type="http://schemas.openxmlformats.org/officeDocument/2006/relationships/hyperlink" Target="https://drive.google.com/drive/folders/1DbPvFbI9UNngPqbyOSTVeOphZqWjgNTN?usp=drive_link" TargetMode="External"/><Relationship Id="rId116" Type="http://schemas.openxmlformats.org/officeDocument/2006/relationships/hyperlink" Target="https://drive.google.com/drive/folders/1o6th4LgCanuKc9LMxvQ7RG406_y555cR?usp=drive_link" TargetMode="External"/><Relationship Id="rId115" Type="http://schemas.openxmlformats.org/officeDocument/2006/relationships/hyperlink" Target="https://drive.google.com/drive/folders/16mP0lHyp5gz65m7Uu2Epsp5_9nM79QN4?usp=drive_link" TargetMode="External"/><Relationship Id="rId119" Type="http://schemas.openxmlformats.org/officeDocument/2006/relationships/hyperlink" Target="https://drive.google.com/drive/folders/1wrFSaXCtNrcJ6bD26wNp-u0Pl337Qrsu?usp=drive_link" TargetMode="External"/><Relationship Id="rId15" Type="http://schemas.openxmlformats.org/officeDocument/2006/relationships/hyperlink" Target="https://drive.google.com/drive/folders/1HQGswoMFV5l1Jt02XUdH1cfuUvf88bSj?usp=drive_link" TargetMode="External"/><Relationship Id="rId110" Type="http://schemas.openxmlformats.org/officeDocument/2006/relationships/hyperlink" Target="https://drive.google.com/drive/folders/15XUjleGKjaJAbTLolfbLVPXuiEO9l7wZ?usp=drive_link" TargetMode="External"/><Relationship Id="rId14" Type="http://schemas.openxmlformats.org/officeDocument/2006/relationships/hyperlink" Target="https://drive.google.com/drive/folders/18eY3HxpLrtyhpN9jfrPwe2PLVdV0rYsV?usp=drive_link" TargetMode="External"/><Relationship Id="rId17" Type="http://schemas.openxmlformats.org/officeDocument/2006/relationships/hyperlink" Target="https://drive.google.com/drive/folders/1eSAFNh1WLgy6XVUUDPrATrY7a9qDAS_W?usp=drive_link" TargetMode="External"/><Relationship Id="rId16" Type="http://schemas.openxmlformats.org/officeDocument/2006/relationships/hyperlink" Target="https://drive.google.com/drive/folders/1Lb7RbcSTrmR3-0MVjFwkHiqxzd_H0qt4?usp=drive_link" TargetMode="External"/><Relationship Id="rId19" Type="http://schemas.openxmlformats.org/officeDocument/2006/relationships/hyperlink" Target="https://drive.google.com/drive/folders/1zIFYX9OQZUkU4ihcXXoiiyxhKRTtD9AU?usp=drive_link" TargetMode="External"/><Relationship Id="rId114" Type="http://schemas.openxmlformats.org/officeDocument/2006/relationships/hyperlink" Target="https://drive.google.com/drive/folders/19T0--UH3DX5OcKErQCRDIbtdY9n9XS7L?usp=drive_link" TargetMode="External"/><Relationship Id="rId18" Type="http://schemas.openxmlformats.org/officeDocument/2006/relationships/hyperlink" Target="https://drive.google.com/drive/folders/1u2aYBj_Za7SC1UeOV5TJGQCNUSYblfo2?usp=drive_link" TargetMode="External"/><Relationship Id="rId113" Type="http://schemas.openxmlformats.org/officeDocument/2006/relationships/hyperlink" Target="https://drive.google.com/drive/folders/1v1tfNzMGAYJw6qq9jOY9ep3ye15Lw4wg?usp=drive_link" TargetMode="External"/><Relationship Id="rId112" Type="http://schemas.openxmlformats.org/officeDocument/2006/relationships/hyperlink" Target="https://drive.google.com/drive/folders/11Y8r2VZUTCTaMxFqWlI2rsvOUQ2nXEPy?usp=drive_link" TargetMode="External"/><Relationship Id="rId111" Type="http://schemas.openxmlformats.org/officeDocument/2006/relationships/hyperlink" Target="https://drive.google.com/drive/folders/1P_B34oaFrSm0gCB-mgE7EoyOXNgYf3xF?usp=drive_link" TargetMode="External"/><Relationship Id="rId84" Type="http://schemas.openxmlformats.org/officeDocument/2006/relationships/hyperlink" Target="https://drive.google.com/drive/folders/1zHfqwtF3aPzWBMlMjPQNUKm6ueBIzIiG?usp=drive_link" TargetMode="External"/><Relationship Id="rId83" Type="http://schemas.openxmlformats.org/officeDocument/2006/relationships/hyperlink" Target="https://drive.google.com/drive/folders/1Aat2RlsBq4usXH0r3RsI3TFZWEmU-hHv?usp=drive_link" TargetMode="External"/><Relationship Id="rId86" Type="http://schemas.openxmlformats.org/officeDocument/2006/relationships/hyperlink" Target="https://drive.google.com/drive/folders/19pEXfC299rzpYzFF9fDSd5fyG4IaRU5b?usp=drive_link" TargetMode="External"/><Relationship Id="rId85" Type="http://schemas.openxmlformats.org/officeDocument/2006/relationships/hyperlink" Target="https://drive.google.com/drive/folders/1XyFKzUCtpTQOTZMfyJFHHaUVb_TfJclF?usp=drive_link" TargetMode="External"/><Relationship Id="rId88" Type="http://schemas.openxmlformats.org/officeDocument/2006/relationships/hyperlink" Target="https://drive.google.com/drive/folders/1pMHuohiwlondnOZ9TBaMhd2iqZI40-4-?usp=drive_link" TargetMode="External"/><Relationship Id="rId87" Type="http://schemas.openxmlformats.org/officeDocument/2006/relationships/hyperlink" Target="https://drive.google.com/drive/folders/1LuWI4mgfjg4p6USf3vUT9eKUdcLKx26G?usp=drive_link" TargetMode="External"/><Relationship Id="rId89" Type="http://schemas.openxmlformats.org/officeDocument/2006/relationships/hyperlink" Target="https://drive.google.com/drive/folders/1TWvOMwpTwQvuZrw8DIMLGKJrja7ZQEIw?usp=drive_link" TargetMode="External"/><Relationship Id="rId80" Type="http://schemas.openxmlformats.org/officeDocument/2006/relationships/hyperlink" Target="https://drive.google.com/drive/folders/16aeLnskNFI4L7jYXj8fv0hW1YikRYN2q?usp=drive_link" TargetMode="External"/><Relationship Id="rId82" Type="http://schemas.openxmlformats.org/officeDocument/2006/relationships/hyperlink" Target="https://drive.google.com/drive/folders/1KpFBG1RHzlg4nFSG-QYrv4WzV0YlWJHs?usp=drive_link" TargetMode="External"/><Relationship Id="rId81" Type="http://schemas.openxmlformats.org/officeDocument/2006/relationships/hyperlink" Target="https://drive.google.com/drive/folders/1M09WH2KzhCtU_v4bcfEVw-BKisZC7ZAm?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Guxr2dEjIGU9C6cGWVLo0OqXo_A2cHqc?usp=drive_link" TargetMode="External"/><Relationship Id="rId9" Type="http://schemas.openxmlformats.org/officeDocument/2006/relationships/hyperlink" Target="https://drive.google.com/drive/folders/1teV4oL4c5RcqaLqL3YgkTxT8u_lgvAlk?usp=drive_link" TargetMode="External"/><Relationship Id="rId140" Type="http://schemas.openxmlformats.org/officeDocument/2006/relationships/table" Target="../tables/table3.xml"/><Relationship Id="rId5" Type="http://schemas.openxmlformats.org/officeDocument/2006/relationships/hyperlink" Target="https://drive.google.com/drive/folders/131_3CMMissMjWH1ALFuXTD0tN6R66nKO?usp=drive_link" TargetMode="External"/><Relationship Id="rId6" Type="http://schemas.openxmlformats.org/officeDocument/2006/relationships/hyperlink" Target="https://drive.google.com/drive/folders/1aLp-OuMzR1StTckVfg9DOco1nx8k9OV8?usp=drive_link" TargetMode="External"/><Relationship Id="rId7" Type="http://schemas.openxmlformats.org/officeDocument/2006/relationships/hyperlink" Target="https://drive.google.com/drive/folders/1nm230_KtGmC42RaFbPe2OSkSn5I_ETz1?usp=drive_link" TargetMode="External"/><Relationship Id="rId8" Type="http://schemas.openxmlformats.org/officeDocument/2006/relationships/hyperlink" Target="https://drive.google.com/drive/folders/1z11IbEq3O3W76NGgaSDLFIxc9HfSvAjh?usp=drive_link" TargetMode="External"/><Relationship Id="rId73" Type="http://schemas.openxmlformats.org/officeDocument/2006/relationships/hyperlink" Target="https://drive.google.com/drive/folders/1EbA1ajSsgSd6FpNoym8IXqYoZKeSOIwg?usp=drive_link" TargetMode="External"/><Relationship Id="rId72" Type="http://schemas.openxmlformats.org/officeDocument/2006/relationships/hyperlink" Target="https://drive.google.com/drive/folders/1K15j4hEXE-640jVeHmGrs8bDMPm_6DcK?usp=drive_link" TargetMode="External"/><Relationship Id="rId75" Type="http://schemas.openxmlformats.org/officeDocument/2006/relationships/hyperlink" Target="https://drive.google.com/drive/folders/1PyUYW6cv_GLypU1oI4wJ_x7qsXAW9ohp?usp=drive_link" TargetMode="External"/><Relationship Id="rId74" Type="http://schemas.openxmlformats.org/officeDocument/2006/relationships/hyperlink" Target="https://drive.google.com/drive/folders/1XYZEsgb9_qeZsZrFvafmro25QFj6iBez?usp=drive_link" TargetMode="External"/><Relationship Id="rId77" Type="http://schemas.openxmlformats.org/officeDocument/2006/relationships/hyperlink" Target="https://drive.google.com/drive/folders/1BdgEVdgsns6J3c8SUZIZp2ue2A1S11AF?usp=drive_link" TargetMode="External"/><Relationship Id="rId76" Type="http://schemas.openxmlformats.org/officeDocument/2006/relationships/hyperlink" Target="https://drive.google.com/drive/folders/1dq9gXoT2lavXl_0FGH2nqauvSZU5VHYA?usp=drive_link" TargetMode="External"/><Relationship Id="rId79" Type="http://schemas.openxmlformats.org/officeDocument/2006/relationships/hyperlink" Target="https://drive.google.com/drive/folders/1e90FKnQGwx7d_Z718MH7sjUPBFXqK3xC?usp=drive_link" TargetMode="External"/><Relationship Id="rId78" Type="http://schemas.openxmlformats.org/officeDocument/2006/relationships/hyperlink" Target="https://drive.google.com/drive/folders/1sW9edGXlVV8J1pDktSAkKseQNnqg0Ccb?usp=drive_link" TargetMode="External"/><Relationship Id="rId71" Type="http://schemas.openxmlformats.org/officeDocument/2006/relationships/hyperlink" Target="https://drive.google.com/drive/folders/1fTJNkFs4_J5KimHJm0SQ14amlTUxSTX6?usp=drive_link" TargetMode="External"/><Relationship Id="rId70" Type="http://schemas.openxmlformats.org/officeDocument/2006/relationships/hyperlink" Target="https://drive.google.com/drive/folders/1gA609Rs_lbilSFOXE_QD8LlqdpTgH7l9?usp=drive_link" TargetMode="External"/><Relationship Id="rId139" Type="http://schemas.openxmlformats.org/officeDocument/2006/relationships/table" Target="../tables/table2.xml"/><Relationship Id="rId138" Type="http://schemas.openxmlformats.org/officeDocument/2006/relationships/table" Target="../tables/table1.xml"/><Relationship Id="rId132" Type="http://schemas.openxmlformats.org/officeDocument/2006/relationships/hyperlink" Target="https://drive.google.com/drive/folders/1G2tURJ4ltErEjGmDjK3W9IJVGMRV4PvP?usp=drive_link" TargetMode="External"/><Relationship Id="rId131" Type="http://schemas.openxmlformats.org/officeDocument/2006/relationships/hyperlink" Target="https://drive.google.com/drive/folders/1Meg_dUpEa_gnF-jWeHIjhnL8ffQo5NJ3?usp=drive_link" TargetMode="External"/><Relationship Id="rId130" Type="http://schemas.openxmlformats.org/officeDocument/2006/relationships/hyperlink" Target="https://drive.google.com/drive/folders/1Meg_dUpEa_gnF-jWeHIjhnL8ffQo5NJ3?usp=drive_link" TargetMode="External"/><Relationship Id="rId134" Type="http://schemas.openxmlformats.org/officeDocument/2006/relationships/vmlDrawing" Target="../drawings/vmlDrawing1.vml"/><Relationship Id="rId133" Type="http://schemas.openxmlformats.org/officeDocument/2006/relationships/drawing" Target="../drawings/drawing1.xml"/><Relationship Id="rId62" Type="http://schemas.openxmlformats.org/officeDocument/2006/relationships/hyperlink" Target="https://drive.google.com/drive/folders/1_q_MEyNp9DEl4eGq5qlTo67BughFtEFN?usp=drive_link" TargetMode="External"/><Relationship Id="rId61" Type="http://schemas.openxmlformats.org/officeDocument/2006/relationships/hyperlink" Target="https://drive.google.com/drive/folders/1QJB509yWkyLQA__5B0yubfq86Y-ML0kb?usp=drive_link" TargetMode="External"/><Relationship Id="rId64" Type="http://schemas.openxmlformats.org/officeDocument/2006/relationships/hyperlink" Target="https://drive.google.com/drive/folders/1ms7c3Xn3LadZ89lOb3ymUCZZrgzRz-ax?usp=drive_link" TargetMode="External"/><Relationship Id="rId63" Type="http://schemas.openxmlformats.org/officeDocument/2006/relationships/hyperlink" Target="https://drive.google.com/drive/folders/1uwbbtF2GX4GwvOkVyxv60kghKcX3l_SQ?usp=drive_link" TargetMode="External"/><Relationship Id="rId66" Type="http://schemas.openxmlformats.org/officeDocument/2006/relationships/hyperlink" Target="https://drive.google.com/drive/folders/1dHjqekgTui3ZxULxNJ4GPiP3pgqZ0GQc?usp=drive_link" TargetMode="External"/><Relationship Id="rId65" Type="http://schemas.openxmlformats.org/officeDocument/2006/relationships/hyperlink" Target="https://drive.google.com/drive/folders/1a2v8NP6zHI_T4MFpXaalrRJkUAh7B-KV?usp=drive_link" TargetMode="External"/><Relationship Id="rId68" Type="http://schemas.openxmlformats.org/officeDocument/2006/relationships/hyperlink" Target="https://drive.google.com/drive/folders/1VNLXgIa_tNOYm2xuDKIJ9j8_LPqVkxWr?usp=drive_link" TargetMode="External"/><Relationship Id="rId67" Type="http://schemas.openxmlformats.org/officeDocument/2006/relationships/hyperlink" Target="https://drive.google.com/drive/folders/1R6xxslnN2bzjCJ5jWS33Hf6US-TMRxLK?usp=drive_link" TargetMode="External"/><Relationship Id="rId60" Type="http://schemas.openxmlformats.org/officeDocument/2006/relationships/hyperlink" Target="https://drive.google.com/drive/folders/1n7ZjcXooQiXJzVfdXRisnnj9KCajyl3y?usp=drive_link" TargetMode="External"/><Relationship Id="rId69" Type="http://schemas.openxmlformats.org/officeDocument/2006/relationships/hyperlink" Target="https://drive.google.com/drive/folders/1YMpqWkTYpMlZr2jbZsOTNZU74ZPLzpcF?usp=drive_link" TargetMode="External"/><Relationship Id="rId51" Type="http://schemas.openxmlformats.org/officeDocument/2006/relationships/hyperlink" Target="https://drive.google.com/drive/folders/1Fo4tl6JU5tgkRgDKcGnZZch7qkgOqMo3?usp=drive_link" TargetMode="External"/><Relationship Id="rId50" Type="http://schemas.openxmlformats.org/officeDocument/2006/relationships/hyperlink" Target="https://drive.google.com/drive/folders/1QD4gJQ_l94bVfTcxs5F0WQC20WsJlGOc?usp=drive_link" TargetMode="External"/><Relationship Id="rId53" Type="http://schemas.openxmlformats.org/officeDocument/2006/relationships/hyperlink" Target="https://drive.google.com/drive/folders/19PPBzgaYIBXfkae_VtmA0rw5-h8mFoAf?usp=drive_link" TargetMode="External"/><Relationship Id="rId52" Type="http://schemas.openxmlformats.org/officeDocument/2006/relationships/hyperlink" Target="https://drive.google.com/drive/folders/1Fvx8hTumIrd_ozg5wwF1Ie9XO1OVlKMZ?usp=drive_link" TargetMode="External"/><Relationship Id="rId55" Type="http://schemas.openxmlformats.org/officeDocument/2006/relationships/hyperlink" Target="https://drive.google.com/drive/folders/1UeMU4uaKAxw2eTlviLj0g5xOElimN9JJ?usp=drive_link" TargetMode="External"/><Relationship Id="rId54" Type="http://schemas.openxmlformats.org/officeDocument/2006/relationships/hyperlink" Target="https://drive.google.com/drive/folders/1LjJZsTPWw7bSkhXgSPBC_1wAGRs-Zgn4?usp=drive_link" TargetMode="External"/><Relationship Id="rId57" Type="http://schemas.openxmlformats.org/officeDocument/2006/relationships/hyperlink" Target="https://drive.google.com/drive/folders/1nL8ELzMtDEdouFSTDV3jKbCVrsDiKa1M?usp=drive_link" TargetMode="External"/><Relationship Id="rId56" Type="http://schemas.openxmlformats.org/officeDocument/2006/relationships/hyperlink" Target="https://drive.google.com/drive/folders/12rMAfpvRGBBEiOEb_K3ZbRex6UoBKYhw?usp=drive_link" TargetMode="External"/><Relationship Id="rId59" Type="http://schemas.openxmlformats.org/officeDocument/2006/relationships/hyperlink" Target="https://drive.google.com/drive/folders/1NQ60a0TnUSY_jQKPckb9QakgE3-KlcOt?usp=drive_link" TargetMode="External"/><Relationship Id="rId58" Type="http://schemas.openxmlformats.org/officeDocument/2006/relationships/hyperlink" Target="https://drive.google.com/drive/folders/1xcj2M0hqyZaIiPPlTCizqdLlWyJoR5ru?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52.38"/>
    <col customWidth="1" min="3" max="3" width="2.75"/>
    <col customWidth="1" min="4" max="5" width="17.63"/>
    <col customWidth="1" min="6" max="7" width="18.88"/>
    <col customWidth="1" min="8" max="9" width="2.75"/>
    <col customWidth="1" min="10" max="10" width="31.38"/>
    <col customWidth="1" min="12" max="12" width="15.13"/>
    <col customWidth="1" min="13" max="13" width="6.25"/>
    <col customWidth="1" min="14" max="14" width="12.63"/>
    <col customWidth="1" min="15" max="15" width="43.88"/>
    <col customWidth="1" min="16" max="16" width="18.88"/>
    <col customWidth="1" min="17" max="17" width="12.63"/>
  </cols>
  <sheetData>
    <row r="1" ht="6.75" customHeight="1">
      <c r="A1" s="1"/>
      <c r="B1" s="1"/>
      <c r="C1" s="2"/>
      <c r="D1" s="3"/>
      <c r="E1" s="3"/>
      <c r="F1" s="3"/>
      <c r="G1" s="2"/>
      <c r="H1" s="2"/>
      <c r="I1" s="2"/>
      <c r="J1" s="2"/>
      <c r="K1" s="2"/>
      <c r="L1" s="2"/>
      <c r="M1" s="2"/>
      <c r="N1" s="2"/>
      <c r="O1" s="2"/>
      <c r="P1" s="2"/>
      <c r="Q1" s="2"/>
      <c r="R1" s="2"/>
      <c r="S1" s="2"/>
      <c r="T1" s="2"/>
      <c r="U1" s="2"/>
      <c r="V1" s="2"/>
      <c r="W1" s="2"/>
      <c r="X1" s="2"/>
      <c r="Y1" s="2"/>
      <c r="Z1" s="2"/>
    </row>
    <row r="2">
      <c r="B2" s="4" t="s">
        <v>0</v>
      </c>
      <c r="D2" s="5"/>
      <c r="E2" s="5"/>
      <c r="F2" s="5"/>
    </row>
    <row r="3">
      <c r="D3" s="6"/>
      <c r="E3" s="5"/>
      <c r="F3" s="5"/>
    </row>
    <row r="4" ht="26.25" customHeight="1">
      <c r="A4" s="7"/>
      <c r="B4" s="8" t="s">
        <v>1</v>
      </c>
      <c r="C4" s="9"/>
      <c r="D4" s="10" t="s">
        <v>2</v>
      </c>
      <c r="E4" s="10" t="s">
        <v>3</v>
      </c>
      <c r="F4" s="10" t="s">
        <v>4</v>
      </c>
      <c r="G4" s="11" t="s">
        <v>5</v>
      </c>
      <c r="H4" s="9"/>
      <c r="I4" s="7"/>
      <c r="J4" s="8" t="s">
        <v>6</v>
      </c>
      <c r="K4" s="9"/>
      <c r="L4" s="12"/>
      <c r="M4" s="1" t="s">
        <v>7</v>
      </c>
      <c r="P4" s="12"/>
      <c r="Q4" s="12"/>
      <c r="R4" s="9"/>
      <c r="S4" s="9"/>
      <c r="T4" s="9"/>
      <c r="U4" s="9"/>
      <c r="V4" s="9"/>
      <c r="W4" s="9"/>
      <c r="X4" s="9"/>
      <c r="Y4" s="9"/>
      <c r="Z4" s="9"/>
    </row>
    <row r="5" ht="26.25" customHeight="1">
      <c r="A5" s="13"/>
      <c r="B5" s="14" t="s">
        <v>8</v>
      </c>
      <c r="C5" s="15"/>
      <c r="D5" s="16" t="s">
        <v>8</v>
      </c>
      <c r="E5" s="16" t="s">
        <v>9</v>
      </c>
      <c r="F5" s="16" t="s">
        <v>10</v>
      </c>
      <c r="G5" s="17" t="s">
        <v>11</v>
      </c>
      <c r="H5" s="15"/>
      <c r="I5" s="15"/>
      <c r="J5" s="14" t="s">
        <v>12</v>
      </c>
      <c r="K5" s="15"/>
      <c r="L5" s="18"/>
      <c r="M5" s="19" t="s">
        <v>13</v>
      </c>
      <c r="P5" s="18"/>
      <c r="Q5" s="18"/>
      <c r="R5" s="15"/>
      <c r="S5" s="15"/>
      <c r="T5" s="15"/>
      <c r="U5" s="15"/>
      <c r="V5" s="15"/>
      <c r="W5" s="15"/>
      <c r="X5" s="15"/>
      <c r="Y5" s="15"/>
      <c r="Z5" s="15"/>
    </row>
    <row r="6" ht="26.25" customHeight="1">
      <c r="A6" s="13"/>
      <c r="B6" s="14" t="s">
        <v>14</v>
      </c>
      <c r="C6" s="15"/>
      <c r="D6" s="16" t="s">
        <v>8</v>
      </c>
      <c r="E6" s="16" t="s">
        <v>15</v>
      </c>
      <c r="F6" s="16" t="s">
        <v>16</v>
      </c>
      <c r="G6" s="17" t="s">
        <v>17</v>
      </c>
      <c r="H6" s="15"/>
      <c r="I6" s="15"/>
      <c r="J6" s="14" t="s">
        <v>18</v>
      </c>
      <c r="K6" s="15"/>
      <c r="L6" s="18"/>
      <c r="M6" s="19" t="s">
        <v>19</v>
      </c>
      <c r="P6" s="18"/>
      <c r="Q6" s="18"/>
      <c r="R6" s="15"/>
      <c r="S6" s="15"/>
      <c r="T6" s="15"/>
      <c r="U6" s="15"/>
      <c r="V6" s="15"/>
      <c r="W6" s="15"/>
      <c r="X6" s="15"/>
      <c r="Y6" s="15"/>
      <c r="Z6" s="15"/>
    </row>
    <row r="7" ht="26.25" customHeight="1">
      <c r="A7" s="13"/>
      <c r="B7" s="14" t="s">
        <v>20</v>
      </c>
      <c r="C7" s="15"/>
      <c r="D7" s="16" t="s">
        <v>14</v>
      </c>
      <c r="E7" s="16" t="s">
        <v>21</v>
      </c>
      <c r="F7" s="16" t="s">
        <v>22</v>
      </c>
      <c r="G7" s="17" t="s">
        <v>23</v>
      </c>
      <c r="H7" s="15"/>
      <c r="I7" s="15"/>
      <c r="J7" s="14" t="s">
        <v>24</v>
      </c>
      <c r="K7" s="15"/>
      <c r="L7" s="18"/>
      <c r="M7" s="19" t="s">
        <v>25</v>
      </c>
      <c r="P7" s="18"/>
      <c r="Q7" s="18"/>
      <c r="R7" s="15"/>
      <c r="S7" s="15"/>
      <c r="T7" s="15"/>
      <c r="U7" s="15"/>
      <c r="V7" s="15"/>
      <c r="W7" s="15"/>
      <c r="X7" s="15"/>
      <c r="Y7" s="15"/>
      <c r="Z7" s="15"/>
    </row>
    <row r="8" ht="26.25" customHeight="1">
      <c r="A8" s="13"/>
      <c r="B8" s="14" t="s">
        <v>26</v>
      </c>
      <c r="C8" s="15"/>
      <c r="D8" s="20" t="s">
        <v>20</v>
      </c>
      <c r="E8" s="20">
        <v>4000.0</v>
      </c>
      <c r="F8" s="20" t="s">
        <v>27</v>
      </c>
      <c r="G8" s="21" t="s">
        <v>28</v>
      </c>
      <c r="H8" s="15"/>
      <c r="I8" s="15"/>
      <c r="J8" s="15"/>
      <c r="K8" s="15"/>
      <c r="L8" s="18"/>
      <c r="N8" s="19" t="s">
        <v>29</v>
      </c>
      <c r="P8" s="18"/>
      <c r="Q8" s="18"/>
      <c r="R8" s="15"/>
      <c r="S8" s="15"/>
      <c r="T8" s="15"/>
      <c r="U8" s="15"/>
      <c r="V8" s="15"/>
      <c r="W8" s="15"/>
      <c r="X8" s="15"/>
      <c r="Y8" s="15"/>
      <c r="Z8" s="15"/>
    </row>
    <row r="9" ht="26.25" customHeight="1">
      <c r="A9" s="13"/>
      <c r="B9" s="13" t="s">
        <v>30</v>
      </c>
      <c r="C9" s="15"/>
      <c r="D9" s="20" t="s">
        <v>20</v>
      </c>
      <c r="E9" s="20" t="s">
        <v>31</v>
      </c>
      <c r="F9" s="20" t="s">
        <v>27</v>
      </c>
      <c r="G9" s="21" t="s">
        <v>32</v>
      </c>
      <c r="H9" s="15"/>
      <c r="I9" s="15"/>
      <c r="J9" s="15"/>
      <c r="K9" s="15"/>
      <c r="L9" s="18"/>
      <c r="M9" s="19" t="s">
        <v>33</v>
      </c>
      <c r="P9" s="18"/>
      <c r="Q9" s="18"/>
      <c r="R9" s="15"/>
      <c r="S9" s="15"/>
      <c r="T9" s="15"/>
      <c r="U9" s="15"/>
      <c r="V9" s="15"/>
      <c r="W9" s="15"/>
      <c r="X9" s="15"/>
      <c r="Y9" s="15"/>
      <c r="Z9" s="15"/>
    </row>
    <row r="10" ht="26.25" customHeight="1">
      <c r="A10" s="13"/>
      <c r="B10" s="13" t="s">
        <v>34</v>
      </c>
      <c r="C10" s="15"/>
      <c r="D10" s="6" t="s">
        <v>20</v>
      </c>
      <c r="E10" s="6" t="s">
        <v>35</v>
      </c>
      <c r="F10" s="6" t="s">
        <v>36</v>
      </c>
      <c r="G10" s="22"/>
      <c r="H10" s="15"/>
      <c r="I10" s="15"/>
      <c r="J10" s="15"/>
      <c r="K10" s="15"/>
      <c r="L10" s="18"/>
      <c r="P10" s="18"/>
      <c r="Q10" s="18"/>
      <c r="R10" s="15"/>
      <c r="S10" s="15"/>
      <c r="T10" s="15"/>
      <c r="U10" s="15"/>
      <c r="V10" s="15"/>
      <c r="W10" s="15"/>
      <c r="X10" s="15"/>
      <c r="Y10" s="15"/>
      <c r="Z10" s="15"/>
    </row>
    <row r="11" ht="26.25" customHeight="1">
      <c r="A11" s="13"/>
      <c r="B11" s="14" t="s">
        <v>37</v>
      </c>
      <c r="C11" s="15"/>
      <c r="D11" s="20" t="s">
        <v>20</v>
      </c>
      <c r="E11" s="20" t="s">
        <v>38</v>
      </c>
      <c r="F11" s="20" t="s">
        <v>39</v>
      </c>
      <c r="G11" s="21" t="s">
        <v>40</v>
      </c>
      <c r="H11" s="15"/>
      <c r="I11" s="15"/>
      <c r="J11" s="15"/>
      <c r="K11" s="15"/>
      <c r="L11" s="18"/>
      <c r="P11" s="18"/>
      <c r="Q11" s="18"/>
      <c r="R11" s="15"/>
      <c r="S11" s="15"/>
      <c r="T11" s="15"/>
      <c r="U11" s="15"/>
      <c r="V11" s="15"/>
      <c r="W11" s="15"/>
      <c r="X11" s="15"/>
      <c r="Y11" s="15"/>
      <c r="Z11" s="15"/>
    </row>
    <row r="12" ht="26.25" customHeight="1">
      <c r="A12" s="13"/>
      <c r="B12" s="14" t="s">
        <v>41</v>
      </c>
      <c r="C12" s="15"/>
      <c r="D12" s="20" t="s">
        <v>20</v>
      </c>
      <c r="E12" s="20" t="s">
        <v>42</v>
      </c>
      <c r="F12" s="20" t="s">
        <v>43</v>
      </c>
      <c r="G12" s="21" t="s">
        <v>44</v>
      </c>
      <c r="H12" s="15"/>
      <c r="I12" s="15"/>
      <c r="J12" s="15"/>
      <c r="K12" s="15"/>
      <c r="L12" s="18"/>
      <c r="P12" s="18"/>
      <c r="Q12" s="18"/>
      <c r="R12" s="15"/>
      <c r="S12" s="15"/>
      <c r="T12" s="15"/>
      <c r="U12" s="15"/>
      <c r="V12" s="15"/>
      <c r="W12" s="15"/>
      <c r="X12" s="15"/>
      <c r="Y12" s="15"/>
      <c r="Z12" s="15"/>
    </row>
    <row r="13" ht="26.25" customHeight="1">
      <c r="A13" s="13"/>
      <c r="B13" s="13" t="s">
        <v>45</v>
      </c>
      <c r="C13" s="15"/>
      <c r="D13" s="20" t="s">
        <v>20</v>
      </c>
      <c r="E13" s="20" t="s">
        <v>46</v>
      </c>
      <c r="F13" s="20" t="s">
        <v>47</v>
      </c>
      <c r="G13" s="21" t="s">
        <v>48</v>
      </c>
      <c r="H13" s="15"/>
      <c r="I13" s="15"/>
      <c r="J13" s="15"/>
      <c r="K13" s="15"/>
      <c r="L13" s="18"/>
      <c r="P13" s="18"/>
      <c r="Q13" s="18"/>
      <c r="R13" s="15"/>
      <c r="S13" s="15"/>
      <c r="T13" s="15"/>
      <c r="U13" s="15"/>
      <c r="V13" s="15"/>
      <c r="W13" s="15"/>
      <c r="X13" s="15"/>
      <c r="Y13" s="15"/>
      <c r="Z13" s="15"/>
    </row>
    <row r="14" ht="26.25" customHeight="1">
      <c r="A14" s="13"/>
      <c r="B14" s="14" t="s">
        <v>49</v>
      </c>
      <c r="C14" s="15"/>
      <c r="D14" s="20" t="s">
        <v>20</v>
      </c>
      <c r="E14" s="20" t="s">
        <v>50</v>
      </c>
      <c r="F14" s="20" t="s">
        <v>27</v>
      </c>
      <c r="G14" s="23"/>
      <c r="H14" s="15"/>
      <c r="I14" s="15"/>
      <c r="J14" s="15"/>
      <c r="K14" s="15"/>
      <c r="L14" s="18"/>
      <c r="P14" s="18"/>
      <c r="Q14" s="18"/>
      <c r="R14" s="15"/>
      <c r="S14" s="15"/>
      <c r="T14" s="15"/>
      <c r="U14" s="15"/>
      <c r="V14" s="15"/>
      <c r="W14" s="15"/>
      <c r="X14" s="15"/>
      <c r="Y14" s="15"/>
      <c r="Z14" s="15"/>
    </row>
    <row r="15" ht="26.25" customHeight="1">
      <c r="A15" s="15"/>
      <c r="B15" s="14" t="s">
        <v>51</v>
      </c>
      <c r="C15" s="15"/>
      <c r="D15" s="20" t="s">
        <v>20</v>
      </c>
      <c r="E15" s="20" t="s">
        <v>52</v>
      </c>
      <c r="F15" s="20" t="s">
        <v>53</v>
      </c>
      <c r="G15" s="21" t="s">
        <v>54</v>
      </c>
      <c r="H15" s="15"/>
      <c r="I15" s="15"/>
      <c r="J15" s="15"/>
      <c r="K15" s="15"/>
      <c r="L15" s="18"/>
      <c r="P15" s="18"/>
      <c r="Q15" s="18"/>
      <c r="R15" s="15"/>
      <c r="S15" s="15"/>
      <c r="T15" s="15"/>
      <c r="U15" s="15"/>
      <c r="V15" s="15"/>
      <c r="W15" s="15"/>
      <c r="X15" s="15"/>
      <c r="Y15" s="15"/>
      <c r="Z15" s="15"/>
    </row>
    <row r="16" ht="26.25" customHeight="1">
      <c r="A16" s="15"/>
      <c r="B16" s="14" t="s">
        <v>55</v>
      </c>
      <c r="C16" s="15"/>
      <c r="D16" s="20" t="s">
        <v>20</v>
      </c>
      <c r="E16" s="20" t="s">
        <v>56</v>
      </c>
      <c r="F16" s="20" t="s">
        <v>27</v>
      </c>
      <c r="G16" s="21" t="s">
        <v>57</v>
      </c>
      <c r="H16" s="15"/>
      <c r="I16" s="15"/>
      <c r="J16" s="15"/>
      <c r="K16" s="15"/>
      <c r="L16" s="18"/>
      <c r="P16" s="18"/>
      <c r="Q16" s="18"/>
      <c r="R16" s="15"/>
      <c r="S16" s="15"/>
      <c r="T16" s="15"/>
      <c r="U16" s="15"/>
      <c r="V16" s="15"/>
      <c r="W16" s="15"/>
      <c r="X16" s="15"/>
      <c r="Y16" s="15"/>
      <c r="Z16" s="15"/>
    </row>
    <row r="17" ht="26.25" customHeight="1">
      <c r="A17" s="15"/>
      <c r="B17" s="14" t="s">
        <v>58</v>
      </c>
      <c r="C17" s="15"/>
      <c r="D17" s="20" t="s">
        <v>20</v>
      </c>
      <c r="E17" s="20" t="s">
        <v>59</v>
      </c>
      <c r="F17" s="20" t="s">
        <v>60</v>
      </c>
      <c r="G17" s="21" t="s">
        <v>61</v>
      </c>
      <c r="H17" s="15"/>
      <c r="I17" s="15"/>
      <c r="J17" s="15"/>
      <c r="K17" s="15"/>
      <c r="L17" s="18"/>
      <c r="P17" s="18"/>
      <c r="Q17" s="18"/>
      <c r="R17" s="15"/>
      <c r="S17" s="15"/>
      <c r="T17" s="15"/>
      <c r="U17" s="15"/>
      <c r="V17" s="15"/>
      <c r="W17" s="15"/>
      <c r="X17" s="15"/>
      <c r="Y17" s="15"/>
      <c r="Z17" s="15"/>
    </row>
    <row r="18" ht="26.25" customHeight="1">
      <c r="A18" s="15"/>
      <c r="B18" s="24"/>
      <c r="C18" s="15"/>
      <c r="D18" s="20" t="s">
        <v>20</v>
      </c>
      <c r="E18" s="20" t="s">
        <v>62</v>
      </c>
      <c r="F18" s="20" t="s">
        <v>27</v>
      </c>
      <c r="G18" s="21" t="s">
        <v>63</v>
      </c>
      <c r="H18" s="15"/>
      <c r="I18" s="15"/>
      <c r="J18" s="15"/>
      <c r="K18" s="15"/>
      <c r="L18" s="18"/>
      <c r="P18" s="18"/>
      <c r="Q18" s="18"/>
      <c r="R18" s="15"/>
      <c r="S18" s="15"/>
      <c r="T18" s="15"/>
      <c r="U18" s="15"/>
      <c r="V18" s="15"/>
      <c r="W18" s="15"/>
      <c r="X18" s="15"/>
      <c r="Y18" s="15"/>
      <c r="Z18" s="15"/>
    </row>
    <row r="19" ht="26.25" customHeight="1">
      <c r="A19" s="15"/>
      <c r="B19" s="15"/>
      <c r="C19" s="15"/>
      <c r="D19" s="20" t="s">
        <v>20</v>
      </c>
      <c r="E19" s="20" t="s">
        <v>64</v>
      </c>
      <c r="F19" s="20" t="s">
        <v>27</v>
      </c>
      <c r="G19" s="21" t="s">
        <v>65</v>
      </c>
      <c r="H19" s="15"/>
      <c r="I19" s="15"/>
      <c r="J19" s="15"/>
      <c r="K19" s="15"/>
      <c r="L19" s="18"/>
      <c r="P19" s="18"/>
      <c r="Q19" s="18"/>
      <c r="R19" s="15"/>
      <c r="S19" s="15"/>
      <c r="T19" s="15"/>
      <c r="U19" s="15"/>
      <c r="V19" s="15"/>
      <c r="W19" s="15"/>
      <c r="X19" s="15"/>
      <c r="Y19" s="15"/>
      <c r="Z19" s="15"/>
    </row>
    <row r="20" ht="26.25" customHeight="1">
      <c r="A20" s="15"/>
      <c r="B20" s="15"/>
      <c r="C20" s="15"/>
      <c r="D20" s="20" t="s">
        <v>20</v>
      </c>
      <c r="E20" s="20" t="s">
        <v>66</v>
      </c>
      <c r="F20" s="20" t="s">
        <v>67</v>
      </c>
      <c r="G20" s="21" t="s">
        <v>68</v>
      </c>
      <c r="H20" s="15"/>
      <c r="I20" s="15"/>
      <c r="J20" s="15"/>
      <c r="K20" s="15"/>
      <c r="L20" s="18"/>
      <c r="P20" s="18"/>
      <c r="Q20" s="18"/>
      <c r="R20" s="15"/>
      <c r="S20" s="15"/>
      <c r="T20" s="15"/>
      <c r="U20" s="15"/>
      <c r="V20" s="15"/>
      <c r="W20" s="15"/>
      <c r="X20" s="15"/>
      <c r="Y20" s="15"/>
      <c r="Z20" s="15"/>
    </row>
    <row r="21" ht="26.25" customHeight="1">
      <c r="A21" s="15"/>
      <c r="B21" s="15"/>
      <c r="C21" s="15"/>
      <c r="D21" s="25" t="s">
        <v>20</v>
      </c>
      <c r="E21" s="25" t="s">
        <v>69</v>
      </c>
      <c r="F21" s="25" t="s">
        <v>53</v>
      </c>
      <c r="G21" s="26"/>
      <c r="H21" s="15"/>
      <c r="I21" s="15"/>
      <c r="J21" s="15"/>
      <c r="K21" s="15"/>
      <c r="L21" s="18"/>
      <c r="P21" s="18"/>
      <c r="Q21" s="18"/>
      <c r="R21" s="15"/>
      <c r="S21" s="15"/>
      <c r="T21" s="15"/>
      <c r="U21" s="15"/>
      <c r="V21" s="15"/>
      <c r="W21" s="15"/>
      <c r="X21" s="15"/>
      <c r="Y21" s="15"/>
      <c r="Z21" s="15"/>
    </row>
    <row r="22" ht="26.25" customHeight="1">
      <c r="A22" s="15"/>
      <c r="B22" s="15"/>
      <c r="C22" s="15"/>
      <c r="D22" s="20" t="s">
        <v>20</v>
      </c>
      <c r="E22" s="20" t="s">
        <v>70</v>
      </c>
      <c r="F22" s="20" t="s">
        <v>71</v>
      </c>
      <c r="G22" s="21" t="s">
        <v>72</v>
      </c>
      <c r="H22" s="15"/>
      <c r="I22" s="15"/>
      <c r="J22" s="15"/>
      <c r="K22" s="15"/>
      <c r="L22" s="18"/>
      <c r="P22" s="18"/>
      <c r="Q22" s="18"/>
      <c r="R22" s="15"/>
      <c r="S22" s="15"/>
      <c r="T22" s="15"/>
      <c r="U22" s="15"/>
      <c r="V22" s="15"/>
      <c r="W22" s="15"/>
      <c r="X22" s="15"/>
      <c r="Y22" s="15"/>
      <c r="Z22" s="15"/>
    </row>
    <row r="23" ht="26.25" customHeight="1">
      <c r="A23" s="15"/>
      <c r="B23" s="15"/>
      <c r="C23" s="15"/>
      <c r="D23" s="20" t="s">
        <v>20</v>
      </c>
      <c r="E23" s="20" t="s">
        <v>73</v>
      </c>
      <c r="F23" s="20" t="s">
        <v>27</v>
      </c>
      <c r="G23" s="21" t="s">
        <v>74</v>
      </c>
      <c r="H23" s="15"/>
      <c r="I23" s="15"/>
      <c r="J23" s="15"/>
      <c r="K23" s="15"/>
      <c r="L23" s="18"/>
      <c r="P23" s="18"/>
      <c r="Q23" s="18"/>
      <c r="R23" s="15"/>
      <c r="S23" s="15"/>
      <c r="T23" s="15"/>
      <c r="U23" s="15"/>
      <c r="V23" s="15"/>
      <c r="W23" s="15"/>
      <c r="X23" s="15"/>
      <c r="Y23" s="15"/>
      <c r="Z23" s="15"/>
    </row>
    <row r="24" ht="26.25" customHeight="1">
      <c r="A24" s="15"/>
      <c r="B24" s="15"/>
      <c r="C24" s="15"/>
      <c r="D24" s="20" t="s">
        <v>20</v>
      </c>
      <c r="E24" s="20" t="s">
        <v>75</v>
      </c>
      <c r="F24" s="20" t="s">
        <v>27</v>
      </c>
      <c r="G24" s="21" t="s">
        <v>76</v>
      </c>
      <c r="H24" s="15"/>
      <c r="I24" s="15"/>
      <c r="J24" s="15"/>
      <c r="K24" s="15"/>
      <c r="L24" s="18"/>
      <c r="P24" s="18"/>
      <c r="Q24" s="18"/>
      <c r="R24" s="15"/>
      <c r="S24" s="15"/>
      <c r="T24" s="15"/>
      <c r="U24" s="15"/>
      <c r="V24" s="15"/>
      <c r="W24" s="15"/>
      <c r="X24" s="15"/>
      <c r="Y24" s="15"/>
      <c r="Z24" s="15"/>
    </row>
    <row r="25" ht="26.25" customHeight="1">
      <c r="A25" s="15"/>
      <c r="B25" s="15"/>
      <c r="C25" s="15"/>
      <c r="D25" s="20" t="s">
        <v>20</v>
      </c>
      <c r="E25" s="20" t="s">
        <v>77</v>
      </c>
      <c r="F25" s="20" t="s">
        <v>78</v>
      </c>
      <c r="G25" s="21" t="s">
        <v>79</v>
      </c>
      <c r="H25" s="15"/>
      <c r="I25" s="15"/>
      <c r="J25" s="15"/>
      <c r="K25" s="15"/>
      <c r="L25" s="18"/>
      <c r="P25" s="18"/>
      <c r="Q25" s="18"/>
      <c r="R25" s="15"/>
      <c r="S25" s="15"/>
      <c r="T25" s="15"/>
      <c r="U25" s="15"/>
      <c r="V25" s="15"/>
      <c r="W25" s="15"/>
      <c r="X25" s="15"/>
      <c r="Y25" s="15"/>
      <c r="Z25" s="15"/>
    </row>
    <row r="26" ht="26.25" customHeight="1">
      <c r="A26" s="15"/>
      <c r="B26" s="15"/>
      <c r="C26" s="15"/>
      <c r="D26" s="20" t="s">
        <v>20</v>
      </c>
      <c r="E26" s="20" t="s">
        <v>80</v>
      </c>
      <c r="F26" s="20" t="s">
        <v>81</v>
      </c>
      <c r="G26" s="21" t="s">
        <v>82</v>
      </c>
      <c r="H26" s="15"/>
      <c r="I26" s="15"/>
      <c r="J26" s="15"/>
      <c r="K26" s="15"/>
      <c r="L26" s="18"/>
      <c r="P26" s="18"/>
      <c r="Q26" s="18"/>
      <c r="R26" s="15"/>
      <c r="S26" s="15"/>
      <c r="T26" s="15"/>
      <c r="U26" s="15"/>
      <c r="V26" s="15"/>
      <c r="W26" s="15"/>
      <c r="X26" s="15"/>
      <c r="Y26" s="15"/>
      <c r="Z26" s="15"/>
    </row>
    <row r="27" ht="26.25" customHeight="1">
      <c r="A27" s="15"/>
      <c r="B27" s="15"/>
      <c r="C27" s="15"/>
      <c r="D27" s="20" t="s">
        <v>20</v>
      </c>
      <c r="E27" s="20" t="s">
        <v>83</v>
      </c>
      <c r="F27" s="20" t="s">
        <v>27</v>
      </c>
      <c r="G27" s="21" t="s">
        <v>84</v>
      </c>
      <c r="H27" s="15"/>
      <c r="I27" s="15"/>
      <c r="J27" s="15"/>
      <c r="K27" s="15"/>
      <c r="L27" s="18"/>
      <c r="P27" s="18"/>
      <c r="Q27" s="18"/>
      <c r="R27" s="15"/>
      <c r="S27" s="15"/>
      <c r="T27" s="15"/>
      <c r="U27" s="15"/>
      <c r="V27" s="15"/>
      <c r="W27" s="15"/>
      <c r="X27" s="15"/>
      <c r="Y27" s="15"/>
      <c r="Z27" s="15"/>
    </row>
    <row r="28" ht="26.25" customHeight="1">
      <c r="A28" s="15"/>
      <c r="B28" s="15"/>
      <c r="C28" s="15"/>
      <c r="D28" s="20" t="s">
        <v>20</v>
      </c>
      <c r="E28" s="20" t="s">
        <v>85</v>
      </c>
      <c r="F28" s="20" t="s">
        <v>86</v>
      </c>
      <c r="G28" s="21" t="s">
        <v>87</v>
      </c>
      <c r="H28" s="15"/>
      <c r="I28" s="15"/>
      <c r="J28" s="15"/>
      <c r="K28" s="15"/>
      <c r="L28" s="18"/>
      <c r="P28" s="18"/>
      <c r="Q28" s="18"/>
      <c r="R28" s="15"/>
      <c r="S28" s="15"/>
      <c r="T28" s="15"/>
      <c r="U28" s="15"/>
      <c r="V28" s="15"/>
      <c r="W28" s="15"/>
      <c r="X28" s="15"/>
      <c r="Y28" s="15"/>
      <c r="Z28" s="15"/>
    </row>
    <row r="29" ht="26.25" customHeight="1">
      <c r="A29" s="15"/>
      <c r="B29" s="15"/>
      <c r="C29" s="15"/>
      <c r="D29" s="20" t="s">
        <v>20</v>
      </c>
      <c r="E29" s="20" t="s">
        <v>88</v>
      </c>
      <c r="F29" s="20" t="s">
        <v>89</v>
      </c>
      <c r="G29" s="21" t="s">
        <v>90</v>
      </c>
      <c r="H29" s="15"/>
      <c r="I29" s="15"/>
      <c r="J29" s="15"/>
      <c r="K29" s="15"/>
      <c r="L29" s="18"/>
      <c r="P29" s="18"/>
      <c r="Q29" s="18"/>
      <c r="R29" s="15"/>
      <c r="S29" s="15"/>
      <c r="T29" s="15"/>
      <c r="U29" s="15"/>
      <c r="V29" s="15"/>
      <c r="W29" s="15"/>
      <c r="X29" s="15"/>
      <c r="Y29" s="15"/>
      <c r="Z29" s="15"/>
    </row>
    <row r="30" ht="26.25" customHeight="1">
      <c r="A30" s="15"/>
      <c r="B30" s="15"/>
      <c r="C30" s="15"/>
      <c r="D30" s="6" t="s">
        <v>20</v>
      </c>
      <c r="E30" s="6" t="s">
        <v>91</v>
      </c>
      <c r="F30" s="6" t="s">
        <v>92</v>
      </c>
      <c r="G30" s="22"/>
      <c r="H30" s="15"/>
      <c r="I30" s="15"/>
      <c r="J30" s="15"/>
      <c r="K30" s="15"/>
      <c r="L30" s="18"/>
      <c r="P30" s="18"/>
      <c r="Q30" s="18"/>
      <c r="R30" s="15"/>
      <c r="S30" s="15"/>
      <c r="T30" s="15"/>
      <c r="U30" s="15"/>
      <c r="V30" s="15"/>
      <c r="W30" s="15"/>
      <c r="X30" s="15"/>
      <c r="Y30" s="15"/>
      <c r="Z30" s="15"/>
    </row>
    <row r="31" ht="26.25" customHeight="1">
      <c r="A31" s="15"/>
      <c r="B31" s="15"/>
      <c r="C31" s="15"/>
      <c r="D31" s="20" t="s">
        <v>20</v>
      </c>
      <c r="E31" s="20" t="s">
        <v>93</v>
      </c>
      <c r="F31" s="20" t="s">
        <v>94</v>
      </c>
      <c r="G31" s="21" t="s">
        <v>95</v>
      </c>
      <c r="H31" s="15"/>
      <c r="I31" s="15"/>
      <c r="J31" s="15"/>
      <c r="K31" s="15"/>
      <c r="L31" s="18"/>
      <c r="P31" s="18"/>
      <c r="Q31" s="18"/>
      <c r="R31" s="15"/>
      <c r="S31" s="15"/>
      <c r="T31" s="15"/>
      <c r="U31" s="15"/>
      <c r="V31" s="15"/>
      <c r="W31" s="15"/>
      <c r="X31" s="15"/>
      <c r="Y31" s="15"/>
      <c r="Z31" s="15"/>
    </row>
    <row r="32" ht="26.25" customHeight="1">
      <c r="A32" s="15"/>
      <c r="B32" s="15"/>
      <c r="C32" s="15"/>
      <c r="D32" s="20" t="s">
        <v>20</v>
      </c>
      <c r="E32" s="20" t="s">
        <v>96</v>
      </c>
      <c r="F32" s="20" t="s">
        <v>97</v>
      </c>
      <c r="G32" s="21" t="s">
        <v>98</v>
      </c>
      <c r="H32" s="15"/>
      <c r="I32" s="15"/>
      <c r="J32" s="15"/>
      <c r="K32" s="15"/>
      <c r="L32" s="18"/>
      <c r="P32" s="18"/>
      <c r="Q32" s="18"/>
      <c r="R32" s="15"/>
      <c r="S32" s="15"/>
      <c r="T32" s="15"/>
      <c r="U32" s="15"/>
      <c r="V32" s="15"/>
      <c r="W32" s="15"/>
      <c r="X32" s="15"/>
      <c r="Y32" s="15"/>
      <c r="Z32" s="15"/>
    </row>
    <row r="33" ht="26.25" customHeight="1">
      <c r="A33" s="15"/>
      <c r="B33" s="15"/>
      <c r="C33" s="15"/>
      <c r="D33" s="20" t="s">
        <v>20</v>
      </c>
      <c r="E33" s="20" t="s">
        <v>99</v>
      </c>
      <c r="F33" s="20" t="s">
        <v>89</v>
      </c>
      <c r="G33" s="21" t="s">
        <v>100</v>
      </c>
      <c r="H33" s="15"/>
      <c r="I33" s="15"/>
      <c r="J33" s="15"/>
      <c r="K33" s="15"/>
      <c r="L33" s="18"/>
      <c r="P33" s="18"/>
      <c r="Q33" s="18"/>
      <c r="R33" s="15"/>
      <c r="S33" s="15"/>
      <c r="T33" s="15"/>
      <c r="U33" s="15"/>
      <c r="V33" s="15"/>
      <c r="W33" s="15"/>
      <c r="X33" s="15"/>
      <c r="Y33" s="15"/>
      <c r="Z33" s="15"/>
    </row>
    <row r="34" ht="26.25" customHeight="1">
      <c r="A34" s="15"/>
      <c r="B34" s="15"/>
      <c r="C34" s="15"/>
      <c r="D34" s="20" t="s">
        <v>20</v>
      </c>
      <c r="E34" s="20" t="s">
        <v>101</v>
      </c>
      <c r="F34" s="20" t="s">
        <v>102</v>
      </c>
      <c r="G34" s="21" t="s">
        <v>103</v>
      </c>
      <c r="H34" s="15"/>
      <c r="I34" s="15"/>
      <c r="J34" s="15"/>
      <c r="K34" s="15"/>
      <c r="L34" s="18"/>
      <c r="P34" s="18"/>
      <c r="Q34" s="18"/>
      <c r="R34" s="15"/>
      <c r="S34" s="15"/>
      <c r="T34" s="15"/>
      <c r="U34" s="15"/>
      <c r="V34" s="15"/>
      <c r="W34" s="15"/>
      <c r="X34" s="15"/>
      <c r="Y34" s="15"/>
      <c r="Z34" s="15"/>
    </row>
    <row r="35" ht="26.25" customHeight="1">
      <c r="A35" s="15"/>
      <c r="B35" s="15"/>
      <c r="C35" s="15"/>
      <c r="D35" s="20" t="s">
        <v>20</v>
      </c>
      <c r="E35" s="20" t="s">
        <v>104</v>
      </c>
      <c r="F35" s="20" t="s">
        <v>27</v>
      </c>
      <c r="G35" s="21" t="s">
        <v>105</v>
      </c>
      <c r="H35" s="15"/>
      <c r="I35" s="15"/>
      <c r="J35" s="15"/>
      <c r="K35" s="15"/>
      <c r="L35" s="18"/>
      <c r="P35" s="18"/>
      <c r="Q35" s="18"/>
      <c r="R35" s="15"/>
      <c r="S35" s="15"/>
      <c r="T35" s="15"/>
      <c r="U35" s="15"/>
      <c r="V35" s="15"/>
      <c r="W35" s="15"/>
      <c r="X35" s="15"/>
      <c r="Y35" s="15"/>
      <c r="Z35" s="15"/>
    </row>
    <row r="36" ht="26.25" customHeight="1">
      <c r="A36" s="15"/>
      <c r="B36" s="15"/>
      <c r="C36" s="15"/>
      <c r="D36" s="6" t="s">
        <v>20</v>
      </c>
      <c r="E36" s="6" t="s">
        <v>106</v>
      </c>
      <c r="F36" s="6" t="s">
        <v>107</v>
      </c>
      <c r="G36" s="22"/>
      <c r="H36" s="15"/>
      <c r="I36" s="15"/>
      <c r="J36" s="15"/>
      <c r="K36" s="15"/>
      <c r="L36" s="18"/>
      <c r="M36" s="18"/>
      <c r="N36" s="18"/>
      <c r="O36" s="18"/>
      <c r="P36" s="18"/>
      <c r="Q36" s="18"/>
      <c r="R36" s="15"/>
      <c r="S36" s="15"/>
      <c r="T36" s="15"/>
      <c r="U36" s="15"/>
      <c r="V36" s="15"/>
      <c r="W36" s="15"/>
      <c r="X36" s="15"/>
      <c r="Y36" s="15"/>
      <c r="Z36" s="15"/>
    </row>
    <row r="37" ht="26.25" customHeight="1">
      <c r="A37" s="15"/>
      <c r="B37" s="15"/>
      <c r="C37" s="15"/>
      <c r="D37" s="20" t="s">
        <v>20</v>
      </c>
      <c r="E37" s="20" t="s">
        <v>108</v>
      </c>
      <c r="F37" s="20" t="s">
        <v>109</v>
      </c>
      <c r="G37" s="21" t="s">
        <v>110</v>
      </c>
      <c r="H37" s="15"/>
      <c r="I37" s="15"/>
      <c r="J37" s="15"/>
      <c r="K37" s="15"/>
      <c r="L37" s="18"/>
      <c r="M37" s="18"/>
      <c r="N37" s="18"/>
      <c r="O37" s="18"/>
      <c r="P37" s="18"/>
      <c r="Q37" s="18"/>
      <c r="R37" s="15"/>
      <c r="S37" s="15"/>
      <c r="T37" s="15"/>
      <c r="U37" s="15"/>
      <c r="V37" s="15"/>
      <c r="W37" s="15"/>
      <c r="X37" s="15"/>
      <c r="Y37" s="15"/>
      <c r="Z37" s="15"/>
    </row>
    <row r="38" ht="26.25" customHeight="1">
      <c r="A38" s="15"/>
      <c r="B38" s="15"/>
      <c r="C38" s="15"/>
      <c r="D38" s="20" t="s">
        <v>20</v>
      </c>
      <c r="E38" s="20" t="s">
        <v>111</v>
      </c>
      <c r="F38" s="20" t="s">
        <v>102</v>
      </c>
      <c r="G38" s="21" t="s">
        <v>112</v>
      </c>
      <c r="H38" s="15"/>
      <c r="I38" s="15"/>
      <c r="J38" s="15"/>
      <c r="K38" s="15"/>
      <c r="L38" s="18"/>
      <c r="M38" s="18"/>
      <c r="N38" s="18"/>
      <c r="O38" s="18"/>
      <c r="P38" s="18"/>
      <c r="Q38" s="18"/>
      <c r="R38" s="15"/>
      <c r="S38" s="15"/>
      <c r="T38" s="15"/>
      <c r="U38" s="15"/>
      <c r="V38" s="15"/>
      <c r="W38" s="15"/>
      <c r="X38" s="15"/>
      <c r="Y38" s="15"/>
      <c r="Z38" s="15"/>
    </row>
    <row r="39" ht="26.25" customHeight="1">
      <c r="A39" s="15"/>
      <c r="B39" s="15"/>
      <c r="C39" s="15"/>
      <c r="D39" s="20" t="s">
        <v>20</v>
      </c>
      <c r="E39" s="20" t="s">
        <v>113</v>
      </c>
      <c r="F39" s="20" t="s">
        <v>114</v>
      </c>
      <c r="G39" s="21" t="s">
        <v>115</v>
      </c>
      <c r="H39" s="15"/>
      <c r="I39" s="15"/>
      <c r="J39" s="15"/>
      <c r="K39" s="15"/>
      <c r="L39" s="18"/>
      <c r="M39" s="18"/>
      <c r="N39" s="18"/>
      <c r="O39" s="18"/>
      <c r="P39" s="18"/>
      <c r="Q39" s="18"/>
      <c r="R39" s="15"/>
      <c r="S39" s="15"/>
      <c r="T39" s="15"/>
      <c r="U39" s="15"/>
      <c r="V39" s="15"/>
      <c r="W39" s="15"/>
      <c r="X39" s="15"/>
      <c r="Y39" s="15"/>
      <c r="Z39" s="15"/>
    </row>
    <row r="40" ht="26.25" customHeight="1">
      <c r="A40" s="15"/>
      <c r="B40" s="15"/>
      <c r="C40" s="15"/>
      <c r="D40" s="20" t="s">
        <v>20</v>
      </c>
      <c r="E40" s="20" t="s">
        <v>116</v>
      </c>
      <c r="F40" s="20" t="s">
        <v>117</v>
      </c>
      <c r="G40" s="21" t="s">
        <v>118</v>
      </c>
      <c r="H40" s="15"/>
      <c r="I40" s="15"/>
      <c r="J40" s="15"/>
      <c r="K40" s="15"/>
      <c r="L40" s="18"/>
      <c r="M40" s="18"/>
      <c r="N40" s="18"/>
      <c r="O40" s="18"/>
      <c r="P40" s="18"/>
      <c r="Q40" s="18"/>
      <c r="R40" s="15"/>
      <c r="S40" s="15"/>
      <c r="T40" s="15"/>
      <c r="U40" s="15"/>
      <c r="V40" s="15"/>
      <c r="W40" s="15"/>
      <c r="X40" s="15"/>
      <c r="Y40" s="15"/>
      <c r="Z40" s="15"/>
    </row>
    <row r="41" ht="26.25" customHeight="1">
      <c r="A41" s="15"/>
      <c r="B41" s="15"/>
      <c r="C41" s="15"/>
      <c r="D41" s="20" t="s">
        <v>20</v>
      </c>
      <c r="E41" s="20" t="s">
        <v>119</v>
      </c>
      <c r="F41" s="20" t="s">
        <v>120</v>
      </c>
      <c r="G41" s="21" t="s">
        <v>121</v>
      </c>
      <c r="H41" s="15"/>
      <c r="I41" s="15"/>
      <c r="J41" s="15"/>
      <c r="K41" s="15"/>
      <c r="L41" s="18"/>
      <c r="M41" s="18"/>
      <c r="N41" s="18"/>
      <c r="O41" s="18"/>
      <c r="P41" s="18"/>
      <c r="Q41" s="18"/>
      <c r="R41" s="15"/>
      <c r="S41" s="15"/>
      <c r="T41" s="15"/>
      <c r="U41" s="15"/>
      <c r="V41" s="15"/>
      <c r="W41" s="15"/>
      <c r="X41" s="15"/>
      <c r="Y41" s="15"/>
      <c r="Z41" s="15"/>
    </row>
    <row r="42" ht="26.25" customHeight="1">
      <c r="A42" s="15"/>
      <c r="B42" s="15"/>
      <c r="C42" s="15"/>
      <c r="D42" s="20" t="s">
        <v>20</v>
      </c>
      <c r="E42" s="20" t="s">
        <v>122</v>
      </c>
      <c r="F42" s="20" t="s">
        <v>123</v>
      </c>
      <c r="G42" s="21" t="s">
        <v>124</v>
      </c>
      <c r="H42" s="15"/>
      <c r="I42" s="15"/>
      <c r="J42" s="15"/>
      <c r="K42" s="15"/>
      <c r="L42" s="18"/>
      <c r="M42" s="18"/>
      <c r="N42" s="18"/>
      <c r="O42" s="18"/>
      <c r="P42" s="18"/>
      <c r="Q42" s="18"/>
      <c r="R42" s="15"/>
      <c r="S42" s="15"/>
      <c r="T42" s="15"/>
      <c r="U42" s="15"/>
      <c r="V42" s="15"/>
      <c r="W42" s="15"/>
      <c r="X42" s="15"/>
      <c r="Y42" s="15"/>
      <c r="Z42" s="15"/>
    </row>
    <row r="43" ht="26.25" customHeight="1">
      <c r="A43" s="15"/>
      <c r="B43" s="15"/>
      <c r="C43" s="15"/>
      <c r="D43" s="20" t="s">
        <v>20</v>
      </c>
      <c r="E43" s="20" t="s">
        <v>125</v>
      </c>
      <c r="F43" s="20" t="s">
        <v>126</v>
      </c>
      <c r="G43" s="21" t="s">
        <v>127</v>
      </c>
      <c r="H43" s="15"/>
      <c r="I43" s="15"/>
      <c r="J43" s="15"/>
      <c r="K43" s="15"/>
      <c r="L43" s="18"/>
      <c r="M43" s="18"/>
      <c r="N43" s="18"/>
      <c r="O43" s="18"/>
      <c r="P43" s="18"/>
      <c r="Q43" s="18"/>
      <c r="R43" s="15"/>
      <c r="S43" s="15"/>
      <c r="T43" s="15"/>
      <c r="U43" s="15"/>
      <c r="V43" s="15"/>
      <c r="W43" s="15"/>
      <c r="X43" s="15"/>
      <c r="Y43" s="15"/>
      <c r="Z43" s="15"/>
    </row>
    <row r="44" ht="26.25" customHeight="1">
      <c r="A44" s="15"/>
      <c r="B44" s="15"/>
      <c r="C44" s="15"/>
      <c r="D44" s="20" t="s">
        <v>20</v>
      </c>
      <c r="E44" s="20" t="s">
        <v>128</v>
      </c>
      <c r="F44" s="20" t="s">
        <v>129</v>
      </c>
      <c r="G44" s="21" t="s">
        <v>130</v>
      </c>
      <c r="H44" s="15"/>
      <c r="I44" s="15"/>
      <c r="J44" s="15"/>
      <c r="K44" s="15"/>
      <c r="L44" s="18"/>
      <c r="M44" s="18"/>
      <c r="N44" s="18"/>
      <c r="O44" s="18"/>
      <c r="P44" s="18"/>
      <c r="Q44" s="18"/>
      <c r="R44" s="15"/>
      <c r="S44" s="15"/>
      <c r="T44" s="15"/>
      <c r="U44" s="15"/>
      <c r="V44" s="15"/>
      <c r="W44" s="15"/>
      <c r="X44" s="15"/>
      <c r="Y44" s="15"/>
      <c r="Z44" s="15"/>
    </row>
    <row r="45" ht="26.25" customHeight="1">
      <c r="A45" s="15"/>
      <c r="B45" s="15"/>
      <c r="C45" s="15"/>
      <c r="D45" s="20" t="s">
        <v>20</v>
      </c>
      <c r="E45" s="20" t="s">
        <v>131</v>
      </c>
      <c r="F45" s="20" t="s">
        <v>132</v>
      </c>
      <c r="G45" s="21" t="s">
        <v>133</v>
      </c>
      <c r="H45" s="15"/>
      <c r="I45" s="15"/>
      <c r="J45" s="15"/>
      <c r="K45" s="15"/>
      <c r="L45" s="18"/>
      <c r="M45" s="18"/>
      <c r="N45" s="18"/>
      <c r="O45" s="18"/>
      <c r="P45" s="18"/>
      <c r="Q45" s="18"/>
      <c r="R45" s="15"/>
      <c r="S45" s="15"/>
      <c r="T45" s="15"/>
      <c r="U45" s="15"/>
      <c r="V45" s="15"/>
      <c r="W45" s="15"/>
      <c r="X45" s="15"/>
      <c r="Y45" s="15"/>
      <c r="Z45" s="15"/>
    </row>
    <row r="46" ht="26.25" customHeight="1">
      <c r="A46" s="15"/>
      <c r="B46" s="15"/>
      <c r="C46" s="15"/>
      <c r="D46" s="20" t="s">
        <v>20</v>
      </c>
      <c r="E46" s="20" t="s">
        <v>134</v>
      </c>
      <c r="F46" s="20" t="s">
        <v>135</v>
      </c>
      <c r="G46" s="21" t="s">
        <v>136</v>
      </c>
      <c r="H46" s="15"/>
      <c r="I46" s="15"/>
      <c r="J46" s="15"/>
      <c r="K46" s="15"/>
      <c r="L46" s="18"/>
      <c r="M46" s="18"/>
      <c r="N46" s="18"/>
      <c r="O46" s="18"/>
      <c r="P46" s="18"/>
      <c r="Q46" s="18"/>
      <c r="R46" s="15"/>
      <c r="S46" s="15"/>
      <c r="T46" s="15"/>
      <c r="U46" s="15"/>
      <c r="V46" s="15"/>
      <c r="W46" s="15"/>
      <c r="X46" s="15"/>
      <c r="Y46" s="15"/>
      <c r="Z46" s="15"/>
    </row>
    <row r="47" ht="26.25" customHeight="1">
      <c r="A47" s="15"/>
      <c r="B47" s="15"/>
      <c r="C47" s="15"/>
      <c r="D47" s="20" t="s">
        <v>20</v>
      </c>
      <c r="E47" s="20" t="s">
        <v>137</v>
      </c>
      <c r="F47" s="20" t="s">
        <v>138</v>
      </c>
      <c r="G47" s="21" t="s">
        <v>139</v>
      </c>
      <c r="H47" s="15"/>
      <c r="I47" s="15"/>
      <c r="J47" s="15"/>
      <c r="K47" s="15"/>
      <c r="L47" s="18"/>
      <c r="M47" s="18"/>
      <c r="N47" s="18"/>
      <c r="O47" s="18"/>
      <c r="P47" s="18"/>
      <c r="Q47" s="18"/>
      <c r="R47" s="15"/>
      <c r="S47" s="15"/>
      <c r="T47" s="15"/>
      <c r="U47" s="15"/>
      <c r="V47" s="15"/>
      <c r="W47" s="15"/>
      <c r="X47" s="15"/>
      <c r="Y47" s="15"/>
      <c r="Z47" s="15"/>
    </row>
    <row r="48" ht="26.25" customHeight="1">
      <c r="A48" s="15"/>
      <c r="B48" s="15"/>
      <c r="C48" s="15"/>
      <c r="D48" s="20" t="s">
        <v>20</v>
      </c>
      <c r="E48" s="20" t="s">
        <v>140</v>
      </c>
      <c r="F48" s="20" t="s">
        <v>141</v>
      </c>
      <c r="G48" s="21" t="s">
        <v>142</v>
      </c>
      <c r="H48" s="15"/>
      <c r="I48" s="15"/>
      <c r="J48" s="15"/>
      <c r="K48" s="15"/>
      <c r="L48" s="18"/>
      <c r="M48" s="18"/>
      <c r="N48" s="18"/>
      <c r="O48" s="18"/>
      <c r="P48" s="18"/>
      <c r="Q48" s="18"/>
      <c r="R48" s="15"/>
      <c r="S48" s="15"/>
      <c r="T48" s="15"/>
      <c r="U48" s="15"/>
      <c r="V48" s="15"/>
      <c r="W48" s="15"/>
      <c r="X48" s="15"/>
      <c r="Y48" s="15"/>
      <c r="Z48" s="15"/>
    </row>
    <row r="49" ht="26.25" customHeight="1">
      <c r="A49" s="15"/>
      <c r="B49" s="15"/>
      <c r="C49" s="15"/>
      <c r="D49" s="6" t="s">
        <v>20</v>
      </c>
      <c r="E49" s="6" t="s">
        <v>143</v>
      </c>
      <c r="F49" s="6" t="s">
        <v>144</v>
      </c>
      <c r="G49" s="22"/>
      <c r="H49" s="15"/>
      <c r="I49" s="15"/>
      <c r="J49" s="15"/>
      <c r="K49" s="15"/>
      <c r="L49" s="18"/>
      <c r="M49" s="18"/>
      <c r="N49" s="18"/>
      <c r="O49" s="18"/>
      <c r="P49" s="18"/>
      <c r="Q49" s="18"/>
      <c r="R49" s="15"/>
      <c r="S49" s="15"/>
      <c r="T49" s="15"/>
      <c r="U49" s="15"/>
      <c r="V49" s="15"/>
      <c r="W49" s="15"/>
      <c r="X49" s="15"/>
      <c r="Y49" s="15"/>
      <c r="Z49" s="15"/>
    </row>
    <row r="50" ht="26.25" customHeight="1">
      <c r="A50" s="15"/>
      <c r="B50" s="15"/>
      <c r="C50" s="15"/>
      <c r="D50" s="20" t="s">
        <v>20</v>
      </c>
      <c r="E50" s="20" t="s">
        <v>145</v>
      </c>
      <c r="F50" s="20" t="s">
        <v>146</v>
      </c>
      <c r="G50" s="21" t="s">
        <v>147</v>
      </c>
      <c r="H50" s="15"/>
      <c r="I50" s="15"/>
      <c r="J50" s="15"/>
      <c r="K50" s="15"/>
      <c r="L50" s="18"/>
      <c r="M50" s="18"/>
      <c r="N50" s="18"/>
      <c r="O50" s="18"/>
      <c r="P50" s="18"/>
      <c r="Q50" s="18"/>
      <c r="R50" s="15"/>
      <c r="S50" s="15"/>
      <c r="T50" s="15"/>
      <c r="U50" s="15"/>
      <c r="V50" s="15"/>
      <c r="W50" s="15"/>
      <c r="X50" s="15"/>
      <c r="Y50" s="15"/>
      <c r="Z50" s="15"/>
    </row>
    <row r="51" ht="26.25" customHeight="1">
      <c r="A51" s="15"/>
      <c r="B51" s="15"/>
      <c r="C51" s="15"/>
      <c r="D51" s="20" t="s">
        <v>20</v>
      </c>
      <c r="E51" s="20" t="s">
        <v>148</v>
      </c>
      <c r="F51" s="20" t="s">
        <v>149</v>
      </c>
      <c r="G51" s="21" t="s">
        <v>150</v>
      </c>
      <c r="H51" s="15"/>
      <c r="I51" s="15"/>
      <c r="J51" s="15"/>
      <c r="K51" s="15"/>
      <c r="L51" s="18"/>
      <c r="M51" s="18"/>
      <c r="N51" s="18"/>
      <c r="O51" s="18"/>
      <c r="P51" s="18"/>
      <c r="Q51" s="18"/>
      <c r="R51" s="15"/>
      <c r="S51" s="15"/>
      <c r="T51" s="15"/>
      <c r="U51" s="15"/>
      <c r="V51" s="15"/>
      <c r="W51" s="15"/>
      <c r="X51" s="15"/>
      <c r="Y51" s="15"/>
      <c r="Z51" s="15"/>
    </row>
    <row r="52" ht="26.25" customHeight="1">
      <c r="A52" s="15"/>
      <c r="B52" s="15"/>
      <c r="C52" s="15"/>
      <c r="D52" s="20" t="s">
        <v>20</v>
      </c>
      <c r="E52" s="20" t="s">
        <v>151</v>
      </c>
      <c r="F52" s="20" t="s">
        <v>152</v>
      </c>
      <c r="G52" s="21" t="s">
        <v>153</v>
      </c>
      <c r="H52" s="15"/>
      <c r="I52" s="15"/>
      <c r="J52" s="15"/>
      <c r="K52" s="15"/>
      <c r="L52" s="18"/>
      <c r="M52" s="18"/>
      <c r="N52" s="18"/>
      <c r="O52" s="18"/>
      <c r="P52" s="18"/>
      <c r="Q52" s="18"/>
      <c r="R52" s="15"/>
      <c r="S52" s="15"/>
      <c r="T52" s="15"/>
      <c r="U52" s="15"/>
      <c r="V52" s="15"/>
      <c r="W52" s="15"/>
      <c r="X52" s="15"/>
      <c r="Y52" s="15"/>
      <c r="Z52" s="15"/>
    </row>
    <row r="53" ht="26.25" customHeight="1">
      <c r="A53" s="15"/>
      <c r="B53" s="15"/>
      <c r="C53" s="15"/>
      <c r="D53" s="20" t="s">
        <v>20</v>
      </c>
      <c r="E53" s="20" t="s">
        <v>154</v>
      </c>
      <c r="F53" s="20" t="s">
        <v>109</v>
      </c>
      <c r="G53" s="21" t="s">
        <v>155</v>
      </c>
      <c r="H53" s="15"/>
      <c r="I53" s="15"/>
      <c r="J53" s="15"/>
      <c r="K53" s="15"/>
      <c r="L53" s="18"/>
      <c r="M53" s="18"/>
      <c r="N53" s="18"/>
      <c r="O53" s="18"/>
      <c r="P53" s="18"/>
      <c r="Q53" s="18"/>
      <c r="R53" s="15"/>
      <c r="S53" s="15"/>
      <c r="T53" s="15"/>
      <c r="U53" s="15"/>
      <c r="V53" s="15"/>
      <c r="W53" s="15"/>
      <c r="X53" s="15"/>
      <c r="Y53" s="15"/>
      <c r="Z53" s="15"/>
    </row>
    <row r="54" ht="26.25" customHeight="1">
      <c r="A54" s="15"/>
      <c r="B54" s="15"/>
      <c r="C54" s="15"/>
      <c r="D54" s="20" t="s">
        <v>20</v>
      </c>
      <c r="E54" s="20" t="s">
        <v>156</v>
      </c>
      <c r="F54" s="20" t="s">
        <v>157</v>
      </c>
      <c r="G54" s="21" t="s">
        <v>158</v>
      </c>
      <c r="H54" s="15"/>
      <c r="I54" s="15"/>
      <c r="J54" s="15"/>
      <c r="K54" s="15"/>
      <c r="L54" s="18"/>
      <c r="M54" s="18"/>
      <c r="N54" s="18"/>
      <c r="O54" s="18"/>
      <c r="P54" s="18"/>
      <c r="Q54" s="18"/>
      <c r="R54" s="15"/>
      <c r="S54" s="15"/>
      <c r="T54" s="15"/>
      <c r="U54" s="15"/>
      <c r="V54" s="15"/>
      <c r="W54" s="15"/>
      <c r="X54" s="15"/>
      <c r="Y54" s="15"/>
      <c r="Z54" s="15"/>
    </row>
    <row r="55" ht="26.25" customHeight="1">
      <c r="A55" s="15"/>
      <c r="B55" s="15"/>
      <c r="C55" s="15"/>
      <c r="D55" s="20" t="s">
        <v>20</v>
      </c>
      <c r="E55" s="20" t="s">
        <v>159</v>
      </c>
      <c r="F55" s="20" t="s">
        <v>157</v>
      </c>
      <c r="G55" s="21" t="s">
        <v>160</v>
      </c>
      <c r="H55" s="15"/>
      <c r="I55" s="15"/>
      <c r="J55" s="15"/>
      <c r="K55" s="15"/>
      <c r="L55" s="18"/>
      <c r="M55" s="18"/>
      <c r="N55" s="18"/>
      <c r="O55" s="18"/>
      <c r="P55" s="18"/>
      <c r="Q55" s="18"/>
      <c r="R55" s="15"/>
      <c r="S55" s="15"/>
      <c r="T55" s="15"/>
      <c r="U55" s="15"/>
      <c r="V55" s="15"/>
      <c r="W55" s="15"/>
      <c r="X55" s="15"/>
      <c r="Y55" s="15"/>
      <c r="Z55" s="15"/>
    </row>
    <row r="56" ht="26.25" customHeight="1">
      <c r="A56" s="15"/>
      <c r="B56" s="15"/>
      <c r="C56" s="15"/>
      <c r="D56" s="6" t="s">
        <v>20</v>
      </c>
      <c r="E56" s="6" t="s">
        <v>161</v>
      </c>
      <c r="F56" s="6" t="s">
        <v>162</v>
      </c>
      <c r="G56" s="22"/>
      <c r="H56" s="15"/>
      <c r="I56" s="15"/>
      <c r="J56" s="15"/>
      <c r="K56" s="15"/>
      <c r="L56" s="18"/>
      <c r="M56" s="18"/>
      <c r="N56" s="18"/>
      <c r="O56" s="18"/>
      <c r="P56" s="18"/>
      <c r="Q56" s="18"/>
      <c r="R56" s="15"/>
      <c r="S56" s="15"/>
      <c r="T56" s="15"/>
      <c r="U56" s="15"/>
      <c r="V56" s="15"/>
      <c r="W56" s="15"/>
      <c r="X56" s="15"/>
      <c r="Y56" s="15"/>
      <c r="Z56" s="15"/>
    </row>
    <row r="57" ht="26.25" customHeight="1">
      <c r="A57" s="15"/>
      <c r="B57" s="15"/>
      <c r="C57" s="15"/>
      <c r="D57" s="20" t="s">
        <v>20</v>
      </c>
      <c r="E57" s="20" t="s">
        <v>163</v>
      </c>
      <c r="F57" s="20" t="s">
        <v>164</v>
      </c>
      <c r="G57" s="21" t="s">
        <v>165</v>
      </c>
      <c r="H57" s="15"/>
      <c r="I57" s="15"/>
      <c r="J57" s="15"/>
      <c r="K57" s="15"/>
      <c r="L57" s="18"/>
      <c r="M57" s="18"/>
      <c r="N57" s="18"/>
      <c r="O57" s="18"/>
      <c r="P57" s="18"/>
      <c r="Q57" s="18"/>
      <c r="R57" s="15"/>
      <c r="S57" s="15"/>
      <c r="T57" s="15"/>
      <c r="U57" s="15"/>
      <c r="V57" s="15"/>
      <c r="W57" s="15"/>
      <c r="X57" s="15"/>
      <c r="Y57" s="15"/>
      <c r="Z57" s="15"/>
    </row>
    <row r="58" ht="26.25" customHeight="1">
      <c r="A58" s="15"/>
      <c r="B58" s="15"/>
      <c r="C58" s="15"/>
      <c r="D58" s="20" t="s">
        <v>20</v>
      </c>
      <c r="E58" s="20" t="s">
        <v>166</v>
      </c>
      <c r="F58" s="20" t="s">
        <v>167</v>
      </c>
      <c r="G58" s="21" t="s">
        <v>168</v>
      </c>
      <c r="H58" s="15"/>
      <c r="I58" s="15"/>
      <c r="J58" s="15"/>
      <c r="K58" s="15"/>
      <c r="L58" s="18"/>
      <c r="M58" s="18"/>
      <c r="N58" s="18"/>
      <c r="O58" s="18"/>
      <c r="P58" s="18"/>
      <c r="Q58" s="18"/>
      <c r="R58" s="15"/>
      <c r="S58" s="15"/>
      <c r="T58" s="15"/>
      <c r="U58" s="15"/>
      <c r="V58" s="15"/>
      <c r="W58" s="15"/>
      <c r="X58" s="15"/>
      <c r="Y58" s="15"/>
      <c r="Z58" s="15"/>
    </row>
    <row r="59" ht="26.25" customHeight="1">
      <c r="A59" s="15"/>
      <c r="B59" s="15"/>
      <c r="C59" s="15"/>
      <c r="D59" s="20" t="s">
        <v>20</v>
      </c>
      <c r="E59" s="20" t="s">
        <v>169</v>
      </c>
      <c r="F59" s="20" t="s">
        <v>170</v>
      </c>
      <c r="G59" s="21" t="s">
        <v>171</v>
      </c>
      <c r="H59" s="15"/>
      <c r="I59" s="15"/>
      <c r="J59" s="15"/>
      <c r="K59" s="15"/>
      <c r="L59" s="18"/>
      <c r="M59" s="18"/>
      <c r="N59" s="18"/>
      <c r="O59" s="18"/>
      <c r="P59" s="18"/>
      <c r="Q59" s="18"/>
      <c r="R59" s="15"/>
      <c r="S59" s="15"/>
      <c r="T59" s="15"/>
      <c r="U59" s="15"/>
      <c r="V59" s="15"/>
      <c r="W59" s="15"/>
      <c r="X59" s="15"/>
      <c r="Y59" s="15"/>
      <c r="Z59" s="15"/>
    </row>
    <row r="60" ht="26.25" customHeight="1">
      <c r="A60" s="15"/>
      <c r="B60" s="15"/>
      <c r="C60" s="15"/>
      <c r="D60" s="20" t="s">
        <v>20</v>
      </c>
      <c r="E60" s="20" t="s">
        <v>172</v>
      </c>
      <c r="F60" s="20" t="s">
        <v>173</v>
      </c>
      <c r="G60" s="21" t="s">
        <v>174</v>
      </c>
      <c r="H60" s="15"/>
      <c r="I60" s="15"/>
      <c r="J60" s="15"/>
      <c r="K60" s="15"/>
      <c r="L60" s="18"/>
      <c r="M60" s="18"/>
      <c r="N60" s="18"/>
      <c r="O60" s="18"/>
      <c r="P60" s="18"/>
      <c r="Q60" s="18"/>
      <c r="R60" s="15"/>
      <c r="S60" s="15"/>
      <c r="T60" s="15"/>
      <c r="U60" s="15"/>
      <c r="V60" s="15"/>
      <c r="W60" s="15"/>
      <c r="X60" s="15"/>
      <c r="Y60" s="15"/>
      <c r="Z60" s="15"/>
    </row>
    <row r="61" ht="26.25" customHeight="1">
      <c r="A61" s="15"/>
      <c r="B61" s="15"/>
      <c r="C61" s="15"/>
      <c r="D61" s="20" t="s">
        <v>20</v>
      </c>
      <c r="E61" s="20" t="s">
        <v>175</v>
      </c>
      <c r="F61" s="20" t="s">
        <v>176</v>
      </c>
      <c r="G61" s="21" t="s">
        <v>177</v>
      </c>
      <c r="H61" s="15"/>
      <c r="I61" s="15"/>
      <c r="J61" s="15"/>
      <c r="K61" s="15"/>
      <c r="L61" s="18"/>
      <c r="M61" s="18"/>
      <c r="N61" s="18"/>
      <c r="O61" s="18"/>
      <c r="P61" s="18"/>
      <c r="Q61" s="18"/>
      <c r="R61" s="15"/>
      <c r="S61" s="15"/>
      <c r="T61" s="15"/>
      <c r="U61" s="15"/>
      <c r="V61" s="15"/>
      <c r="W61" s="15"/>
      <c r="X61" s="15"/>
      <c r="Y61" s="15"/>
      <c r="Z61" s="15"/>
    </row>
    <row r="62" ht="26.25" customHeight="1">
      <c r="A62" s="15"/>
      <c r="B62" s="15"/>
      <c r="C62" s="15"/>
      <c r="D62" s="20" t="s">
        <v>20</v>
      </c>
      <c r="E62" s="20" t="s">
        <v>178</v>
      </c>
      <c r="F62" s="20" t="s">
        <v>179</v>
      </c>
      <c r="G62" s="21" t="s">
        <v>180</v>
      </c>
      <c r="H62" s="15"/>
      <c r="I62" s="15"/>
      <c r="J62" s="15"/>
      <c r="K62" s="15"/>
      <c r="L62" s="18"/>
      <c r="M62" s="18"/>
      <c r="N62" s="18"/>
      <c r="O62" s="18"/>
      <c r="P62" s="18"/>
      <c r="Q62" s="18"/>
      <c r="R62" s="15"/>
      <c r="S62" s="15"/>
      <c r="T62" s="15"/>
      <c r="U62" s="15"/>
      <c r="V62" s="15"/>
      <c r="W62" s="15"/>
      <c r="X62" s="15"/>
      <c r="Y62" s="15"/>
      <c r="Z62" s="15"/>
    </row>
    <row r="63" ht="26.25" customHeight="1">
      <c r="A63" s="15"/>
      <c r="B63" s="15"/>
      <c r="C63" s="15"/>
      <c r="D63" s="20" t="s">
        <v>20</v>
      </c>
      <c r="E63" s="20" t="s">
        <v>181</v>
      </c>
      <c r="F63" s="20" t="s">
        <v>182</v>
      </c>
      <c r="G63" s="21" t="s">
        <v>183</v>
      </c>
      <c r="H63" s="15"/>
      <c r="I63" s="15"/>
      <c r="J63" s="15"/>
      <c r="K63" s="15"/>
      <c r="L63" s="18"/>
      <c r="M63" s="18"/>
      <c r="N63" s="18"/>
      <c r="O63" s="18"/>
      <c r="P63" s="18"/>
      <c r="Q63" s="18"/>
      <c r="R63" s="15"/>
      <c r="S63" s="15"/>
      <c r="T63" s="15"/>
      <c r="U63" s="15"/>
      <c r="V63" s="15"/>
      <c r="W63" s="15"/>
      <c r="X63" s="15"/>
      <c r="Y63" s="15"/>
      <c r="Z63" s="15"/>
    </row>
    <row r="64" ht="26.25" customHeight="1">
      <c r="A64" s="15"/>
      <c r="B64" s="15"/>
      <c r="C64" s="15"/>
      <c r="D64" s="20" t="s">
        <v>20</v>
      </c>
      <c r="E64" s="20" t="s">
        <v>184</v>
      </c>
      <c r="F64" s="20" t="s">
        <v>182</v>
      </c>
      <c r="G64" s="21" t="s">
        <v>185</v>
      </c>
      <c r="H64" s="15"/>
      <c r="I64" s="15"/>
      <c r="J64" s="15"/>
      <c r="K64" s="15"/>
      <c r="L64" s="18"/>
      <c r="M64" s="18"/>
      <c r="N64" s="18"/>
      <c r="O64" s="18"/>
      <c r="P64" s="18"/>
      <c r="Q64" s="18"/>
      <c r="R64" s="15"/>
      <c r="S64" s="15"/>
      <c r="T64" s="15"/>
      <c r="U64" s="15"/>
      <c r="V64" s="15"/>
      <c r="W64" s="15"/>
      <c r="X64" s="15"/>
      <c r="Y64" s="15"/>
      <c r="Z64" s="15"/>
    </row>
    <row r="65" ht="26.25" customHeight="1">
      <c r="A65" s="15"/>
      <c r="B65" s="15"/>
      <c r="C65" s="15"/>
      <c r="D65" s="20" t="s">
        <v>20</v>
      </c>
      <c r="E65" s="20" t="s">
        <v>186</v>
      </c>
      <c r="F65" s="20" t="s">
        <v>152</v>
      </c>
      <c r="G65" s="21" t="s">
        <v>187</v>
      </c>
      <c r="H65" s="15"/>
      <c r="I65" s="15"/>
      <c r="J65" s="15"/>
      <c r="K65" s="15"/>
      <c r="L65" s="18"/>
      <c r="M65" s="18"/>
      <c r="N65" s="18"/>
      <c r="O65" s="18"/>
      <c r="P65" s="18"/>
      <c r="Q65" s="18"/>
      <c r="R65" s="15"/>
      <c r="S65" s="15"/>
      <c r="T65" s="15"/>
      <c r="U65" s="15"/>
      <c r="V65" s="15"/>
      <c r="W65" s="15"/>
      <c r="X65" s="15"/>
      <c r="Y65" s="15"/>
      <c r="Z65" s="15"/>
    </row>
    <row r="66" ht="26.25" customHeight="1">
      <c r="A66" s="15"/>
      <c r="B66" s="15"/>
      <c r="C66" s="15"/>
      <c r="D66" s="20" t="s">
        <v>20</v>
      </c>
      <c r="E66" s="20" t="s">
        <v>188</v>
      </c>
      <c r="F66" s="20" t="s">
        <v>189</v>
      </c>
      <c r="G66" s="21" t="s">
        <v>190</v>
      </c>
      <c r="H66" s="15"/>
      <c r="I66" s="15"/>
      <c r="J66" s="15"/>
      <c r="K66" s="15"/>
      <c r="L66" s="18"/>
      <c r="M66" s="18"/>
      <c r="N66" s="18"/>
      <c r="O66" s="18"/>
      <c r="P66" s="18"/>
      <c r="Q66" s="18"/>
      <c r="R66" s="15"/>
      <c r="S66" s="15"/>
      <c r="T66" s="15"/>
      <c r="U66" s="15"/>
      <c r="V66" s="15"/>
      <c r="W66" s="15"/>
      <c r="X66" s="15"/>
      <c r="Y66" s="15"/>
      <c r="Z66" s="15"/>
    </row>
    <row r="67" ht="26.25" customHeight="1">
      <c r="A67" s="15"/>
      <c r="B67" s="15"/>
      <c r="C67" s="15"/>
      <c r="D67" s="20" t="s">
        <v>20</v>
      </c>
      <c r="E67" s="20" t="s">
        <v>191</v>
      </c>
      <c r="F67" s="20" t="s">
        <v>53</v>
      </c>
      <c r="G67" s="21" t="s">
        <v>192</v>
      </c>
      <c r="H67" s="15"/>
      <c r="I67" s="15"/>
      <c r="J67" s="15"/>
      <c r="K67" s="15"/>
      <c r="L67" s="18"/>
      <c r="M67" s="18"/>
      <c r="N67" s="18"/>
      <c r="O67" s="18"/>
      <c r="P67" s="18"/>
      <c r="Q67" s="18"/>
      <c r="R67" s="15"/>
      <c r="S67" s="15"/>
      <c r="T67" s="15"/>
      <c r="U67" s="15"/>
      <c r="V67" s="15"/>
      <c r="W67" s="15"/>
      <c r="X67" s="15"/>
      <c r="Y67" s="15"/>
      <c r="Z67" s="15"/>
    </row>
    <row r="68" ht="26.25" customHeight="1">
      <c r="A68" s="15"/>
      <c r="B68" s="15"/>
      <c r="C68" s="15"/>
      <c r="D68" s="20" t="s">
        <v>20</v>
      </c>
      <c r="E68" s="20" t="s">
        <v>193</v>
      </c>
      <c r="F68" s="20" t="s">
        <v>194</v>
      </c>
      <c r="G68" s="21" t="s">
        <v>195</v>
      </c>
      <c r="H68" s="15"/>
      <c r="I68" s="15"/>
      <c r="J68" s="15"/>
      <c r="K68" s="15"/>
      <c r="L68" s="18"/>
      <c r="M68" s="18"/>
      <c r="N68" s="18"/>
      <c r="O68" s="18"/>
      <c r="P68" s="18"/>
      <c r="Q68" s="18"/>
      <c r="R68" s="15"/>
      <c r="S68" s="15"/>
      <c r="T68" s="15"/>
      <c r="U68" s="15"/>
      <c r="V68" s="15"/>
      <c r="W68" s="15"/>
      <c r="X68" s="15"/>
      <c r="Y68" s="15"/>
      <c r="Z68" s="15"/>
    </row>
    <row r="69" ht="26.25" customHeight="1">
      <c r="A69" s="15"/>
      <c r="B69" s="15"/>
      <c r="C69" s="15"/>
      <c r="D69" s="20" t="s">
        <v>20</v>
      </c>
      <c r="E69" s="20" t="s">
        <v>196</v>
      </c>
      <c r="F69" s="20" t="s">
        <v>197</v>
      </c>
      <c r="G69" s="21" t="s">
        <v>198</v>
      </c>
      <c r="H69" s="15"/>
      <c r="I69" s="15"/>
      <c r="J69" s="15"/>
      <c r="K69" s="15"/>
      <c r="L69" s="18"/>
      <c r="M69" s="18"/>
      <c r="N69" s="18"/>
      <c r="O69" s="18"/>
      <c r="P69" s="18"/>
      <c r="Q69" s="18"/>
      <c r="R69" s="15"/>
      <c r="S69" s="15"/>
      <c r="T69" s="15"/>
      <c r="U69" s="15"/>
      <c r="V69" s="15"/>
      <c r="W69" s="15"/>
      <c r="X69" s="15"/>
      <c r="Y69" s="15"/>
      <c r="Z69" s="15"/>
    </row>
    <row r="70" ht="26.25" customHeight="1">
      <c r="A70" s="15"/>
      <c r="B70" s="15"/>
      <c r="C70" s="15"/>
      <c r="D70" s="20" t="s">
        <v>20</v>
      </c>
      <c r="E70" s="20" t="s">
        <v>199</v>
      </c>
      <c r="F70" s="20" t="s">
        <v>200</v>
      </c>
      <c r="G70" s="21" t="s">
        <v>201</v>
      </c>
      <c r="H70" s="15"/>
      <c r="I70" s="15"/>
      <c r="J70" s="15"/>
      <c r="K70" s="15"/>
      <c r="L70" s="18"/>
      <c r="M70" s="18"/>
      <c r="N70" s="18"/>
      <c r="O70" s="18"/>
      <c r="P70" s="18"/>
      <c r="Q70" s="18"/>
      <c r="R70" s="15"/>
      <c r="S70" s="15"/>
      <c r="T70" s="15"/>
      <c r="U70" s="15"/>
      <c r="V70" s="15"/>
      <c r="W70" s="15"/>
      <c r="X70" s="15"/>
      <c r="Y70" s="15"/>
      <c r="Z70" s="15"/>
    </row>
    <row r="71" ht="26.25" customHeight="1">
      <c r="A71" s="15"/>
      <c r="B71" s="15"/>
      <c r="C71" s="15"/>
      <c r="D71" s="6" t="s">
        <v>20</v>
      </c>
      <c r="E71" s="6" t="s">
        <v>202</v>
      </c>
      <c r="F71" s="6" t="s">
        <v>203</v>
      </c>
      <c r="G71" s="22"/>
      <c r="H71" s="15"/>
      <c r="I71" s="15"/>
      <c r="J71" s="15"/>
      <c r="K71" s="15"/>
      <c r="L71" s="18"/>
      <c r="M71" s="18"/>
      <c r="N71" s="18"/>
      <c r="O71" s="18"/>
      <c r="P71" s="18"/>
      <c r="Q71" s="18"/>
      <c r="R71" s="15"/>
      <c r="S71" s="15"/>
      <c r="T71" s="15"/>
      <c r="U71" s="15"/>
      <c r="V71" s="15"/>
      <c r="W71" s="15"/>
      <c r="X71" s="15"/>
      <c r="Y71" s="15"/>
      <c r="Z71" s="15"/>
    </row>
    <row r="72" ht="26.25" customHeight="1">
      <c r="A72" s="15"/>
      <c r="B72" s="15"/>
      <c r="C72" s="15"/>
      <c r="D72" s="20" t="s">
        <v>20</v>
      </c>
      <c r="E72" s="20" t="s">
        <v>204</v>
      </c>
      <c r="F72" s="20" t="s">
        <v>126</v>
      </c>
      <c r="G72" s="21" t="s">
        <v>205</v>
      </c>
      <c r="H72" s="15"/>
      <c r="I72" s="15"/>
      <c r="J72" s="15"/>
      <c r="K72" s="15"/>
      <c r="L72" s="18"/>
      <c r="M72" s="18"/>
      <c r="N72" s="18"/>
      <c r="O72" s="18"/>
      <c r="P72" s="18"/>
      <c r="Q72" s="18"/>
      <c r="R72" s="15"/>
      <c r="S72" s="15"/>
      <c r="T72" s="15"/>
      <c r="U72" s="15"/>
      <c r="V72" s="15"/>
      <c r="W72" s="15"/>
      <c r="X72" s="15"/>
      <c r="Y72" s="15"/>
      <c r="Z72" s="15"/>
    </row>
    <row r="73" ht="26.25" customHeight="1">
      <c r="A73" s="15"/>
      <c r="B73" s="15"/>
      <c r="C73" s="15"/>
      <c r="D73" s="20" t="s">
        <v>20</v>
      </c>
      <c r="E73" s="20" t="s">
        <v>206</v>
      </c>
      <c r="F73" s="20" t="s">
        <v>207</v>
      </c>
      <c r="G73" s="21" t="s">
        <v>208</v>
      </c>
      <c r="H73" s="15"/>
      <c r="I73" s="15"/>
      <c r="J73" s="15"/>
      <c r="K73" s="15"/>
      <c r="L73" s="18"/>
      <c r="M73" s="18"/>
      <c r="N73" s="18"/>
      <c r="O73" s="18"/>
      <c r="P73" s="18"/>
      <c r="Q73" s="18"/>
      <c r="R73" s="15"/>
      <c r="S73" s="15"/>
      <c r="T73" s="15"/>
      <c r="U73" s="15"/>
      <c r="V73" s="15"/>
      <c r="W73" s="15"/>
      <c r="X73" s="15"/>
      <c r="Y73" s="15"/>
      <c r="Z73" s="15"/>
    </row>
    <row r="74" ht="26.25" customHeight="1">
      <c r="A74" s="15"/>
      <c r="B74" s="15"/>
      <c r="C74" s="15"/>
      <c r="D74" s="20" t="s">
        <v>20</v>
      </c>
      <c r="E74" s="20" t="s">
        <v>209</v>
      </c>
      <c r="F74" s="20" t="s">
        <v>210</v>
      </c>
      <c r="G74" s="21" t="s">
        <v>211</v>
      </c>
      <c r="H74" s="15"/>
      <c r="I74" s="15"/>
      <c r="J74" s="15"/>
      <c r="K74" s="15"/>
      <c r="L74" s="18"/>
      <c r="M74" s="18"/>
      <c r="N74" s="18"/>
      <c r="O74" s="18"/>
      <c r="P74" s="18"/>
      <c r="Q74" s="18"/>
      <c r="R74" s="15"/>
      <c r="S74" s="15"/>
      <c r="T74" s="15"/>
      <c r="U74" s="15"/>
      <c r="V74" s="15"/>
      <c r="W74" s="15"/>
      <c r="X74" s="15"/>
      <c r="Y74" s="15"/>
      <c r="Z74" s="15"/>
    </row>
    <row r="75" ht="26.25" customHeight="1">
      <c r="A75" s="15"/>
      <c r="B75" s="15"/>
      <c r="C75" s="15"/>
      <c r="D75" s="6" t="s">
        <v>20</v>
      </c>
      <c r="E75" s="6" t="s">
        <v>212</v>
      </c>
      <c r="F75" s="6" t="s">
        <v>213</v>
      </c>
      <c r="G75" s="22"/>
      <c r="H75" s="15"/>
      <c r="I75" s="15"/>
      <c r="J75" s="15"/>
      <c r="K75" s="15"/>
      <c r="L75" s="18"/>
      <c r="M75" s="18"/>
      <c r="N75" s="18"/>
      <c r="O75" s="18"/>
      <c r="P75" s="18"/>
      <c r="Q75" s="18"/>
      <c r="R75" s="15"/>
      <c r="S75" s="15"/>
      <c r="T75" s="15"/>
      <c r="U75" s="15"/>
      <c r="V75" s="15"/>
      <c r="W75" s="15"/>
      <c r="X75" s="15"/>
      <c r="Y75" s="15"/>
      <c r="Z75" s="15"/>
    </row>
    <row r="76" ht="26.25" customHeight="1">
      <c r="A76" s="15"/>
      <c r="B76" s="15"/>
      <c r="C76" s="15"/>
      <c r="D76" s="16" t="s">
        <v>26</v>
      </c>
      <c r="E76" s="16" t="s">
        <v>214</v>
      </c>
      <c r="F76" s="16" t="s">
        <v>27</v>
      </c>
      <c r="G76" s="17" t="s">
        <v>215</v>
      </c>
      <c r="H76" s="15"/>
      <c r="I76" s="15"/>
      <c r="J76" s="15"/>
      <c r="K76" s="15"/>
      <c r="L76" s="18"/>
      <c r="M76" s="18"/>
      <c r="N76" s="18"/>
      <c r="O76" s="18"/>
      <c r="P76" s="18"/>
      <c r="Q76" s="18"/>
      <c r="R76" s="15"/>
      <c r="S76" s="15"/>
      <c r="T76" s="15"/>
      <c r="U76" s="15"/>
      <c r="V76" s="15"/>
      <c r="W76" s="15"/>
      <c r="X76" s="15"/>
      <c r="Y76" s="15"/>
      <c r="Z76" s="15"/>
    </row>
    <row r="77" ht="26.25" customHeight="1">
      <c r="A77" s="15"/>
      <c r="B77" s="15"/>
      <c r="C77" s="15"/>
      <c r="D77" s="6" t="s">
        <v>26</v>
      </c>
      <c r="E77" s="6" t="s">
        <v>216</v>
      </c>
      <c r="F77" s="6" t="s">
        <v>27</v>
      </c>
      <c r="G77" s="22"/>
      <c r="H77" s="15"/>
      <c r="I77" s="15"/>
      <c r="J77" s="15"/>
      <c r="K77" s="15"/>
      <c r="L77" s="18"/>
      <c r="M77" s="18"/>
      <c r="N77" s="18"/>
      <c r="O77" s="18"/>
      <c r="P77" s="18"/>
      <c r="Q77" s="18"/>
      <c r="R77" s="15"/>
      <c r="S77" s="15"/>
      <c r="T77" s="15"/>
      <c r="U77" s="15"/>
      <c r="V77" s="15"/>
      <c r="W77" s="15"/>
      <c r="X77" s="15"/>
      <c r="Y77" s="15"/>
      <c r="Z77" s="15"/>
    </row>
    <row r="78" ht="26.25" customHeight="1">
      <c r="A78" s="15"/>
      <c r="B78" s="15"/>
      <c r="C78" s="15"/>
      <c r="D78" s="6" t="s">
        <v>30</v>
      </c>
      <c r="E78" s="6" t="s">
        <v>217</v>
      </c>
      <c r="F78" s="6" t="s">
        <v>27</v>
      </c>
      <c r="G78" s="22"/>
      <c r="H78" s="15"/>
      <c r="I78" s="15"/>
      <c r="J78" s="15"/>
      <c r="K78" s="15"/>
      <c r="L78" s="18"/>
      <c r="M78" s="18"/>
      <c r="N78" s="18"/>
      <c r="O78" s="18"/>
      <c r="P78" s="18"/>
      <c r="Q78" s="18"/>
      <c r="R78" s="15"/>
      <c r="S78" s="15"/>
      <c r="T78" s="15"/>
      <c r="U78" s="15"/>
      <c r="V78" s="15"/>
      <c r="W78" s="15"/>
      <c r="X78" s="15"/>
      <c r="Y78" s="15"/>
      <c r="Z78" s="15"/>
    </row>
    <row r="79" ht="26.25" customHeight="1">
      <c r="A79" s="15"/>
      <c r="B79" s="15"/>
      <c r="C79" s="15"/>
      <c r="D79" s="6" t="s">
        <v>30</v>
      </c>
      <c r="E79" s="6" t="s">
        <v>218</v>
      </c>
      <c r="F79" s="6" t="s">
        <v>27</v>
      </c>
      <c r="G79" s="22"/>
      <c r="H79" s="15"/>
      <c r="I79" s="15"/>
      <c r="J79" s="15"/>
      <c r="K79" s="15"/>
      <c r="L79" s="18"/>
      <c r="M79" s="18"/>
      <c r="N79" s="18"/>
      <c r="O79" s="18"/>
      <c r="P79" s="18"/>
      <c r="Q79" s="18"/>
      <c r="R79" s="15"/>
      <c r="S79" s="15"/>
      <c r="T79" s="15"/>
      <c r="U79" s="15"/>
      <c r="V79" s="15"/>
      <c r="W79" s="15"/>
      <c r="X79" s="15"/>
      <c r="Y79" s="15"/>
      <c r="Z79" s="15"/>
    </row>
    <row r="80" ht="26.25" customHeight="1">
      <c r="A80" s="15"/>
      <c r="B80" s="15"/>
      <c r="C80" s="15"/>
      <c r="D80" s="6" t="s">
        <v>30</v>
      </c>
      <c r="E80" s="6" t="s">
        <v>219</v>
      </c>
      <c r="F80" s="6" t="s">
        <v>220</v>
      </c>
      <c r="G80" s="22"/>
      <c r="H80" s="15"/>
      <c r="I80" s="15"/>
      <c r="J80" s="15"/>
      <c r="K80" s="15"/>
      <c r="L80" s="18"/>
      <c r="M80" s="18"/>
      <c r="N80" s="18"/>
      <c r="O80" s="18"/>
      <c r="P80" s="18"/>
      <c r="Q80" s="18"/>
      <c r="R80" s="15"/>
      <c r="S80" s="15"/>
      <c r="T80" s="15"/>
      <c r="U80" s="15"/>
      <c r="V80" s="15"/>
      <c r="W80" s="15"/>
      <c r="X80" s="15"/>
      <c r="Y80" s="15"/>
      <c r="Z80" s="15"/>
    </row>
    <row r="81" ht="26.25" customHeight="1">
      <c r="A81" s="15"/>
      <c r="B81" s="15"/>
      <c r="C81" s="15"/>
      <c r="D81" s="6" t="s">
        <v>34</v>
      </c>
      <c r="E81" s="6" t="s">
        <v>221</v>
      </c>
      <c r="F81" s="6" t="s">
        <v>222</v>
      </c>
      <c r="G81" s="22"/>
      <c r="H81" s="15"/>
      <c r="I81" s="15"/>
      <c r="J81" s="15"/>
      <c r="K81" s="15"/>
      <c r="L81" s="18"/>
      <c r="M81" s="18"/>
      <c r="N81" s="18"/>
      <c r="O81" s="18"/>
      <c r="P81" s="18"/>
      <c r="Q81" s="18"/>
      <c r="R81" s="15"/>
      <c r="S81" s="15"/>
      <c r="T81" s="15"/>
      <c r="U81" s="15"/>
      <c r="V81" s="15"/>
      <c r="W81" s="15"/>
      <c r="X81" s="15"/>
      <c r="Y81" s="15"/>
      <c r="Z81" s="15"/>
    </row>
    <row r="82" ht="26.25" customHeight="1">
      <c r="A82" s="15"/>
      <c r="B82" s="15"/>
      <c r="C82" s="15"/>
      <c r="D82" s="6" t="s">
        <v>37</v>
      </c>
      <c r="E82" s="6">
        <v>8400.0</v>
      </c>
      <c r="F82" s="6" t="s">
        <v>223</v>
      </c>
      <c r="G82" s="22"/>
      <c r="H82" s="15"/>
      <c r="I82" s="15"/>
      <c r="J82" s="15"/>
      <c r="K82" s="15"/>
      <c r="L82" s="18"/>
      <c r="M82" s="18"/>
      <c r="N82" s="18"/>
      <c r="O82" s="18"/>
      <c r="P82" s="18"/>
      <c r="Q82" s="18"/>
      <c r="R82" s="15"/>
      <c r="S82" s="15"/>
      <c r="T82" s="15"/>
      <c r="U82" s="15"/>
      <c r="V82" s="15"/>
      <c r="W82" s="15"/>
      <c r="X82" s="15"/>
      <c r="Y82" s="15"/>
      <c r="Z82" s="15"/>
    </row>
    <row r="83" ht="26.25" customHeight="1">
      <c r="A83" s="15"/>
      <c r="B83" s="15"/>
      <c r="C83" s="15"/>
      <c r="D83" s="20" t="s">
        <v>37</v>
      </c>
      <c r="E83" s="20" t="s">
        <v>224</v>
      </c>
      <c r="F83" s="20" t="s">
        <v>225</v>
      </c>
      <c r="G83" s="21" t="s">
        <v>226</v>
      </c>
      <c r="H83" s="15"/>
      <c r="I83" s="15"/>
      <c r="J83" s="15"/>
      <c r="K83" s="15"/>
      <c r="L83" s="18"/>
      <c r="M83" s="18"/>
      <c r="N83" s="18"/>
      <c r="O83" s="18"/>
      <c r="P83" s="18"/>
      <c r="Q83" s="18"/>
      <c r="R83" s="15"/>
      <c r="S83" s="15"/>
      <c r="T83" s="15"/>
      <c r="U83" s="15"/>
      <c r="V83" s="15"/>
      <c r="W83" s="15"/>
      <c r="X83" s="15"/>
      <c r="Y83" s="15"/>
      <c r="Z83" s="15"/>
    </row>
    <row r="84" ht="26.25" customHeight="1">
      <c r="A84" s="15"/>
      <c r="B84" s="15"/>
      <c r="C84" s="15"/>
      <c r="D84" s="27" t="s">
        <v>37</v>
      </c>
      <c r="E84" s="28" t="s">
        <v>227</v>
      </c>
      <c r="F84" s="27" t="s">
        <v>223</v>
      </c>
      <c r="G84" s="22"/>
      <c r="H84" s="15"/>
      <c r="I84" s="15"/>
      <c r="J84" s="15"/>
      <c r="K84" s="15"/>
      <c r="L84" s="18"/>
      <c r="M84" s="18"/>
      <c r="N84" s="18"/>
      <c r="O84" s="18"/>
      <c r="P84" s="18"/>
      <c r="Q84" s="18"/>
      <c r="R84" s="15"/>
      <c r="S84" s="15"/>
      <c r="T84" s="15"/>
      <c r="U84" s="15"/>
      <c r="V84" s="15"/>
      <c r="W84" s="15"/>
      <c r="X84" s="15"/>
      <c r="Y84" s="15"/>
      <c r="Z84" s="15"/>
    </row>
    <row r="85" ht="26.25" customHeight="1">
      <c r="A85" s="15"/>
      <c r="B85" s="15"/>
      <c r="C85" s="15"/>
      <c r="D85" s="20" t="s">
        <v>37</v>
      </c>
      <c r="E85" s="20" t="s">
        <v>228</v>
      </c>
      <c r="F85" s="20" t="s">
        <v>229</v>
      </c>
      <c r="G85" s="21" t="s">
        <v>230</v>
      </c>
      <c r="H85" s="15"/>
      <c r="I85" s="15"/>
      <c r="J85" s="15"/>
      <c r="K85" s="15"/>
      <c r="L85" s="18"/>
      <c r="M85" s="18"/>
      <c r="N85" s="18"/>
      <c r="O85" s="18"/>
      <c r="P85" s="18"/>
      <c r="Q85" s="18"/>
      <c r="R85" s="15"/>
      <c r="S85" s="15"/>
      <c r="T85" s="15"/>
      <c r="U85" s="15"/>
      <c r="V85" s="15"/>
      <c r="W85" s="15"/>
      <c r="X85" s="15"/>
      <c r="Y85" s="15"/>
      <c r="Z85" s="15"/>
    </row>
    <row r="86" ht="26.25" customHeight="1">
      <c r="A86" s="15"/>
      <c r="B86" s="15"/>
      <c r="C86" s="15"/>
      <c r="D86" s="20" t="s">
        <v>37</v>
      </c>
      <c r="E86" s="20" t="s">
        <v>231</v>
      </c>
      <c r="F86" s="20" t="s">
        <v>232</v>
      </c>
      <c r="G86" s="21" t="s">
        <v>233</v>
      </c>
      <c r="H86" s="15"/>
      <c r="I86" s="15"/>
      <c r="J86" s="15"/>
      <c r="K86" s="15"/>
      <c r="L86" s="18"/>
      <c r="M86" s="18"/>
      <c r="N86" s="18"/>
      <c r="O86" s="18"/>
      <c r="P86" s="18"/>
      <c r="Q86" s="18"/>
      <c r="R86" s="15"/>
      <c r="S86" s="15"/>
      <c r="T86" s="15"/>
      <c r="U86" s="15"/>
      <c r="V86" s="15"/>
      <c r="W86" s="15"/>
      <c r="X86" s="15"/>
      <c r="Y86" s="15"/>
      <c r="Z86" s="15"/>
    </row>
    <row r="87" ht="26.25" customHeight="1">
      <c r="A87" s="15"/>
      <c r="B87" s="15"/>
      <c r="C87" s="15"/>
      <c r="D87" s="20" t="s">
        <v>37</v>
      </c>
      <c r="E87" s="20" t="s">
        <v>234</v>
      </c>
      <c r="F87" s="20" t="s">
        <v>223</v>
      </c>
      <c r="G87" s="21" t="s">
        <v>235</v>
      </c>
      <c r="H87" s="15"/>
      <c r="I87" s="15"/>
      <c r="J87" s="15"/>
      <c r="K87" s="15"/>
      <c r="L87" s="18"/>
      <c r="M87" s="18"/>
      <c r="N87" s="18"/>
      <c r="O87" s="18"/>
      <c r="P87" s="18"/>
      <c r="Q87" s="18"/>
      <c r="R87" s="15"/>
      <c r="S87" s="15"/>
      <c r="T87" s="15"/>
      <c r="U87" s="15"/>
      <c r="V87" s="15"/>
      <c r="W87" s="15"/>
      <c r="X87" s="15"/>
      <c r="Y87" s="15"/>
      <c r="Z87" s="15"/>
    </row>
    <row r="88" ht="26.25" customHeight="1">
      <c r="A88" s="15"/>
      <c r="B88" s="15"/>
      <c r="C88" s="15"/>
      <c r="D88" s="20" t="s">
        <v>37</v>
      </c>
      <c r="E88" s="20" t="s">
        <v>236</v>
      </c>
      <c r="F88" s="20" t="s">
        <v>27</v>
      </c>
      <c r="G88" s="21" t="s">
        <v>237</v>
      </c>
      <c r="H88" s="15"/>
      <c r="I88" s="15"/>
      <c r="J88" s="15"/>
      <c r="K88" s="15"/>
      <c r="L88" s="18"/>
      <c r="M88" s="18"/>
      <c r="N88" s="18"/>
      <c r="O88" s="18"/>
      <c r="P88" s="18"/>
      <c r="Q88" s="18"/>
      <c r="R88" s="15"/>
      <c r="S88" s="15"/>
      <c r="T88" s="15"/>
      <c r="U88" s="15"/>
      <c r="V88" s="15"/>
      <c r="W88" s="15"/>
      <c r="X88" s="15"/>
      <c r="Y88" s="15"/>
      <c r="Z88" s="15"/>
    </row>
    <row r="89" ht="26.25" customHeight="1">
      <c r="A89" s="15"/>
      <c r="B89" s="15"/>
      <c r="C89" s="15"/>
      <c r="D89" s="6" t="s">
        <v>37</v>
      </c>
      <c r="E89" s="6" t="s">
        <v>238</v>
      </c>
      <c r="F89" s="6" t="s">
        <v>239</v>
      </c>
      <c r="G89" s="22"/>
      <c r="H89" s="15"/>
      <c r="I89" s="15"/>
      <c r="J89" s="15"/>
      <c r="K89" s="15"/>
      <c r="L89" s="18"/>
      <c r="M89" s="18"/>
      <c r="N89" s="18"/>
      <c r="O89" s="18"/>
      <c r="P89" s="18"/>
      <c r="Q89" s="18"/>
      <c r="R89" s="15"/>
      <c r="S89" s="15"/>
      <c r="T89" s="15"/>
      <c r="U89" s="15"/>
      <c r="V89" s="15"/>
      <c r="W89" s="15"/>
      <c r="X89" s="15"/>
      <c r="Y89" s="15"/>
      <c r="Z89" s="15"/>
    </row>
    <row r="90" ht="26.25" customHeight="1">
      <c r="A90" s="15"/>
      <c r="B90" s="15"/>
      <c r="C90" s="15"/>
      <c r="D90" s="20" t="s">
        <v>37</v>
      </c>
      <c r="E90" s="20" t="s">
        <v>240</v>
      </c>
      <c r="F90" s="20" t="s">
        <v>241</v>
      </c>
      <c r="G90" s="21" t="s">
        <v>242</v>
      </c>
      <c r="H90" s="15"/>
      <c r="I90" s="15"/>
      <c r="J90" s="15"/>
      <c r="K90" s="15"/>
      <c r="L90" s="18"/>
      <c r="M90" s="18"/>
      <c r="N90" s="18"/>
      <c r="O90" s="18"/>
      <c r="P90" s="18"/>
      <c r="Q90" s="18"/>
      <c r="R90" s="15"/>
      <c r="S90" s="15"/>
      <c r="T90" s="15"/>
      <c r="U90" s="15"/>
      <c r="V90" s="15"/>
      <c r="W90" s="15"/>
      <c r="X90" s="15"/>
      <c r="Y90" s="15"/>
      <c r="Z90" s="15"/>
    </row>
    <row r="91" ht="26.25" customHeight="1">
      <c r="A91" s="15"/>
      <c r="B91" s="15"/>
      <c r="C91" s="15"/>
      <c r="D91" s="20" t="s">
        <v>37</v>
      </c>
      <c r="E91" s="20" t="s">
        <v>243</v>
      </c>
      <c r="F91" s="20" t="s">
        <v>244</v>
      </c>
      <c r="G91" s="21" t="s">
        <v>245</v>
      </c>
      <c r="H91" s="15"/>
      <c r="I91" s="15"/>
      <c r="J91" s="15"/>
      <c r="K91" s="15"/>
      <c r="L91" s="18"/>
      <c r="M91" s="18"/>
      <c r="N91" s="18"/>
      <c r="O91" s="18"/>
      <c r="P91" s="18"/>
      <c r="Q91" s="18"/>
      <c r="R91" s="15"/>
      <c r="S91" s="15"/>
      <c r="T91" s="15"/>
      <c r="U91" s="15"/>
      <c r="V91" s="15"/>
      <c r="W91" s="15"/>
      <c r="X91" s="15"/>
      <c r="Y91" s="15"/>
      <c r="Z91" s="15"/>
    </row>
    <row r="92" ht="26.25" customHeight="1">
      <c r="A92" s="15"/>
      <c r="B92" s="15"/>
      <c r="C92" s="15"/>
      <c r="D92" s="20" t="s">
        <v>37</v>
      </c>
      <c r="E92" s="20" t="s">
        <v>246</v>
      </c>
      <c r="F92" s="20" t="s">
        <v>247</v>
      </c>
      <c r="G92" s="21" t="s">
        <v>248</v>
      </c>
      <c r="H92" s="15"/>
      <c r="I92" s="15"/>
      <c r="J92" s="15"/>
      <c r="K92" s="15"/>
      <c r="L92" s="18"/>
      <c r="M92" s="18"/>
      <c r="N92" s="18"/>
      <c r="O92" s="18"/>
      <c r="P92" s="18"/>
      <c r="Q92" s="18"/>
      <c r="R92" s="15"/>
      <c r="S92" s="15"/>
      <c r="T92" s="15"/>
      <c r="U92" s="15"/>
      <c r="V92" s="15"/>
      <c r="W92" s="15"/>
      <c r="X92" s="15"/>
      <c r="Y92" s="15"/>
      <c r="Z92" s="15"/>
    </row>
    <row r="93" ht="26.25" customHeight="1">
      <c r="A93" s="15"/>
      <c r="B93" s="15"/>
      <c r="C93" s="15"/>
      <c r="D93" s="20" t="s">
        <v>37</v>
      </c>
      <c r="E93" s="20" t="s">
        <v>249</v>
      </c>
      <c r="F93" s="20" t="s">
        <v>229</v>
      </c>
      <c r="G93" s="21" t="s">
        <v>250</v>
      </c>
      <c r="H93" s="15"/>
      <c r="I93" s="15"/>
      <c r="J93" s="15"/>
      <c r="K93" s="15"/>
      <c r="L93" s="18"/>
      <c r="M93" s="18"/>
      <c r="N93" s="18"/>
      <c r="O93" s="18"/>
      <c r="P93" s="18"/>
      <c r="Q93" s="18"/>
      <c r="R93" s="15"/>
      <c r="S93" s="15"/>
      <c r="T93" s="15"/>
      <c r="U93" s="15"/>
      <c r="V93" s="15"/>
      <c r="W93" s="15"/>
      <c r="X93" s="15"/>
      <c r="Y93" s="15"/>
      <c r="Z93" s="15"/>
    </row>
    <row r="94" ht="26.25" customHeight="1">
      <c r="A94" s="15"/>
      <c r="B94" s="15"/>
      <c r="C94" s="15"/>
      <c r="D94" s="20" t="s">
        <v>37</v>
      </c>
      <c r="E94" s="20" t="s">
        <v>251</v>
      </c>
      <c r="F94" s="20" t="s">
        <v>252</v>
      </c>
      <c r="G94" s="21" t="s">
        <v>253</v>
      </c>
      <c r="H94" s="15"/>
      <c r="I94" s="15"/>
      <c r="J94" s="15"/>
      <c r="K94" s="15"/>
      <c r="L94" s="18"/>
      <c r="M94" s="18"/>
      <c r="N94" s="18"/>
      <c r="O94" s="18"/>
      <c r="P94" s="18"/>
      <c r="Q94" s="18"/>
      <c r="R94" s="15"/>
      <c r="S94" s="15"/>
      <c r="T94" s="15"/>
      <c r="U94" s="15"/>
      <c r="V94" s="15"/>
      <c r="W94" s="15"/>
      <c r="X94" s="15"/>
      <c r="Y94" s="15"/>
      <c r="Z94" s="15"/>
    </row>
    <row r="95" ht="26.25" customHeight="1">
      <c r="A95" s="15"/>
      <c r="B95" s="15"/>
      <c r="C95" s="15"/>
      <c r="D95" s="20" t="s">
        <v>37</v>
      </c>
      <c r="E95" s="20" t="s">
        <v>254</v>
      </c>
      <c r="F95" s="20" t="s">
        <v>252</v>
      </c>
      <c r="G95" s="21" t="s">
        <v>255</v>
      </c>
      <c r="H95" s="15"/>
      <c r="I95" s="15"/>
      <c r="J95" s="15"/>
      <c r="K95" s="15"/>
      <c r="L95" s="18"/>
      <c r="M95" s="18"/>
      <c r="N95" s="18"/>
      <c r="O95" s="18"/>
      <c r="P95" s="18"/>
      <c r="Q95" s="18"/>
      <c r="R95" s="15"/>
      <c r="S95" s="15"/>
      <c r="T95" s="15"/>
      <c r="U95" s="15"/>
      <c r="V95" s="15"/>
      <c r="W95" s="15"/>
      <c r="X95" s="15"/>
      <c r="Y95" s="15"/>
      <c r="Z95" s="15"/>
    </row>
    <row r="96" ht="26.25" customHeight="1">
      <c r="A96" s="15"/>
      <c r="B96" s="15"/>
      <c r="C96" s="15"/>
      <c r="D96" s="6" t="s">
        <v>37</v>
      </c>
      <c r="E96" s="6" t="s">
        <v>256</v>
      </c>
      <c r="F96" s="6" t="s">
        <v>257</v>
      </c>
      <c r="G96" s="22"/>
      <c r="H96" s="15"/>
      <c r="I96" s="15"/>
      <c r="J96" s="15"/>
      <c r="K96" s="15"/>
      <c r="L96" s="18"/>
      <c r="M96" s="18"/>
      <c r="N96" s="18"/>
      <c r="O96" s="18"/>
      <c r="P96" s="18"/>
      <c r="Q96" s="18"/>
      <c r="R96" s="15"/>
      <c r="S96" s="15"/>
      <c r="T96" s="15"/>
      <c r="U96" s="15"/>
      <c r="V96" s="15"/>
      <c r="W96" s="15"/>
      <c r="X96" s="15"/>
      <c r="Y96" s="15"/>
      <c r="Z96" s="15"/>
    </row>
    <row r="97" ht="26.25" customHeight="1">
      <c r="A97" s="15"/>
      <c r="B97" s="15"/>
      <c r="C97" s="15"/>
      <c r="D97" s="20" t="s">
        <v>37</v>
      </c>
      <c r="E97" s="20" t="s">
        <v>258</v>
      </c>
      <c r="F97" s="20" t="s">
        <v>27</v>
      </c>
      <c r="G97" s="21" t="s">
        <v>259</v>
      </c>
      <c r="H97" s="15"/>
      <c r="I97" s="15"/>
      <c r="J97" s="15"/>
      <c r="K97" s="15"/>
      <c r="L97" s="18"/>
      <c r="M97" s="18"/>
      <c r="N97" s="18"/>
      <c r="O97" s="18"/>
      <c r="P97" s="18"/>
      <c r="Q97" s="18"/>
      <c r="R97" s="15"/>
      <c r="S97" s="15"/>
      <c r="T97" s="15"/>
      <c r="U97" s="15"/>
      <c r="V97" s="15"/>
      <c r="W97" s="15"/>
      <c r="X97" s="15"/>
      <c r="Y97" s="15"/>
      <c r="Z97" s="15"/>
    </row>
    <row r="98" ht="26.25" customHeight="1">
      <c r="A98" s="15"/>
      <c r="B98" s="15"/>
      <c r="C98" s="15"/>
      <c r="D98" s="20" t="s">
        <v>37</v>
      </c>
      <c r="E98" s="20" t="s">
        <v>260</v>
      </c>
      <c r="F98" s="20" t="s">
        <v>261</v>
      </c>
      <c r="G98" s="21" t="s">
        <v>262</v>
      </c>
      <c r="H98" s="15"/>
      <c r="I98" s="15"/>
      <c r="J98" s="15"/>
      <c r="K98" s="15"/>
      <c r="L98" s="18"/>
      <c r="M98" s="18"/>
      <c r="N98" s="18"/>
      <c r="O98" s="18"/>
      <c r="P98" s="18"/>
      <c r="Q98" s="18"/>
      <c r="R98" s="15"/>
      <c r="S98" s="15"/>
      <c r="T98" s="15"/>
      <c r="U98" s="15"/>
      <c r="V98" s="15"/>
      <c r="W98" s="15"/>
      <c r="X98" s="15"/>
      <c r="Y98" s="15"/>
      <c r="Z98" s="15"/>
    </row>
    <row r="99" ht="26.25" customHeight="1">
      <c r="A99" s="15"/>
      <c r="B99" s="15"/>
      <c r="C99" s="15"/>
      <c r="D99" s="20" t="s">
        <v>37</v>
      </c>
      <c r="E99" s="20" t="s">
        <v>263</v>
      </c>
      <c r="F99" s="20" t="s">
        <v>264</v>
      </c>
      <c r="G99" s="21" t="s">
        <v>265</v>
      </c>
      <c r="H99" s="15"/>
      <c r="I99" s="15"/>
      <c r="J99" s="15"/>
      <c r="K99" s="15"/>
      <c r="L99" s="18"/>
      <c r="M99" s="18"/>
      <c r="N99" s="18"/>
      <c r="O99" s="18"/>
      <c r="P99" s="18"/>
      <c r="Q99" s="18"/>
      <c r="R99" s="15"/>
      <c r="S99" s="15"/>
      <c r="T99" s="15"/>
      <c r="U99" s="15"/>
      <c r="V99" s="15"/>
      <c r="W99" s="15"/>
      <c r="X99" s="15"/>
      <c r="Y99" s="15"/>
      <c r="Z99" s="15"/>
    </row>
    <row r="100" ht="26.25" customHeight="1">
      <c r="A100" s="15"/>
      <c r="B100" s="15"/>
      <c r="C100" s="15"/>
      <c r="D100" s="6" t="s">
        <v>37</v>
      </c>
      <c r="E100" s="6" t="s">
        <v>266</v>
      </c>
      <c r="F100" s="6" t="s">
        <v>267</v>
      </c>
      <c r="G100" s="22"/>
      <c r="H100" s="15"/>
      <c r="I100" s="15"/>
      <c r="J100" s="15"/>
      <c r="K100" s="15"/>
      <c r="L100" s="18"/>
      <c r="M100" s="18"/>
      <c r="N100" s="18"/>
      <c r="O100" s="18"/>
      <c r="P100" s="18"/>
      <c r="Q100" s="18"/>
      <c r="R100" s="15"/>
      <c r="S100" s="15"/>
      <c r="T100" s="15"/>
      <c r="U100" s="15"/>
      <c r="V100" s="15"/>
      <c r="W100" s="15"/>
      <c r="X100" s="15"/>
      <c r="Y100" s="15"/>
      <c r="Z100" s="15"/>
    </row>
    <row r="101" ht="26.25" customHeight="1">
      <c r="A101" s="15"/>
      <c r="B101" s="15"/>
      <c r="C101" s="15"/>
      <c r="D101" s="20" t="s">
        <v>37</v>
      </c>
      <c r="E101" s="20" t="s">
        <v>268</v>
      </c>
      <c r="F101" s="20" t="s">
        <v>269</v>
      </c>
      <c r="G101" s="21" t="s">
        <v>270</v>
      </c>
      <c r="H101" s="15"/>
      <c r="I101" s="15"/>
      <c r="J101" s="15"/>
      <c r="K101" s="15"/>
      <c r="L101" s="18"/>
      <c r="M101" s="18"/>
      <c r="N101" s="18"/>
      <c r="O101" s="18"/>
      <c r="P101" s="18"/>
      <c r="Q101" s="18"/>
      <c r="R101" s="15"/>
      <c r="S101" s="15"/>
      <c r="T101" s="15"/>
      <c r="U101" s="15"/>
      <c r="V101" s="15"/>
      <c r="W101" s="15"/>
      <c r="X101" s="15"/>
      <c r="Y101" s="15"/>
      <c r="Z101" s="15"/>
    </row>
    <row r="102" ht="26.25" customHeight="1">
      <c r="A102" s="15"/>
      <c r="B102" s="15"/>
      <c r="C102" s="15"/>
      <c r="D102" s="20" t="s">
        <v>37</v>
      </c>
      <c r="E102" s="20" t="s">
        <v>271</v>
      </c>
      <c r="F102" s="20" t="s">
        <v>232</v>
      </c>
      <c r="G102" s="21" t="s">
        <v>272</v>
      </c>
      <c r="H102" s="15"/>
      <c r="I102" s="15"/>
      <c r="J102" s="29"/>
      <c r="K102" s="15"/>
      <c r="L102" s="18"/>
      <c r="M102" s="18"/>
      <c r="N102" s="18"/>
      <c r="O102" s="18"/>
      <c r="P102" s="18"/>
      <c r="Q102" s="18"/>
      <c r="R102" s="15"/>
      <c r="S102" s="15"/>
      <c r="T102" s="15"/>
      <c r="U102" s="15"/>
      <c r="V102" s="15"/>
      <c r="W102" s="15"/>
      <c r="X102" s="15"/>
      <c r="Y102" s="15"/>
      <c r="Z102" s="15"/>
    </row>
    <row r="103" ht="26.25" customHeight="1">
      <c r="A103" s="15"/>
      <c r="B103" s="29"/>
      <c r="C103" s="15"/>
      <c r="D103" s="20" t="s">
        <v>37</v>
      </c>
      <c r="E103" s="20" t="s">
        <v>273</v>
      </c>
      <c r="F103" s="20" t="s">
        <v>274</v>
      </c>
      <c r="G103" s="21" t="s">
        <v>275</v>
      </c>
      <c r="H103" s="15"/>
      <c r="I103" s="15"/>
      <c r="J103" s="29"/>
      <c r="K103" s="15"/>
      <c r="L103" s="18"/>
      <c r="M103" s="18"/>
      <c r="N103" s="18"/>
      <c r="O103" s="18"/>
      <c r="P103" s="18"/>
      <c r="Q103" s="18"/>
      <c r="R103" s="15"/>
      <c r="S103" s="15"/>
      <c r="T103" s="15"/>
      <c r="U103" s="15"/>
      <c r="V103" s="15"/>
      <c r="W103" s="15"/>
      <c r="X103" s="15"/>
      <c r="Y103" s="15"/>
      <c r="Z103" s="15"/>
    </row>
    <row r="104" ht="26.25" customHeight="1">
      <c r="A104" s="15"/>
      <c r="B104" s="29"/>
      <c r="C104" s="15"/>
      <c r="D104" s="20" t="s">
        <v>37</v>
      </c>
      <c r="E104" s="20" t="s">
        <v>276</v>
      </c>
      <c r="F104" s="20" t="s">
        <v>229</v>
      </c>
      <c r="G104" s="21" t="s">
        <v>277</v>
      </c>
      <c r="H104" s="15"/>
      <c r="I104" s="15"/>
      <c r="J104" s="29"/>
      <c r="K104" s="15"/>
      <c r="L104" s="18"/>
      <c r="M104" s="18"/>
      <c r="N104" s="18"/>
      <c r="O104" s="18"/>
      <c r="P104" s="18"/>
      <c r="Q104" s="18"/>
      <c r="R104" s="15"/>
      <c r="S104" s="15"/>
      <c r="T104" s="15"/>
      <c r="U104" s="15"/>
      <c r="V104" s="15"/>
      <c r="W104" s="15"/>
      <c r="X104" s="15"/>
      <c r="Y104" s="15"/>
      <c r="Z104" s="15"/>
    </row>
    <row r="105" ht="26.25" customHeight="1">
      <c r="A105" s="29"/>
      <c r="B105" s="29"/>
      <c r="C105" s="29"/>
      <c r="D105" s="20" t="s">
        <v>37</v>
      </c>
      <c r="E105" s="20" t="s">
        <v>278</v>
      </c>
      <c r="F105" s="20" t="s">
        <v>279</v>
      </c>
      <c r="G105" s="21" t="s">
        <v>280</v>
      </c>
      <c r="H105" s="29"/>
      <c r="I105" s="29"/>
      <c r="J105" s="29"/>
      <c r="K105" s="29"/>
      <c r="L105" s="29"/>
      <c r="M105" s="29"/>
      <c r="N105" s="29"/>
      <c r="O105" s="29"/>
      <c r="P105" s="29"/>
      <c r="Q105" s="29"/>
      <c r="R105" s="29"/>
      <c r="S105" s="29"/>
      <c r="T105" s="29"/>
      <c r="U105" s="29"/>
      <c r="V105" s="29"/>
      <c r="W105" s="29"/>
      <c r="X105" s="29"/>
      <c r="Y105" s="29"/>
      <c r="Z105" s="18"/>
    </row>
    <row r="106" ht="26.25" customHeight="1">
      <c r="A106" s="29"/>
      <c r="B106" s="29"/>
      <c r="C106" s="29"/>
      <c r="D106" s="20" t="s">
        <v>37</v>
      </c>
      <c r="E106" s="20" t="s">
        <v>281</v>
      </c>
      <c r="F106" s="20" t="s">
        <v>282</v>
      </c>
      <c r="G106" s="21" t="s">
        <v>283</v>
      </c>
      <c r="H106" s="29"/>
      <c r="I106" s="29"/>
      <c r="J106" s="29"/>
      <c r="K106" s="29"/>
      <c r="L106" s="29"/>
      <c r="M106" s="29"/>
      <c r="N106" s="29"/>
      <c r="O106" s="29"/>
      <c r="P106" s="29"/>
      <c r="Q106" s="29"/>
      <c r="R106" s="29"/>
      <c r="S106" s="29"/>
      <c r="T106" s="29"/>
      <c r="U106" s="29"/>
      <c r="V106" s="29"/>
      <c r="W106" s="29"/>
      <c r="X106" s="29"/>
      <c r="Y106" s="29"/>
      <c r="Z106" s="18"/>
    </row>
    <row r="107" ht="26.25" customHeight="1">
      <c r="A107" s="29"/>
      <c r="B107" s="29"/>
      <c r="C107" s="29"/>
      <c r="D107" s="6" t="s">
        <v>37</v>
      </c>
      <c r="E107" s="6" t="s">
        <v>284</v>
      </c>
      <c r="F107" s="6" t="s">
        <v>285</v>
      </c>
      <c r="G107" s="22"/>
      <c r="H107" s="29"/>
      <c r="I107" s="29"/>
      <c r="J107" s="29"/>
      <c r="K107" s="29"/>
      <c r="L107" s="29"/>
      <c r="M107" s="29"/>
      <c r="N107" s="29"/>
      <c r="O107" s="29"/>
      <c r="P107" s="29"/>
      <c r="Q107" s="29"/>
      <c r="R107" s="29"/>
      <c r="S107" s="29"/>
      <c r="T107" s="29"/>
      <c r="U107" s="29"/>
      <c r="V107" s="29"/>
      <c r="W107" s="29"/>
      <c r="X107" s="29"/>
      <c r="Y107" s="29"/>
      <c r="Z107" s="18"/>
    </row>
    <row r="108" ht="26.25" customHeight="1">
      <c r="A108" s="29"/>
      <c r="B108" s="29"/>
      <c r="C108" s="29"/>
      <c r="D108" s="20" t="s">
        <v>37</v>
      </c>
      <c r="E108" s="20" t="s">
        <v>286</v>
      </c>
      <c r="F108" s="20" t="s">
        <v>287</v>
      </c>
      <c r="G108" s="21" t="s">
        <v>288</v>
      </c>
      <c r="H108" s="29"/>
      <c r="I108" s="29"/>
      <c r="J108" s="29"/>
      <c r="K108" s="29"/>
      <c r="L108" s="29"/>
      <c r="M108" s="29"/>
      <c r="N108" s="29"/>
      <c r="O108" s="29"/>
      <c r="P108" s="29"/>
      <c r="Q108" s="29"/>
      <c r="R108" s="29"/>
      <c r="S108" s="29"/>
      <c r="T108" s="29"/>
      <c r="U108" s="29"/>
      <c r="V108" s="29"/>
      <c r="W108" s="29"/>
      <c r="X108" s="29"/>
      <c r="Y108" s="29"/>
      <c r="Z108" s="18"/>
    </row>
    <row r="109" ht="26.25" customHeight="1">
      <c r="A109" s="29"/>
      <c r="B109" s="29"/>
      <c r="C109" s="29"/>
      <c r="D109" s="20" t="s">
        <v>37</v>
      </c>
      <c r="E109" s="20" t="s">
        <v>289</v>
      </c>
      <c r="F109" s="20" t="s">
        <v>225</v>
      </c>
      <c r="G109" s="21" t="s">
        <v>290</v>
      </c>
      <c r="H109" s="29"/>
      <c r="I109" s="29"/>
      <c r="J109" s="29"/>
      <c r="K109" s="29"/>
      <c r="L109" s="29"/>
      <c r="M109" s="29"/>
      <c r="N109" s="29"/>
      <c r="O109" s="29"/>
      <c r="P109" s="29"/>
      <c r="Q109" s="29"/>
      <c r="R109" s="29"/>
      <c r="S109" s="29"/>
      <c r="T109" s="29"/>
      <c r="U109" s="29"/>
      <c r="V109" s="29"/>
      <c r="W109" s="29"/>
      <c r="X109" s="29"/>
      <c r="Y109" s="29"/>
      <c r="Z109" s="18"/>
    </row>
    <row r="110" ht="26.25" customHeight="1">
      <c r="A110" s="29"/>
      <c r="B110" s="29"/>
      <c r="C110" s="29"/>
      <c r="D110" s="20" t="s">
        <v>37</v>
      </c>
      <c r="E110" s="20" t="s">
        <v>291</v>
      </c>
      <c r="F110" s="20" t="s">
        <v>292</v>
      </c>
      <c r="G110" s="21" t="s">
        <v>293</v>
      </c>
      <c r="H110" s="29"/>
      <c r="I110" s="29"/>
      <c r="J110" s="29"/>
      <c r="K110" s="29"/>
      <c r="L110" s="29"/>
      <c r="M110" s="29"/>
      <c r="N110" s="29"/>
      <c r="O110" s="29"/>
      <c r="P110" s="29"/>
      <c r="Q110" s="29"/>
      <c r="R110" s="29"/>
      <c r="S110" s="29"/>
      <c r="T110" s="29"/>
      <c r="U110" s="29"/>
      <c r="V110" s="29"/>
      <c r="W110" s="29"/>
      <c r="X110" s="29"/>
      <c r="Y110" s="29"/>
      <c r="Z110" s="18"/>
    </row>
    <row r="111" ht="26.25" customHeight="1">
      <c r="A111" s="29"/>
      <c r="B111" s="29"/>
      <c r="C111" s="29"/>
      <c r="D111" s="20" t="s">
        <v>37</v>
      </c>
      <c r="E111" s="20" t="s">
        <v>294</v>
      </c>
      <c r="F111" s="20" t="s">
        <v>274</v>
      </c>
      <c r="G111" s="21" t="s">
        <v>295</v>
      </c>
      <c r="H111" s="29"/>
      <c r="I111" s="29"/>
      <c r="J111" s="29"/>
      <c r="K111" s="29"/>
      <c r="L111" s="29"/>
      <c r="M111" s="29"/>
      <c r="N111" s="29"/>
      <c r="O111" s="29"/>
      <c r="P111" s="29"/>
      <c r="Q111" s="29"/>
      <c r="R111" s="29"/>
      <c r="S111" s="29"/>
      <c r="T111" s="29"/>
      <c r="U111" s="29"/>
      <c r="V111" s="29"/>
      <c r="W111" s="29"/>
      <c r="X111" s="29"/>
      <c r="Y111" s="29"/>
      <c r="Z111" s="18"/>
    </row>
    <row r="112" ht="26.25" customHeight="1">
      <c r="A112" s="29"/>
      <c r="B112" s="29"/>
      <c r="C112" s="29"/>
      <c r="D112" s="20" t="s">
        <v>37</v>
      </c>
      <c r="E112" s="20" t="s">
        <v>296</v>
      </c>
      <c r="F112" s="20" t="s">
        <v>241</v>
      </c>
      <c r="G112" s="21" t="s">
        <v>297</v>
      </c>
      <c r="H112" s="29"/>
      <c r="I112" s="29"/>
      <c r="J112" s="29"/>
      <c r="K112" s="29"/>
      <c r="L112" s="29"/>
      <c r="M112" s="29"/>
      <c r="N112" s="29"/>
      <c r="O112" s="29"/>
      <c r="P112" s="29"/>
      <c r="Q112" s="29"/>
      <c r="R112" s="29"/>
      <c r="S112" s="29"/>
      <c r="T112" s="29"/>
      <c r="U112" s="29"/>
      <c r="V112" s="29"/>
      <c r="W112" s="29"/>
      <c r="X112" s="29"/>
      <c r="Y112" s="29"/>
      <c r="Z112" s="18"/>
    </row>
    <row r="113" ht="26.25" customHeight="1">
      <c r="A113" s="29"/>
      <c r="B113" s="29"/>
      <c r="C113" s="29"/>
      <c r="D113" s="6" t="s">
        <v>37</v>
      </c>
      <c r="E113" s="6" t="s">
        <v>298</v>
      </c>
      <c r="F113" s="6" t="s">
        <v>27</v>
      </c>
      <c r="G113" s="22"/>
      <c r="H113" s="29"/>
      <c r="I113" s="29"/>
      <c r="J113" s="29"/>
      <c r="K113" s="29"/>
      <c r="L113" s="29"/>
      <c r="M113" s="29"/>
      <c r="N113" s="29"/>
      <c r="O113" s="29"/>
      <c r="P113" s="29"/>
      <c r="Q113" s="29"/>
      <c r="R113" s="29"/>
      <c r="S113" s="29"/>
      <c r="T113" s="29"/>
      <c r="U113" s="29"/>
      <c r="V113" s="29"/>
      <c r="W113" s="29"/>
      <c r="X113" s="29"/>
      <c r="Y113" s="29"/>
      <c r="Z113" s="18"/>
    </row>
    <row r="114" ht="26.25" customHeight="1">
      <c r="A114" s="29"/>
      <c r="B114" s="29"/>
      <c r="C114" s="29"/>
      <c r="D114" s="20" t="s">
        <v>37</v>
      </c>
      <c r="E114" s="20" t="s">
        <v>299</v>
      </c>
      <c r="F114" s="20" t="s">
        <v>232</v>
      </c>
      <c r="G114" s="21" t="s">
        <v>300</v>
      </c>
      <c r="H114" s="29"/>
      <c r="I114" s="29"/>
      <c r="J114" s="29"/>
      <c r="K114" s="29"/>
      <c r="L114" s="29"/>
      <c r="M114" s="29"/>
      <c r="N114" s="29"/>
      <c r="O114" s="29"/>
      <c r="P114" s="29"/>
      <c r="Q114" s="29"/>
      <c r="R114" s="29"/>
      <c r="S114" s="29"/>
      <c r="T114" s="29"/>
      <c r="U114" s="29"/>
      <c r="V114" s="29"/>
      <c r="W114" s="29"/>
      <c r="X114" s="29"/>
      <c r="Y114" s="29"/>
      <c r="Z114" s="18"/>
    </row>
    <row r="115" ht="26.25" customHeight="1">
      <c r="A115" s="29"/>
      <c r="B115" s="29"/>
      <c r="C115" s="29"/>
      <c r="D115" s="20" t="s">
        <v>37</v>
      </c>
      <c r="E115" s="20" t="s">
        <v>301</v>
      </c>
      <c r="F115" s="20" t="s">
        <v>302</v>
      </c>
      <c r="G115" s="21" t="s">
        <v>303</v>
      </c>
      <c r="H115" s="29"/>
      <c r="I115" s="29"/>
      <c r="J115" s="29"/>
      <c r="K115" s="29"/>
      <c r="L115" s="29"/>
      <c r="M115" s="29"/>
      <c r="N115" s="29"/>
      <c r="O115" s="29"/>
      <c r="P115" s="29"/>
      <c r="Q115" s="29"/>
      <c r="R115" s="29"/>
      <c r="S115" s="29"/>
      <c r="T115" s="29"/>
      <c r="U115" s="29"/>
      <c r="V115" s="29"/>
      <c r="W115" s="29"/>
      <c r="X115" s="29"/>
      <c r="Y115" s="29"/>
      <c r="Z115" s="18"/>
    </row>
    <row r="116" ht="26.25" customHeight="1">
      <c r="A116" s="29"/>
      <c r="B116" s="29"/>
      <c r="C116" s="29"/>
      <c r="D116" s="20" t="s">
        <v>37</v>
      </c>
      <c r="E116" s="20" t="s">
        <v>304</v>
      </c>
      <c r="F116" s="20" t="s">
        <v>282</v>
      </c>
      <c r="G116" s="21" t="s">
        <v>305</v>
      </c>
      <c r="H116" s="29"/>
      <c r="I116" s="29"/>
      <c r="J116" s="29"/>
      <c r="K116" s="29"/>
      <c r="L116" s="29"/>
      <c r="M116" s="29"/>
      <c r="N116" s="29"/>
      <c r="O116" s="29"/>
      <c r="P116" s="29"/>
      <c r="Q116" s="29"/>
      <c r="R116" s="29"/>
      <c r="S116" s="29"/>
      <c r="T116" s="29"/>
      <c r="U116" s="29"/>
      <c r="V116" s="29"/>
      <c r="W116" s="29"/>
      <c r="X116" s="29"/>
      <c r="Y116" s="29"/>
      <c r="Z116" s="18"/>
    </row>
    <row r="117" ht="26.25" customHeight="1">
      <c r="A117" s="29"/>
      <c r="B117" s="29"/>
      <c r="C117" s="29"/>
      <c r="D117" s="6" t="s">
        <v>37</v>
      </c>
      <c r="E117" s="6" t="s">
        <v>306</v>
      </c>
      <c r="F117" s="6" t="s">
        <v>307</v>
      </c>
      <c r="G117" s="22"/>
      <c r="H117" s="29"/>
      <c r="I117" s="29"/>
      <c r="J117" s="29"/>
      <c r="K117" s="29"/>
      <c r="L117" s="29"/>
      <c r="M117" s="29"/>
      <c r="N117" s="29"/>
      <c r="O117" s="29"/>
      <c r="P117" s="29"/>
      <c r="Q117" s="29"/>
      <c r="R117" s="29"/>
      <c r="S117" s="29"/>
      <c r="T117" s="29"/>
      <c r="U117" s="29"/>
      <c r="V117" s="29"/>
      <c r="W117" s="29"/>
      <c r="X117" s="29"/>
      <c r="Y117" s="29"/>
      <c r="Z117" s="18"/>
    </row>
    <row r="118" ht="26.25" customHeight="1">
      <c r="A118" s="29"/>
      <c r="B118" s="29"/>
      <c r="C118" s="29"/>
      <c r="D118" s="6" t="s">
        <v>37</v>
      </c>
      <c r="E118" s="6" t="s">
        <v>308</v>
      </c>
      <c r="F118" s="6" t="s">
        <v>309</v>
      </c>
      <c r="G118" s="22"/>
      <c r="H118" s="29"/>
      <c r="I118" s="29"/>
      <c r="J118" s="29"/>
      <c r="K118" s="29"/>
      <c r="L118" s="29"/>
      <c r="M118" s="29"/>
      <c r="N118" s="29"/>
      <c r="O118" s="29"/>
      <c r="P118" s="29"/>
      <c r="Q118" s="29"/>
      <c r="R118" s="29"/>
      <c r="S118" s="29"/>
      <c r="T118" s="29"/>
      <c r="U118" s="29"/>
      <c r="V118" s="29"/>
      <c r="W118" s="29"/>
      <c r="X118" s="29"/>
      <c r="Y118" s="29"/>
      <c r="Z118" s="18"/>
    </row>
    <row r="119" ht="26.25" customHeight="1">
      <c r="A119" s="29"/>
      <c r="B119" s="29"/>
      <c r="C119" s="29"/>
      <c r="D119" s="25" t="s">
        <v>41</v>
      </c>
      <c r="E119" s="25" t="s">
        <v>310</v>
      </c>
      <c r="F119" s="25" t="s">
        <v>311</v>
      </c>
      <c r="G119" s="26"/>
      <c r="H119" s="29"/>
      <c r="I119" s="29"/>
      <c r="J119" s="29"/>
      <c r="K119" s="29"/>
      <c r="L119" s="29"/>
      <c r="M119" s="29"/>
      <c r="N119" s="29"/>
      <c r="O119" s="29"/>
      <c r="P119" s="29"/>
      <c r="Q119" s="29"/>
      <c r="R119" s="29"/>
      <c r="S119" s="29"/>
      <c r="T119" s="29"/>
      <c r="U119" s="29"/>
      <c r="V119" s="29"/>
      <c r="W119" s="29"/>
      <c r="X119" s="29"/>
      <c r="Y119" s="29"/>
      <c r="Z119" s="18"/>
    </row>
    <row r="120" ht="26.25" customHeight="1">
      <c r="A120" s="29"/>
      <c r="B120" s="29"/>
      <c r="C120" s="29"/>
      <c r="D120" s="6" t="s">
        <v>41</v>
      </c>
      <c r="E120" s="6" t="s">
        <v>312</v>
      </c>
      <c r="F120" s="6" t="s">
        <v>313</v>
      </c>
      <c r="G120" s="22"/>
      <c r="H120" s="29"/>
      <c r="I120" s="29"/>
      <c r="J120" s="29"/>
      <c r="K120" s="29"/>
      <c r="L120" s="29"/>
      <c r="M120" s="29"/>
      <c r="N120" s="29"/>
      <c r="O120" s="29"/>
      <c r="P120" s="29"/>
      <c r="Q120" s="29"/>
      <c r="R120" s="29"/>
      <c r="S120" s="29"/>
      <c r="T120" s="29"/>
      <c r="U120" s="29"/>
      <c r="V120" s="29"/>
      <c r="W120" s="29"/>
      <c r="X120" s="29"/>
      <c r="Y120" s="29"/>
      <c r="Z120" s="18"/>
    </row>
    <row r="121" ht="26.25" customHeight="1">
      <c r="A121" s="29"/>
      <c r="B121" s="29"/>
      <c r="C121" s="29"/>
      <c r="D121" s="20" t="s">
        <v>41</v>
      </c>
      <c r="E121" s="30" t="s">
        <v>314</v>
      </c>
      <c r="F121" s="20" t="s">
        <v>315</v>
      </c>
      <c r="G121" s="21" t="s">
        <v>316</v>
      </c>
      <c r="H121" s="29"/>
      <c r="I121" s="29"/>
      <c r="J121" s="29"/>
      <c r="K121" s="29"/>
      <c r="L121" s="29"/>
      <c r="M121" s="29"/>
      <c r="N121" s="29"/>
      <c r="O121" s="29"/>
      <c r="P121" s="29"/>
      <c r="Q121" s="29"/>
      <c r="R121" s="29"/>
      <c r="S121" s="29"/>
      <c r="T121" s="29"/>
      <c r="U121" s="29"/>
      <c r="V121" s="29"/>
      <c r="W121" s="29"/>
      <c r="X121" s="29"/>
      <c r="Y121" s="29"/>
      <c r="Z121" s="18"/>
    </row>
    <row r="122" ht="26.25" customHeight="1">
      <c r="A122" s="29"/>
      <c r="B122" s="29"/>
      <c r="C122" s="29"/>
      <c r="D122" s="20" t="s">
        <v>41</v>
      </c>
      <c r="E122" s="30" t="s">
        <v>317</v>
      </c>
      <c r="F122" s="20" t="s">
        <v>318</v>
      </c>
      <c r="G122" s="21" t="s">
        <v>319</v>
      </c>
      <c r="H122" s="29"/>
      <c r="I122" s="29"/>
      <c r="J122" s="29"/>
      <c r="K122" s="29"/>
      <c r="L122" s="29"/>
      <c r="M122" s="29"/>
      <c r="N122" s="29"/>
      <c r="O122" s="29"/>
      <c r="P122" s="29"/>
      <c r="Q122" s="29"/>
      <c r="R122" s="29"/>
      <c r="S122" s="29"/>
      <c r="T122" s="29"/>
      <c r="U122" s="29"/>
      <c r="V122" s="29"/>
      <c r="W122" s="29"/>
      <c r="X122" s="29"/>
      <c r="Y122" s="29"/>
      <c r="Z122" s="18"/>
    </row>
    <row r="123" ht="26.25" customHeight="1">
      <c r="A123" s="29"/>
      <c r="B123" s="29"/>
      <c r="C123" s="29"/>
      <c r="D123" s="6" t="s">
        <v>41</v>
      </c>
      <c r="E123" s="6" t="s">
        <v>320</v>
      </c>
      <c r="F123" s="6" t="s">
        <v>321</v>
      </c>
      <c r="G123" s="22"/>
      <c r="H123" s="29"/>
      <c r="I123" s="29"/>
      <c r="J123" s="29"/>
      <c r="K123" s="29"/>
      <c r="L123" s="29"/>
      <c r="M123" s="29"/>
      <c r="N123" s="29"/>
      <c r="O123" s="29"/>
      <c r="P123" s="29"/>
      <c r="Q123" s="29"/>
      <c r="R123" s="29"/>
      <c r="S123" s="29"/>
      <c r="T123" s="29"/>
      <c r="U123" s="29"/>
      <c r="V123" s="29"/>
      <c r="W123" s="29"/>
      <c r="X123" s="29"/>
      <c r="Y123" s="29"/>
      <c r="Z123" s="18"/>
    </row>
    <row r="124" ht="26.25" customHeight="1">
      <c r="A124" s="29"/>
      <c r="B124" s="29"/>
      <c r="C124" s="29"/>
      <c r="D124" s="20" t="s">
        <v>41</v>
      </c>
      <c r="E124" s="30" t="s">
        <v>322</v>
      </c>
      <c r="F124" s="20" t="s">
        <v>323</v>
      </c>
      <c r="G124" s="21" t="s">
        <v>324</v>
      </c>
      <c r="H124" s="29"/>
      <c r="I124" s="29"/>
      <c r="J124" s="29"/>
      <c r="K124" s="29"/>
      <c r="L124" s="29"/>
      <c r="M124" s="29"/>
      <c r="N124" s="29"/>
      <c r="O124" s="29"/>
      <c r="P124" s="29"/>
      <c r="Q124" s="29"/>
      <c r="R124" s="29"/>
      <c r="S124" s="29"/>
      <c r="T124" s="29"/>
      <c r="U124" s="29"/>
      <c r="V124" s="29"/>
      <c r="W124" s="29"/>
      <c r="X124" s="29"/>
      <c r="Y124" s="29"/>
      <c r="Z124" s="18"/>
    </row>
    <row r="125" ht="26.25" customHeight="1">
      <c r="A125" s="29"/>
      <c r="B125" s="29"/>
      <c r="C125" s="29"/>
      <c r="D125" s="20" t="s">
        <v>41</v>
      </c>
      <c r="E125" s="20" t="s">
        <v>325</v>
      </c>
      <c r="F125" s="20" t="s">
        <v>326</v>
      </c>
      <c r="G125" s="21" t="s">
        <v>327</v>
      </c>
      <c r="H125" s="29"/>
      <c r="I125" s="29"/>
      <c r="J125" s="29"/>
      <c r="K125" s="29"/>
      <c r="L125" s="29"/>
      <c r="M125" s="29"/>
      <c r="N125" s="29"/>
      <c r="O125" s="29"/>
      <c r="P125" s="29"/>
      <c r="Q125" s="29"/>
      <c r="R125" s="29"/>
      <c r="S125" s="29"/>
      <c r="T125" s="29"/>
      <c r="U125" s="29"/>
      <c r="V125" s="29"/>
      <c r="W125" s="29"/>
      <c r="X125" s="29"/>
      <c r="Y125" s="29"/>
      <c r="Z125" s="18"/>
    </row>
    <row r="126" ht="26.25" customHeight="1">
      <c r="A126" s="29"/>
      <c r="B126" s="29"/>
      <c r="C126" s="29"/>
      <c r="D126" s="20" t="s">
        <v>41</v>
      </c>
      <c r="E126" s="30" t="s">
        <v>328</v>
      </c>
      <c r="F126" s="20" t="s">
        <v>329</v>
      </c>
      <c r="G126" s="21" t="s">
        <v>330</v>
      </c>
      <c r="H126" s="29"/>
      <c r="I126" s="29"/>
      <c r="J126" s="29"/>
      <c r="K126" s="29"/>
      <c r="L126" s="29"/>
      <c r="M126" s="29"/>
      <c r="N126" s="29"/>
      <c r="O126" s="29"/>
      <c r="P126" s="29"/>
      <c r="Q126" s="29"/>
      <c r="R126" s="29"/>
      <c r="S126" s="29"/>
      <c r="T126" s="29"/>
      <c r="U126" s="29"/>
      <c r="V126" s="29"/>
      <c r="W126" s="29"/>
      <c r="X126" s="29"/>
      <c r="Y126" s="29"/>
      <c r="Z126" s="18"/>
    </row>
    <row r="127" ht="26.25" customHeight="1">
      <c r="A127" s="29"/>
      <c r="B127" s="29"/>
      <c r="C127" s="29"/>
      <c r="D127" s="6" t="s">
        <v>41</v>
      </c>
      <c r="E127" s="6" t="s">
        <v>331</v>
      </c>
      <c r="F127" s="6" t="s">
        <v>332</v>
      </c>
      <c r="G127" s="22"/>
      <c r="H127" s="29"/>
      <c r="I127" s="29"/>
      <c r="J127" s="29"/>
      <c r="K127" s="29"/>
      <c r="L127" s="29"/>
      <c r="M127" s="29"/>
      <c r="N127" s="29"/>
      <c r="O127" s="29"/>
      <c r="P127" s="29"/>
      <c r="Q127" s="29"/>
      <c r="R127" s="29"/>
      <c r="S127" s="29"/>
      <c r="T127" s="29"/>
      <c r="U127" s="29"/>
      <c r="V127" s="29"/>
      <c r="W127" s="29"/>
      <c r="X127" s="29"/>
      <c r="Y127" s="29"/>
      <c r="Z127" s="18"/>
    </row>
    <row r="128" ht="26.25" customHeight="1">
      <c r="A128" s="29"/>
      <c r="B128" s="29"/>
      <c r="C128" s="29"/>
      <c r="D128" s="20" t="s">
        <v>41</v>
      </c>
      <c r="E128" s="20" t="s">
        <v>333</v>
      </c>
      <c r="F128" s="20" t="s">
        <v>326</v>
      </c>
      <c r="G128" s="21" t="s">
        <v>327</v>
      </c>
      <c r="H128" s="29"/>
      <c r="I128" s="29"/>
      <c r="J128" s="29"/>
      <c r="K128" s="29"/>
      <c r="L128" s="29"/>
      <c r="M128" s="29"/>
      <c r="N128" s="29"/>
      <c r="O128" s="29"/>
      <c r="P128" s="29"/>
      <c r="Q128" s="29"/>
      <c r="R128" s="29"/>
      <c r="S128" s="29"/>
      <c r="T128" s="29"/>
      <c r="U128" s="29"/>
      <c r="V128" s="29"/>
      <c r="W128" s="29"/>
      <c r="X128" s="29"/>
      <c r="Y128" s="29"/>
      <c r="Z128" s="18"/>
    </row>
    <row r="129" ht="26.25" customHeight="1">
      <c r="A129" s="29"/>
      <c r="B129" s="29"/>
      <c r="C129" s="29"/>
      <c r="D129" s="6" t="s">
        <v>41</v>
      </c>
      <c r="E129" s="6" t="s">
        <v>334</v>
      </c>
      <c r="F129" s="6" t="s">
        <v>335</v>
      </c>
      <c r="G129" s="22"/>
      <c r="H129" s="29"/>
      <c r="I129" s="29"/>
      <c r="J129" s="29"/>
      <c r="K129" s="29"/>
      <c r="L129" s="29"/>
      <c r="M129" s="29"/>
      <c r="N129" s="29"/>
      <c r="O129" s="29"/>
      <c r="P129" s="29"/>
      <c r="Q129" s="29"/>
      <c r="R129" s="29"/>
      <c r="S129" s="29"/>
      <c r="T129" s="29"/>
      <c r="U129" s="29"/>
      <c r="V129" s="29"/>
      <c r="W129" s="29"/>
      <c r="X129" s="29"/>
      <c r="Y129" s="29"/>
      <c r="Z129" s="18"/>
    </row>
    <row r="130" ht="26.25" customHeight="1">
      <c r="A130" s="29"/>
      <c r="B130" s="29"/>
      <c r="C130" s="29"/>
      <c r="D130" s="6" t="s">
        <v>41</v>
      </c>
      <c r="E130" s="6" t="s">
        <v>336</v>
      </c>
      <c r="F130" s="6" t="s">
        <v>27</v>
      </c>
      <c r="G130" s="22"/>
      <c r="H130" s="29"/>
      <c r="I130" s="29"/>
      <c r="J130" s="29"/>
      <c r="K130" s="29"/>
      <c r="L130" s="29"/>
      <c r="M130" s="29"/>
      <c r="N130" s="29"/>
      <c r="O130" s="29"/>
      <c r="P130" s="29"/>
      <c r="Q130" s="29"/>
      <c r="R130" s="29"/>
      <c r="S130" s="29"/>
      <c r="T130" s="29"/>
      <c r="U130" s="29"/>
      <c r="V130" s="29"/>
      <c r="W130" s="29"/>
      <c r="X130" s="29"/>
      <c r="Y130" s="29"/>
      <c r="Z130" s="18"/>
    </row>
    <row r="131" ht="26.25" customHeight="1">
      <c r="A131" s="29"/>
      <c r="B131" s="29"/>
      <c r="C131" s="29"/>
      <c r="D131" s="20" t="s">
        <v>41</v>
      </c>
      <c r="E131" s="30" t="s">
        <v>337</v>
      </c>
      <c r="F131" s="20" t="s">
        <v>338</v>
      </c>
      <c r="G131" s="21" t="s">
        <v>339</v>
      </c>
      <c r="H131" s="29"/>
      <c r="I131" s="29"/>
      <c r="J131" s="29"/>
      <c r="K131" s="29"/>
      <c r="L131" s="29"/>
      <c r="M131" s="29"/>
      <c r="N131" s="29"/>
      <c r="O131" s="29"/>
      <c r="P131" s="29"/>
      <c r="Q131" s="29"/>
      <c r="R131" s="29"/>
      <c r="S131" s="29"/>
      <c r="T131" s="29"/>
      <c r="U131" s="29"/>
      <c r="V131" s="29"/>
      <c r="W131" s="29"/>
      <c r="X131" s="29"/>
      <c r="Y131" s="29"/>
      <c r="Z131" s="18"/>
    </row>
    <row r="132" ht="26.25" customHeight="1">
      <c r="A132" s="29"/>
      <c r="B132" s="29"/>
      <c r="C132" s="29"/>
      <c r="D132" s="6" t="s">
        <v>41</v>
      </c>
      <c r="E132" s="6" t="s">
        <v>340</v>
      </c>
      <c r="F132" s="6" t="s">
        <v>341</v>
      </c>
      <c r="G132" s="22"/>
      <c r="H132" s="29"/>
      <c r="I132" s="29"/>
      <c r="J132" s="29"/>
      <c r="K132" s="29"/>
      <c r="L132" s="29"/>
      <c r="M132" s="29"/>
      <c r="N132" s="29"/>
      <c r="O132" s="29"/>
      <c r="P132" s="29"/>
      <c r="Q132" s="29"/>
      <c r="R132" s="29"/>
      <c r="S132" s="29"/>
      <c r="T132" s="29"/>
      <c r="U132" s="29"/>
      <c r="V132" s="29"/>
      <c r="W132" s="29"/>
      <c r="X132" s="29"/>
      <c r="Y132" s="29"/>
      <c r="Z132" s="18"/>
    </row>
    <row r="133" ht="26.25" customHeight="1">
      <c r="A133" s="29"/>
      <c r="B133" s="29"/>
      <c r="C133" s="29"/>
      <c r="D133" s="20" t="s">
        <v>41</v>
      </c>
      <c r="E133" s="20" t="s">
        <v>342</v>
      </c>
      <c r="F133" s="20" t="s">
        <v>326</v>
      </c>
      <c r="G133" s="21" t="s">
        <v>343</v>
      </c>
      <c r="H133" s="29"/>
      <c r="I133" s="29"/>
      <c r="J133" s="29"/>
      <c r="K133" s="29"/>
      <c r="L133" s="29"/>
      <c r="M133" s="29"/>
      <c r="N133" s="29"/>
      <c r="O133" s="29"/>
      <c r="P133" s="29"/>
      <c r="Q133" s="29"/>
      <c r="R133" s="29"/>
      <c r="S133" s="29"/>
      <c r="T133" s="29"/>
      <c r="U133" s="29"/>
      <c r="V133" s="29"/>
      <c r="W133" s="29"/>
      <c r="X133" s="29"/>
      <c r="Y133" s="29"/>
      <c r="Z133" s="18"/>
    </row>
    <row r="134" ht="26.25" customHeight="1">
      <c r="A134" s="29"/>
      <c r="B134" s="29"/>
      <c r="C134" s="29"/>
      <c r="D134" s="6" t="s">
        <v>41</v>
      </c>
      <c r="E134" s="6" t="s">
        <v>344</v>
      </c>
      <c r="F134" s="6" t="s">
        <v>345</v>
      </c>
      <c r="G134" s="22"/>
      <c r="H134" s="29"/>
      <c r="I134" s="29"/>
      <c r="J134" s="29"/>
      <c r="K134" s="29"/>
      <c r="L134" s="29"/>
      <c r="M134" s="29"/>
      <c r="N134" s="29"/>
      <c r="O134" s="29"/>
      <c r="P134" s="29"/>
      <c r="Q134" s="29"/>
      <c r="R134" s="29"/>
      <c r="S134" s="29"/>
      <c r="T134" s="29"/>
      <c r="U134" s="29"/>
      <c r="V134" s="29"/>
      <c r="W134" s="29"/>
      <c r="X134" s="29"/>
      <c r="Y134" s="29"/>
      <c r="Z134" s="18"/>
    </row>
    <row r="135" ht="26.25" customHeight="1">
      <c r="A135" s="29"/>
      <c r="B135" s="29"/>
      <c r="C135" s="29"/>
      <c r="D135" s="6" t="s">
        <v>41</v>
      </c>
      <c r="E135" s="6" t="s">
        <v>346</v>
      </c>
      <c r="F135" s="6" t="s">
        <v>335</v>
      </c>
      <c r="G135" s="22"/>
      <c r="H135" s="29"/>
      <c r="I135" s="29"/>
      <c r="J135" s="29"/>
      <c r="K135" s="29"/>
      <c r="L135" s="29"/>
      <c r="M135" s="29"/>
      <c r="N135" s="29"/>
      <c r="O135" s="29"/>
      <c r="P135" s="29"/>
      <c r="Q135" s="29"/>
      <c r="R135" s="29"/>
      <c r="S135" s="29"/>
      <c r="T135" s="29"/>
      <c r="U135" s="29"/>
      <c r="V135" s="29"/>
      <c r="W135" s="29"/>
      <c r="X135" s="29"/>
      <c r="Y135" s="29"/>
      <c r="Z135" s="18"/>
    </row>
    <row r="136" ht="26.25" customHeight="1">
      <c r="A136" s="29"/>
      <c r="B136" s="29"/>
      <c r="C136" s="29"/>
      <c r="D136" s="20" t="s">
        <v>41</v>
      </c>
      <c r="E136" s="30" t="s">
        <v>347</v>
      </c>
      <c r="F136" s="20" t="s">
        <v>348</v>
      </c>
      <c r="G136" s="21" t="s">
        <v>349</v>
      </c>
      <c r="H136" s="29"/>
      <c r="I136" s="29"/>
      <c r="J136" s="31"/>
      <c r="K136" s="29"/>
      <c r="L136" s="29"/>
      <c r="M136" s="29"/>
      <c r="N136" s="29"/>
      <c r="O136" s="29"/>
      <c r="P136" s="29"/>
      <c r="Q136" s="29"/>
      <c r="R136" s="29"/>
      <c r="S136" s="29"/>
      <c r="T136" s="29"/>
      <c r="U136" s="29"/>
      <c r="V136" s="29"/>
      <c r="W136" s="29"/>
      <c r="X136" s="29"/>
      <c r="Y136" s="29"/>
      <c r="Z136" s="18"/>
    </row>
    <row r="137" ht="26.25" customHeight="1">
      <c r="A137" s="29"/>
      <c r="B137" s="31"/>
      <c r="C137" s="29"/>
      <c r="D137" s="20" t="s">
        <v>41</v>
      </c>
      <c r="E137" s="30" t="s">
        <v>350</v>
      </c>
      <c r="F137" s="20" t="s">
        <v>351</v>
      </c>
      <c r="G137" s="21" t="s">
        <v>352</v>
      </c>
      <c r="H137" s="29"/>
      <c r="I137" s="29"/>
      <c r="J137" s="31"/>
      <c r="K137" s="29"/>
      <c r="L137" s="29"/>
      <c r="M137" s="29"/>
      <c r="N137" s="29"/>
      <c r="O137" s="29"/>
      <c r="P137" s="29"/>
      <c r="Q137" s="29"/>
      <c r="R137" s="29"/>
      <c r="S137" s="29"/>
      <c r="T137" s="29"/>
      <c r="U137" s="29"/>
      <c r="V137" s="29"/>
      <c r="W137" s="29"/>
      <c r="X137" s="29"/>
      <c r="Y137" s="29"/>
      <c r="Z137" s="18"/>
    </row>
    <row r="138" ht="26.25" customHeight="1">
      <c r="A138" s="29"/>
      <c r="B138" s="31"/>
      <c r="C138" s="29"/>
      <c r="D138" s="6" t="s">
        <v>41</v>
      </c>
      <c r="E138" s="6" t="s">
        <v>353</v>
      </c>
      <c r="F138" s="6" t="s">
        <v>354</v>
      </c>
      <c r="G138" s="22"/>
      <c r="H138" s="29"/>
      <c r="I138" s="29"/>
      <c r="J138" s="31"/>
      <c r="K138" s="29"/>
      <c r="L138" s="29"/>
      <c r="M138" s="29"/>
      <c r="N138" s="29"/>
      <c r="O138" s="29"/>
      <c r="P138" s="29"/>
      <c r="Q138" s="29"/>
      <c r="R138" s="29"/>
      <c r="S138" s="29"/>
      <c r="T138" s="29"/>
      <c r="U138" s="29"/>
      <c r="V138" s="29"/>
      <c r="W138" s="29"/>
      <c r="X138" s="29"/>
      <c r="Y138" s="29"/>
      <c r="Z138" s="18"/>
    </row>
    <row r="139" ht="26.25" customHeight="1">
      <c r="A139" s="31"/>
      <c r="B139" s="31"/>
      <c r="C139" s="31"/>
      <c r="D139" s="32" t="s">
        <v>41</v>
      </c>
      <c r="E139" s="32" t="s">
        <v>355</v>
      </c>
      <c r="F139" s="32" t="s">
        <v>356</v>
      </c>
      <c r="G139" s="33"/>
      <c r="H139" s="31"/>
      <c r="I139" s="31"/>
      <c r="K139" s="31"/>
      <c r="L139" s="31"/>
      <c r="M139" s="31"/>
      <c r="N139" s="31"/>
      <c r="O139" s="31"/>
      <c r="P139" s="31"/>
      <c r="Q139" s="31"/>
      <c r="R139" s="31"/>
      <c r="S139" s="31"/>
      <c r="T139" s="31"/>
      <c r="U139" s="31"/>
      <c r="V139" s="31"/>
      <c r="W139" s="31"/>
      <c r="X139" s="31"/>
      <c r="Y139" s="31"/>
    </row>
    <row r="140" ht="26.25" customHeight="1">
      <c r="A140" s="31"/>
      <c r="B140" s="31"/>
      <c r="C140" s="31"/>
      <c r="D140" s="16" t="s">
        <v>41</v>
      </c>
      <c r="E140" s="16" t="s">
        <v>357</v>
      </c>
      <c r="F140" s="16" t="s">
        <v>354</v>
      </c>
      <c r="G140" s="17" t="s">
        <v>358</v>
      </c>
      <c r="H140" s="31"/>
      <c r="I140" s="31"/>
      <c r="K140" s="31"/>
      <c r="L140" s="31"/>
      <c r="M140" s="31"/>
      <c r="N140" s="31"/>
      <c r="O140" s="31"/>
      <c r="P140" s="31"/>
      <c r="Q140" s="31"/>
      <c r="R140" s="31"/>
      <c r="S140" s="31"/>
      <c r="T140" s="31"/>
      <c r="U140" s="31"/>
      <c r="V140" s="31"/>
      <c r="W140" s="31"/>
      <c r="X140" s="31"/>
      <c r="Y140" s="31"/>
    </row>
    <row r="141" ht="26.25" customHeight="1">
      <c r="A141" s="31"/>
      <c r="C141" s="31"/>
      <c r="D141" s="32" t="s">
        <v>45</v>
      </c>
      <c r="E141" s="32" t="s">
        <v>359</v>
      </c>
      <c r="F141" s="32" t="s">
        <v>27</v>
      </c>
      <c r="G141" s="33"/>
      <c r="H141" s="31"/>
      <c r="I141" s="31"/>
      <c r="K141" s="31"/>
      <c r="L141" s="31"/>
      <c r="M141" s="31"/>
      <c r="N141" s="31"/>
      <c r="O141" s="31"/>
      <c r="P141" s="31"/>
      <c r="Q141" s="31"/>
      <c r="R141" s="31"/>
      <c r="S141" s="31"/>
      <c r="T141" s="31"/>
      <c r="U141" s="31"/>
      <c r="V141" s="31"/>
      <c r="W141" s="31"/>
      <c r="X141" s="31"/>
      <c r="Y141" s="31"/>
    </row>
    <row r="142" ht="26.25" customHeight="1">
      <c r="D142" s="16" t="s">
        <v>49</v>
      </c>
      <c r="E142" s="16" t="s">
        <v>360</v>
      </c>
      <c r="F142" s="16" t="s">
        <v>361</v>
      </c>
      <c r="G142" s="17" t="s">
        <v>362</v>
      </c>
    </row>
    <row r="143" ht="26.25" customHeight="1">
      <c r="D143" s="16" t="s">
        <v>49</v>
      </c>
      <c r="E143" s="16" t="s">
        <v>363</v>
      </c>
      <c r="F143" s="16" t="s">
        <v>361</v>
      </c>
      <c r="G143" s="17" t="s">
        <v>364</v>
      </c>
    </row>
    <row r="144" ht="26.25" customHeight="1">
      <c r="D144" s="16" t="s">
        <v>49</v>
      </c>
      <c r="E144" s="16" t="s">
        <v>365</v>
      </c>
      <c r="F144" s="16" t="s">
        <v>366</v>
      </c>
      <c r="G144" s="17" t="s">
        <v>367</v>
      </c>
    </row>
    <row r="145" ht="26.25" customHeight="1">
      <c r="D145" s="34" t="s">
        <v>49</v>
      </c>
      <c r="E145" s="34" t="s">
        <v>368</v>
      </c>
      <c r="F145" s="34" t="s">
        <v>369</v>
      </c>
      <c r="G145" s="35"/>
    </row>
    <row r="146" ht="26.25" customHeight="1">
      <c r="D146" s="16" t="s">
        <v>49</v>
      </c>
      <c r="E146" s="16" t="s">
        <v>370</v>
      </c>
      <c r="F146" s="16" t="s">
        <v>371</v>
      </c>
      <c r="G146" s="17" t="s">
        <v>372</v>
      </c>
    </row>
    <row r="147" ht="26.25" customHeight="1">
      <c r="D147" s="16" t="s">
        <v>49</v>
      </c>
      <c r="E147" s="16" t="s">
        <v>373</v>
      </c>
      <c r="F147" s="16" t="s">
        <v>374</v>
      </c>
      <c r="G147" s="17" t="s">
        <v>375</v>
      </c>
    </row>
    <row r="148" ht="26.25" customHeight="1">
      <c r="D148" s="32" t="s">
        <v>49</v>
      </c>
      <c r="E148" s="32" t="s">
        <v>376</v>
      </c>
      <c r="F148" s="32" t="s">
        <v>377</v>
      </c>
      <c r="G148" s="33"/>
    </row>
    <row r="149" ht="26.25" customHeight="1">
      <c r="D149" s="16" t="s">
        <v>49</v>
      </c>
      <c r="E149" s="16" t="s">
        <v>378</v>
      </c>
      <c r="F149" s="16" t="s">
        <v>379</v>
      </c>
      <c r="G149" s="17" t="s">
        <v>380</v>
      </c>
    </row>
    <row r="150" ht="26.25" customHeight="1">
      <c r="D150" s="16" t="s">
        <v>49</v>
      </c>
      <c r="E150" s="16" t="s">
        <v>381</v>
      </c>
      <c r="F150" s="16" t="s">
        <v>173</v>
      </c>
      <c r="G150" s="36"/>
    </row>
    <row r="151" ht="26.25" customHeight="1">
      <c r="D151" s="16" t="s">
        <v>49</v>
      </c>
      <c r="E151" s="16" t="s">
        <v>382</v>
      </c>
      <c r="F151" s="16" t="s">
        <v>366</v>
      </c>
      <c r="G151" s="17" t="s">
        <v>383</v>
      </c>
    </row>
    <row r="152" ht="26.25" customHeight="1">
      <c r="D152" s="16" t="s">
        <v>49</v>
      </c>
      <c r="E152" s="16" t="s">
        <v>384</v>
      </c>
      <c r="F152" s="16" t="s">
        <v>385</v>
      </c>
      <c r="G152" s="17" t="s">
        <v>386</v>
      </c>
    </row>
    <row r="153" ht="26.25" customHeight="1">
      <c r="D153" s="16" t="s">
        <v>49</v>
      </c>
      <c r="E153" s="16" t="s">
        <v>387</v>
      </c>
      <c r="F153" s="16" t="s">
        <v>385</v>
      </c>
      <c r="G153" s="17" t="s">
        <v>388</v>
      </c>
    </row>
    <row r="154" ht="26.25" customHeight="1">
      <c r="D154" s="16" t="s">
        <v>49</v>
      </c>
      <c r="E154" s="16" t="s">
        <v>389</v>
      </c>
      <c r="F154" s="16" t="s">
        <v>390</v>
      </c>
      <c r="G154" s="17" t="s">
        <v>391</v>
      </c>
    </row>
    <row r="155" ht="26.25" customHeight="1">
      <c r="D155" s="16" t="s">
        <v>49</v>
      </c>
      <c r="E155" s="16" t="s">
        <v>392</v>
      </c>
      <c r="F155" s="16" t="s">
        <v>393</v>
      </c>
      <c r="G155" s="17" t="s">
        <v>394</v>
      </c>
    </row>
    <row r="156" ht="26.25" customHeight="1">
      <c r="D156" s="32" t="s">
        <v>49</v>
      </c>
      <c r="E156" s="32" t="s">
        <v>395</v>
      </c>
      <c r="F156" s="32" t="s">
        <v>27</v>
      </c>
      <c r="G156" s="33"/>
    </row>
    <row r="157" ht="26.25" customHeight="1">
      <c r="D157" s="32" t="s">
        <v>49</v>
      </c>
      <c r="E157" s="32" t="s">
        <v>396</v>
      </c>
      <c r="F157" s="32" t="s">
        <v>397</v>
      </c>
      <c r="G157" s="33"/>
    </row>
    <row r="158" ht="26.25" customHeight="1">
      <c r="D158" s="32" t="s">
        <v>49</v>
      </c>
      <c r="E158" s="32" t="s">
        <v>398</v>
      </c>
      <c r="F158" s="32" t="s">
        <v>399</v>
      </c>
      <c r="G158" s="33"/>
    </row>
    <row r="159" ht="26.25" customHeight="1">
      <c r="D159" s="32" t="s">
        <v>49</v>
      </c>
      <c r="E159" s="32" t="s">
        <v>400</v>
      </c>
      <c r="F159" s="32" t="s">
        <v>401</v>
      </c>
      <c r="G159" s="33"/>
    </row>
    <row r="160" ht="26.25" customHeight="1">
      <c r="D160" s="16" t="s">
        <v>49</v>
      </c>
      <c r="E160" s="16" t="s">
        <v>402</v>
      </c>
      <c r="F160" s="16" t="s">
        <v>369</v>
      </c>
      <c r="G160" s="17" t="s">
        <v>403</v>
      </c>
    </row>
    <row r="161" ht="26.25" customHeight="1">
      <c r="D161" s="32" t="s">
        <v>49</v>
      </c>
      <c r="E161" s="32" t="s">
        <v>404</v>
      </c>
      <c r="F161" s="32" t="s">
        <v>27</v>
      </c>
      <c r="G161" s="33"/>
    </row>
    <row r="162" ht="26.25" customHeight="1">
      <c r="D162" s="16" t="s">
        <v>49</v>
      </c>
      <c r="E162" s="16" t="s">
        <v>405</v>
      </c>
      <c r="F162" s="16" t="s">
        <v>406</v>
      </c>
      <c r="G162" s="17" t="s">
        <v>407</v>
      </c>
    </row>
    <row r="163" ht="26.25" customHeight="1">
      <c r="D163" s="16" t="s">
        <v>49</v>
      </c>
      <c r="E163" s="16" t="s">
        <v>408</v>
      </c>
      <c r="F163" s="16" t="s">
        <v>409</v>
      </c>
      <c r="G163" s="17" t="s">
        <v>410</v>
      </c>
    </row>
    <row r="164" ht="26.25" customHeight="1">
      <c r="D164" s="16" t="s">
        <v>49</v>
      </c>
      <c r="E164" s="16" t="s">
        <v>411</v>
      </c>
      <c r="F164" s="16" t="s">
        <v>409</v>
      </c>
      <c r="G164" s="17" t="s">
        <v>410</v>
      </c>
    </row>
    <row r="165" ht="26.25" customHeight="1">
      <c r="D165" s="16" t="s">
        <v>49</v>
      </c>
      <c r="E165" s="16" t="s">
        <v>412</v>
      </c>
      <c r="F165" s="16" t="s">
        <v>409</v>
      </c>
      <c r="G165" s="17" t="s">
        <v>410</v>
      </c>
    </row>
    <row r="166" ht="26.25" customHeight="1">
      <c r="D166" s="16" t="s">
        <v>49</v>
      </c>
      <c r="E166" s="16" t="s">
        <v>413</v>
      </c>
      <c r="F166" s="16" t="s">
        <v>406</v>
      </c>
      <c r="G166" s="17" t="s">
        <v>414</v>
      </c>
    </row>
    <row r="167" ht="26.25" customHeight="1">
      <c r="D167" s="16" t="s">
        <v>49</v>
      </c>
      <c r="E167" s="16" t="s">
        <v>415</v>
      </c>
      <c r="F167" s="16" t="s">
        <v>416</v>
      </c>
      <c r="G167" s="17" t="s">
        <v>417</v>
      </c>
    </row>
    <row r="168" ht="26.25" customHeight="1">
      <c r="D168" s="16" t="s">
        <v>49</v>
      </c>
      <c r="E168" s="16" t="s">
        <v>418</v>
      </c>
      <c r="F168" s="16" t="s">
        <v>366</v>
      </c>
      <c r="G168" s="17" t="s">
        <v>419</v>
      </c>
    </row>
    <row r="169" ht="26.25" customHeight="1">
      <c r="D169" s="16" t="s">
        <v>49</v>
      </c>
      <c r="E169" s="16" t="s">
        <v>420</v>
      </c>
      <c r="F169" s="16" t="s">
        <v>421</v>
      </c>
      <c r="G169" s="17" t="s">
        <v>422</v>
      </c>
    </row>
    <row r="170" ht="26.25" customHeight="1">
      <c r="D170" s="32" t="s">
        <v>51</v>
      </c>
      <c r="E170" s="32" t="s">
        <v>423</v>
      </c>
      <c r="F170" s="32" t="s">
        <v>27</v>
      </c>
      <c r="G170" s="33"/>
    </row>
    <row r="171" ht="26.25" customHeight="1">
      <c r="D171" s="16" t="s">
        <v>220</v>
      </c>
      <c r="E171" s="16" t="s">
        <v>424</v>
      </c>
      <c r="F171" s="16" t="s">
        <v>220</v>
      </c>
      <c r="G171" s="36"/>
    </row>
    <row r="172" ht="26.25" customHeight="1">
      <c r="D172" s="16" t="s">
        <v>220</v>
      </c>
      <c r="E172" s="16" t="s">
        <v>425</v>
      </c>
      <c r="F172" s="16" t="s">
        <v>220</v>
      </c>
      <c r="G172" s="17" t="s">
        <v>426</v>
      </c>
    </row>
    <row r="173" ht="26.25" customHeight="1">
      <c r="D173" s="20" t="s">
        <v>220</v>
      </c>
      <c r="E173" s="20" t="s">
        <v>427</v>
      </c>
      <c r="F173" s="20" t="s">
        <v>220</v>
      </c>
      <c r="G173" s="23"/>
    </row>
    <row r="174" ht="26.25" customHeight="1">
      <c r="D174" s="16" t="s">
        <v>220</v>
      </c>
      <c r="E174" s="16" t="s">
        <v>428</v>
      </c>
      <c r="F174" s="16" t="s">
        <v>220</v>
      </c>
      <c r="G174" s="36"/>
    </row>
    <row r="175" ht="26.25" customHeight="1">
      <c r="D175" s="32" t="s">
        <v>220</v>
      </c>
      <c r="E175" s="32" t="s">
        <v>429</v>
      </c>
      <c r="F175" s="32" t="s">
        <v>220</v>
      </c>
      <c r="G175" s="33"/>
      <c r="J175" s="19"/>
    </row>
    <row r="176" ht="26.25" customHeight="1">
      <c r="D176" s="32" t="s">
        <v>220</v>
      </c>
      <c r="E176" s="32" t="s">
        <v>430</v>
      </c>
      <c r="F176" s="32" t="s">
        <v>220</v>
      </c>
      <c r="G176" s="33"/>
    </row>
    <row r="177" ht="26.25" customHeight="1">
      <c r="D177" s="32" t="s">
        <v>220</v>
      </c>
      <c r="E177" s="32" t="s">
        <v>431</v>
      </c>
      <c r="F177" s="32" t="s">
        <v>220</v>
      </c>
      <c r="G177" s="33"/>
    </row>
    <row r="178" ht="26.25" customHeight="1">
      <c r="D178" s="20" t="s">
        <v>55</v>
      </c>
      <c r="E178" s="20" t="s">
        <v>432</v>
      </c>
      <c r="F178" s="20" t="s">
        <v>433</v>
      </c>
      <c r="G178" s="21" t="s">
        <v>434</v>
      </c>
    </row>
    <row r="179" ht="26.25" customHeight="1">
      <c r="D179" s="32" t="s">
        <v>55</v>
      </c>
      <c r="E179" s="32" t="s">
        <v>435</v>
      </c>
      <c r="F179" s="32" t="s">
        <v>436</v>
      </c>
      <c r="G179" s="33"/>
    </row>
    <row r="180" ht="26.25" customHeight="1">
      <c r="D180" s="32" t="s">
        <v>55</v>
      </c>
      <c r="E180" s="32" t="s">
        <v>437</v>
      </c>
      <c r="F180" s="32" t="s">
        <v>53</v>
      </c>
      <c r="G180" s="33"/>
      <c r="J180" s="19"/>
    </row>
    <row r="181" ht="26.25" customHeight="1">
      <c r="D181" s="32" t="s">
        <v>55</v>
      </c>
      <c r="E181" s="32" t="s">
        <v>438</v>
      </c>
      <c r="F181" s="32" t="s">
        <v>439</v>
      </c>
      <c r="G181" s="33"/>
    </row>
    <row r="182" ht="26.25" customHeight="1">
      <c r="D182" s="32" t="s">
        <v>55</v>
      </c>
      <c r="E182" s="32" t="s">
        <v>440</v>
      </c>
      <c r="F182" s="32" t="s">
        <v>441</v>
      </c>
      <c r="G182" s="33"/>
    </row>
    <row r="183" ht="26.25" customHeight="1">
      <c r="D183" s="16" t="s">
        <v>58</v>
      </c>
      <c r="E183" s="16" t="s">
        <v>442</v>
      </c>
      <c r="F183" s="16">
        <v>3200.0</v>
      </c>
      <c r="G183" s="17" t="s">
        <v>443</v>
      </c>
    </row>
    <row r="184" ht="26.25" customHeight="1">
      <c r="D184" s="32" t="s">
        <v>58</v>
      </c>
      <c r="E184" s="32" t="s">
        <v>444</v>
      </c>
      <c r="F184" s="32">
        <v>5200.0</v>
      </c>
      <c r="G184" s="33"/>
    </row>
    <row r="185" ht="26.25" customHeight="1">
      <c r="D185" s="16" t="s">
        <v>58</v>
      </c>
      <c r="E185" s="16" t="s">
        <v>445</v>
      </c>
      <c r="F185" s="16">
        <v>5300.0</v>
      </c>
      <c r="G185" s="17" t="s">
        <v>446</v>
      </c>
    </row>
    <row r="186" ht="26.25" customHeight="1">
      <c r="D186" s="32" t="s">
        <v>58</v>
      </c>
      <c r="E186" s="32" t="s">
        <v>447</v>
      </c>
      <c r="F186" s="32">
        <v>3601.0</v>
      </c>
      <c r="G186" s="33"/>
    </row>
    <row r="187" ht="26.25" customHeight="1">
      <c r="D187" s="16" t="s">
        <v>58</v>
      </c>
      <c r="E187" s="16" t="s">
        <v>448</v>
      </c>
      <c r="F187" s="16">
        <v>3100.0</v>
      </c>
      <c r="G187" s="17" t="s">
        <v>443</v>
      </c>
    </row>
    <row r="188" ht="26.25" customHeight="1">
      <c r="D188" s="16" t="s">
        <v>58</v>
      </c>
      <c r="E188" s="16" t="s">
        <v>449</v>
      </c>
      <c r="F188" s="16">
        <v>3211.0</v>
      </c>
      <c r="G188" s="17" t="s">
        <v>443</v>
      </c>
    </row>
    <row r="189" ht="26.25" customHeight="1">
      <c r="D189" s="16" t="s">
        <v>58</v>
      </c>
      <c r="E189" s="16" t="s">
        <v>450</v>
      </c>
      <c r="F189" s="16">
        <v>5300.0</v>
      </c>
      <c r="G189" s="17" t="s">
        <v>451</v>
      </c>
    </row>
    <row r="190" ht="26.25" customHeight="1">
      <c r="D190" s="37"/>
      <c r="E190" s="37"/>
      <c r="F190" s="37"/>
      <c r="G190" s="33"/>
    </row>
    <row r="191" ht="26.25" customHeight="1">
      <c r="D191" s="37"/>
      <c r="E191" s="37"/>
      <c r="F191" s="37"/>
      <c r="G191" s="33"/>
    </row>
    <row r="192" ht="26.25" customHeight="1">
      <c r="D192" s="37"/>
      <c r="E192" s="37"/>
      <c r="F192" s="37"/>
      <c r="G192" s="33"/>
    </row>
    <row r="193" ht="26.25" customHeight="1">
      <c r="D193" s="37"/>
      <c r="E193" s="37"/>
      <c r="F193" s="37"/>
      <c r="G193" s="33"/>
    </row>
    <row r="194">
      <c r="D194" s="5"/>
      <c r="E194" s="5"/>
      <c r="F194" s="5"/>
      <c r="G194" s="22"/>
    </row>
    <row r="195">
      <c r="D195" s="5"/>
      <c r="E195" s="5"/>
      <c r="F195" s="5"/>
      <c r="G195" s="22"/>
    </row>
    <row r="196">
      <c r="D196" s="5"/>
      <c r="E196" s="5"/>
      <c r="F196" s="5"/>
      <c r="G196" s="22"/>
    </row>
    <row r="197">
      <c r="D197" s="5"/>
      <c r="E197" s="5"/>
      <c r="F197" s="5"/>
      <c r="G197" s="22"/>
    </row>
    <row r="198">
      <c r="D198" s="5"/>
      <c r="E198" s="5"/>
      <c r="F198" s="5"/>
      <c r="G198" s="22"/>
    </row>
    <row r="199">
      <c r="D199" s="5"/>
      <c r="E199" s="5"/>
      <c r="F199" s="5"/>
      <c r="G199" s="22"/>
    </row>
    <row r="200">
      <c r="D200" s="5"/>
      <c r="E200" s="5"/>
      <c r="F200" s="5"/>
      <c r="G200" s="22"/>
    </row>
    <row r="201">
      <c r="D201" s="5"/>
      <c r="E201" s="5"/>
      <c r="F201" s="5"/>
      <c r="G201" s="22"/>
    </row>
    <row r="202">
      <c r="D202" s="5"/>
      <c r="E202" s="5"/>
      <c r="F202" s="5"/>
      <c r="G202" s="22"/>
    </row>
    <row r="203">
      <c r="D203" s="5"/>
      <c r="E203" s="5"/>
      <c r="F203" s="5"/>
      <c r="G203" s="22"/>
    </row>
    <row r="204">
      <c r="D204" s="5"/>
      <c r="E204" s="5"/>
      <c r="F204" s="5"/>
      <c r="G204" s="22"/>
    </row>
    <row r="205">
      <c r="D205" s="5"/>
      <c r="E205" s="5"/>
      <c r="F205" s="5"/>
      <c r="G205" s="22"/>
    </row>
    <row r="206">
      <c r="D206" s="5"/>
      <c r="E206" s="5"/>
      <c r="F206" s="5"/>
      <c r="G206" s="22"/>
    </row>
    <row r="207">
      <c r="D207" s="5"/>
      <c r="E207" s="5"/>
      <c r="F207" s="5"/>
      <c r="G207" s="22"/>
    </row>
    <row r="208">
      <c r="D208" s="5"/>
      <c r="E208" s="5"/>
      <c r="F208" s="5"/>
      <c r="G208" s="22"/>
    </row>
    <row r="209">
      <c r="D209" s="5"/>
      <c r="E209" s="5"/>
      <c r="F209" s="5"/>
      <c r="G209" s="22"/>
    </row>
    <row r="210">
      <c r="D210" s="5"/>
      <c r="E210" s="5"/>
      <c r="F210" s="5"/>
      <c r="G210" s="22"/>
    </row>
    <row r="211">
      <c r="D211" s="5"/>
      <c r="E211" s="5"/>
      <c r="F211" s="5"/>
      <c r="G211" s="22"/>
    </row>
    <row r="212">
      <c r="D212" s="5"/>
      <c r="E212" s="5"/>
      <c r="F212" s="5"/>
      <c r="G212" s="22"/>
    </row>
    <row r="213">
      <c r="D213" s="5"/>
      <c r="E213" s="5"/>
      <c r="F213" s="5"/>
      <c r="G213" s="22"/>
    </row>
    <row r="214">
      <c r="D214" s="5"/>
      <c r="E214" s="5"/>
      <c r="F214" s="5"/>
      <c r="G214" s="22"/>
    </row>
    <row r="215">
      <c r="D215" s="5"/>
      <c r="E215" s="5"/>
      <c r="F215" s="5"/>
      <c r="G215" s="22"/>
    </row>
    <row r="216">
      <c r="D216" s="5"/>
      <c r="E216" s="5"/>
      <c r="F216" s="5"/>
      <c r="G216" s="22"/>
    </row>
    <row r="217">
      <c r="D217" s="5"/>
      <c r="E217" s="5"/>
      <c r="F217" s="5"/>
      <c r="G217" s="22"/>
    </row>
    <row r="218">
      <c r="D218" s="5"/>
      <c r="E218" s="5"/>
      <c r="F218" s="5"/>
      <c r="G218" s="22"/>
    </row>
    <row r="219">
      <c r="D219" s="5"/>
      <c r="E219" s="5"/>
      <c r="F219" s="5"/>
      <c r="G219" s="22"/>
    </row>
    <row r="220">
      <c r="D220" s="5"/>
      <c r="E220" s="5"/>
      <c r="F220" s="5"/>
      <c r="G220" s="22"/>
    </row>
    <row r="221">
      <c r="D221" s="5"/>
      <c r="E221" s="5"/>
      <c r="F221" s="5"/>
      <c r="G221" s="22"/>
    </row>
    <row r="222">
      <c r="D222" s="5"/>
      <c r="E222" s="5"/>
      <c r="F222" s="5"/>
      <c r="G222" s="22"/>
    </row>
    <row r="223">
      <c r="D223" s="5"/>
      <c r="E223" s="5"/>
      <c r="F223" s="5"/>
      <c r="G223" s="22"/>
    </row>
    <row r="224">
      <c r="D224" s="5"/>
      <c r="E224" s="5"/>
      <c r="F224" s="5"/>
      <c r="G224" s="22"/>
    </row>
    <row r="225">
      <c r="D225" s="5"/>
      <c r="E225" s="5"/>
      <c r="F225" s="5"/>
      <c r="G225" s="22"/>
    </row>
    <row r="226">
      <c r="D226" s="5"/>
      <c r="E226" s="5"/>
      <c r="F226" s="5"/>
      <c r="G226" s="22"/>
    </row>
    <row r="227">
      <c r="D227" s="5"/>
      <c r="E227" s="5"/>
      <c r="F227" s="5"/>
      <c r="G227" s="22"/>
    </row>
    <row r="228">
      <c r="D228" s="5"/>
      <c r="E228" s="5"/>
      <c r="F228" s="5"/>
      <c r="G228" s="22"/>
    </row>
    <row r="229">
      <c r="D229" s="5"/>
      <c r="E229" s="5"/>
      <c r="F229" s="5"/>
      <c r="G229" s="22"/>
    </row>
    <row r="230">
      <c r="D230" s="5"/>
      <c r="E230" s="5"/>
      <c r="F230" s="5"/>
      <c r="G230" s="22"/>
    </row>
    <row r="231">
      <c r="D231" s="5"/>
      <c r="E231" s="5"/>
      <c r="F231" s="5"/>
      <c r="G231" s="22"/>
    </row>
    <row r="232">
      <c r="D232" s="5"/>
      <c r="E232" s="5"/>
      <c r="F232" s="5"/>
      <c r="G232" s="22"/>
    </row>
    <row r="233">
      <c r="D233" s="5"/>
      <c r="E233" s="5"/>
      <c r="F233" s="5"/>
      <c r="G233" s="22"/>
    </row>
    <row r="234">
      <c r="D234" s="5"/>
      <c r="E234" s="5"/>
      <c r="F234" s="5"/>
      <c r="G234" s="22"/>
    </row>
    <row r="235">
      <c r="D235" s="5"/>
      <c r="E235" s="5"/>
      <c r="F235" s="5"/>
      <c r="G235" s="22"/>
    </row>
    <row r="236">
      <c r="D236" s="5"/>
      <c r="E236" s="5"/>
      <c r="F236" s="5"/>
      <c r="G236" s="22"/>
    </row>
    <row r="237">
      <c r="D237" s="5"/>
      <c r="E237" s="5"/>
      <c r="F237" s="5"/>
      <c r="G237" s="22"/>
    </row>
    <row r="238">
      <c r="D238" s="5"/>
      <c r="E238" s="5"/>
      <c r="F238" s="5"/>
      <c r="G238" s="22"/>
    </row>
    <row r="239">
      <c r="D239" s="5"/>
      <c r="E239" s="5"/>
      <c r="F239" s="5"/>
      <c r="G239" s="22"/>
    </row>
    <row r="240">
      <c r="D240" s="5"/>
      <c r="E240" s="5"/>
      <c r="F240" s="5"/>
      <c r="G240" s="22"/>
    </row>
    <row r="241">
      <c r="D241" s="5"/>
      <c r="E241" s="5"/>
      <c r="F241" s="5"/>
      <c r="G241" s="22"/>
    </row>
    <row r="242">
      <c r="D242" s="5"/>
      <c r="E242" s="5"/>
      <c r="F242" s="5"/>
      <c r="G242" s="22"/>
    </row>
    <row r="243">
      <c r="D243" s="5"/>
      <c r="E243" s="5"/>
      <c r="F243" s="5"/>
      <c r="G243" s="22"/>
    </row>
    <row r="244">
      <c r="D244" s="5"/>
      <c r="E244" s="5"/>
      <c r="F244" s="5"/>
      <c r="G244" s="22"/>
    </row>
    <row r="245">
      <c r="D245" s="5"/>
      <c r="E245" s="5"/>
      <c r="F245" s="5"/>
      <c r="G245" s="22"/>
    </row>
    <row r="246">
      <c r="D246" s="5"/>
      <c r="E246" s="5"/>
      <c r="F246" s="5"/>
      <c r="G246" s="22"/>
    </row>
    <row r="247">
      <c r="D247" s="5"/>
      <c r="E247" s="5"/>
      <c r="F247" s="5"/>
      <c r="G247" s="22"/>
    </row>
    <row r="248">
      <c r="D248" s="5"/>
      <c r="E248" s="5"/>
      <c r="F248" s="5"/>
      <c r="G248" s="22"/>
    </row>
    <row r="249">
      <c r="D249" s="5"/>
      <c r="E249" s="5"/>
      <c r="F249" s="5"/>
      <c r="G249" s="22"/>
    </row>
    <row r="250">
      <c r="D250" s="5"/>
      <c r="E250" s="5"/>
      <c r="F250" s="5"/>
      <c r="G250" s="22"/>
    </row>
    <row r="251">
      <c r="D251" s="5"/>
      <c r="E251" s="5"/>
      <c r="F251" s="5"/>
      <c r="G251" s="22"/>
    </row>
    <row r="252">
      <c r="D252" s="5"/>
      <c r="E252" s="5"/>
      <c r="F252" s="5"/>
      <c r="G252" s="22"/>
    </row>
    <row r="253">
      <c r="D253" s="5"/>
      <c r="E253" s="5"/>
      <c r="F253" s="5"/>
      <c r="G253" s="22"/>
    </row>
    <row r="254">
      <c r="D254" s="5"/>
      <c r="E254" s="5"/>
      <c r="F254" s="5"/>
      <c r="G254" s="22"/>
    </row>
    <row r="255">
      <c r="D255" s="5"/>
      <c r="E255" s="5"/>
      <c r="F255" s="5"/>
      <c r="G255" s="22"/>
    </row>
    <row r="256">
      <c r="D256" s="5"/>
      <c r="E256" s="5"/>
      <c r="F256" s="5"/>
      <c r="G256" s="22"/>
    </row>
    <row r="257">
      <c r="D257" s="5"/>
      <c r="E257" s="5"/>
      <c r="F257" s="5"/>
      <c r="G257" s="22"/>
    </row>
    <row r="258">
      <c r="D258" s="5"/>
      <c r="E258" s="5"/>
      <c r="F258" s="5"/>
      <c r="G258" s="22"/>
    </row>
    <row r="259">
      <c r="D259" s="5"/>
      <c r="E259" s="5"/>
      <c r="F259" s="5"/>
      <c r="G259" s="22"/>
    </row>
    <row r="260">
      <c r="D260" s="5"/>
      <c r="E260" s="5"/>
      <c r="F260" s="5"/>
      <c r="G260" s="22"/>
    </row>
    <row r="261">
      <c r="D261" s="5"/>
      <c r="E261" s="5"/>
      <c r="F261" s="5"/>
      <c r="G261" s="22"/>
    </row>
    <row r="262">
      <c r="D262" s="5"/>
      <c r="E262" s="5"/>
      <c r="F262" s="5"/>
      <c r="G262" s="22"/>
    </row>
    <row r="263">
      <c r="D263" s="5"/>
      <c r="E263" s="5"/>
      <c r="F263" s="5"/>
      <c r="G263" s="22"/>
    </row>
    <row r="264">
      <c r="D264" s="5"/>
      <c r="E264" s="5"/>
      <c r="F264" s="5"/>
      <c r="G264" s="22"/>
    </row>
    <row r="265">
      <c r="D265" s="5"/>
      <c r="E265" s="5"/>
      <c r="F265" s="5"/>
      <c r="G265" s="22"/>
    </row>
    <row r="266">
      <c r="D266" s="5"/>
      <c r="E266" s="5"/>
      <c r="F266" s="5"/>
      <c r="G266" s="22"/>
    </row>
    <row r="267">
      <c r="D267" s="5"/>
      <c r="E267" s="5"/>
      <c r="F267" s="5"/>
      <c r="G267" s="22"/>
    </row>
    <row r="268">
      <c r="D268" s="5"/>
      <c r="E268" s="5"/>
      <c r="F268" s="5"/>
      <c r="G268" s="22"/>
    </row>
    <row r="269">
      <c r="D269" s="5"/>
      <c r="E269" s="5"/>
      <c r="F269" s="5"/>
      <c r="G269" s="22"/>
    </row>
    <row r="270">
      <c r="D270" s="5"/>
      <c r="E270" s="5"/>
      <c r="F270" s="5"/>
      <c r="G270" s="22"/>
    </row>
    <row r="271">
      <c r="D271" s="5"/>
      <c r="E271" s="5"/>
      <c r="F271" s="5"/>
      <c r="G271" s="22"/>
    </row>
    <row r="272">
      <c r="D272" s="5"/>
      <c r="E272" s="5"/>
      <c r="F272" s="5"/>
      <c r="G272" s="22"/>
    </row>
    <row r="273">
      <c r="D273" s="5"/>
      <c r="E273" s="5"/>
      <c r="F273" s="5"/>
      <c r="G273" s="22"/>
    </row>
    <row r="274">
      <c r="D274" s="5"/>
      <c r="E274" s="5"/>
      <c r="F274" s="5"/>
      <c r="G274" s="22"/>
    </row>
    <row r="275">
      <c r="D275" s="5"/>
      <c r="E275" s="5"/>
      <c r="F275" s="5"/>
      <c r="G275" s="22"/>
    </row>
    <row r="276">
      <c r="D276" s="5"/>
      <c r="E276" s="5"/>
      <c r="F276" s="5"/>
      <c r="G276" s="22"/>
    </row>
    <row r="277">
      <c r="D277" s="5"/>
      <c r="E277" s="5"/>
      <c r="F277" s="5"/>
      <c r="G277" s="22"/>
    </row>
    <row r="278">
      <c r="D278" s="5"/>
      <c r="E278" s="5"/>
      <c r="F278" s="5"/>
      <c r="G278" s="22"/>
    </row>
    <row r="279">
      <c r="D279" s="5"/>
      <c r="E279" s="5"/>
      <c r="F279" s="5"/>
      <c r="G279" s="22"/>
    </row>
    <row r="280">
      <c r="D280" s="5"/>
      <c r="E280" s="5"/>
      <c r="F280" s="5"/>
      <c r="G280" s="22"/>
    </row>
    <row r="281">
      <c r="D281" s="5"/>
      <c r="E281" s="5"/>
      <c r="F281" s="5"/>
      <c r="G281" s="22"/>
    </row>
    <row r="282">
      <c r="D282" s="5"/>
      <c r="E282" s="5"/>
      <c r="F282" s="5"/>
      <c r="G282" s="22"/>
    </row>
    <row r="283">
      <c r="D283" s="5"/>
      <c r="E283" s="5"/>
      <c r="F283" s="5"/>
      <c r="G283" s="22"/>
    </row>
    <row r="284">
      <c r="D284" s="5"/>
      <c r="E284" s="5"/>
      <c r="F284" s="5"/>
      <c r="G284" s="22"/>
    </row>
    <row r="285">
      <c r="D285" s="5"/>
      <c r="E285" s="5"/>
      <c r="F285" s="5"/>
      <c r="G285" s="22"/>
    </row>
    <row r="286">
      <c r="D286" s="5"/>
      <c r="E286" s="5"/>
      <c r="F286" s="5"/>
      <c r="G286" s="22"/>
    </row>
    <row r="287">
      <c r="D287" s="5"/>
      <c r="E287" s="5"/>
      <c r="F287" s="5"/>
      <c r="G287" s="22"/>
    </row>
    <row r="288">
      <c r="D288" s="5"/>
      <c r="E288" s="5"/>
      <c r="F288" s="5"/>
      <c r="G288" s="22"/>
    </row>
    <row r="289">
      <c r="D289" s="5"/>
      <c r="E289" s="5"/>
      <c r="F289" s="5"/>
      <c r="G289" s="22"/>
    </row>
    <row r="290">
      <c r="D290" s="5"/>
      <c r="E290" s="5"/>
      <c r="F290" s="5"/>
      <c r="G290" s="22"/>
    </row>
    <row r="291">
      <c r="D291" s="5"/>
      <c r="E291" s="5"/>
      <c r="F291" s="5"/>
      <c r="G291" s="22"/>
    </row>
    <row r="292">
      <c r="D292" s="5"/>
      <c r="E292" s="5"/>
      <c r="F292" s="5"/>
      <c r="G292" s="22"/>
    </row>
    <row r="293">
      <c r="D293" s="5"/>
      <c r="E293" s="5"/>
      <c r="F293" s="5"/>
      <c r="G293" s="22"/>
    </row>
    <row r="294">
      <c r="D294" s="5"/>
      <c r="E294" s="5"/>
      <c r="F294" s="5"/>
      <c r="G294" s="22"/>
    </row>
    <row r="295">
      <c r="D295" s="5"/>
      <c r="E295" s="5"/>
      <c r="F295" s="5"/>
      <c r="G295" s="22"/>
    </row>
    <row r="296">
      <c r="D296" s="5"/>
      <c r="E296" s="5"/>
      <c r="F296" s="5"/>
      <c r="G296" s="22"/>
    </row>
    <row r="297">
      <c r="D297" s="5"/>
      <c r="E297" s="5"/>
      <c r="F297" s="5"/>
      <c r="G297" s="22"/>
    </row>
    <row r="298">
      <c r="D298" s="5"/>
      <c r="E298" s="5"/>
      <c r="F298" s="5"/>
      <c r="G298" s="22"/>
    </row>
    <row r="299">
      <c r="D299" s="5"/>
      <c r="E299" s="5"/>
      <c r="F299" s="5"/>
      <c r="G299" s="22"/>
    </row>
    <row r="300">
      <c r="D300" s="5"/>
      <c r="E300" s="5"/>
      <c r="F300" s="5"/>
      <c r="G300" s="22"/>
    </row>
    <row r="301">
      <c r="D301" s="5"/>
      <c r="E301" s="5"/>
      <c r="F301" s="5"/>
      <c r="G301" s="22"/>
    </row>
    <row r="302">
      <c r="D302" s="5"/>
      <c r="E302" s="5"/>
      <c r="F302" s="5"/>
      <c r="G302" s="22"/>
    </row>
    <row r="303">
      <c r="D303" s="5"/>
      <c r="E303" s="5"/>
      <c r="F303" s="5"/>
      <c r="G303" s="22"/>
    </row>
    <row r="304">
      <c r="D304" s="5"/>
      <c r="E304" s="5"/>
      <c r="F304" s="5"/>
      <c r="G304" s="22"/>
    </row>
    <row r="305">
      <c r="D305" s="5"/>
      <c r="E305" s="5"/>
      <c r="F305" s="5"/>
      <c r="G305" s="22"/>
    </row>
    <row r="306">
      <c r="D306" s="5"/>
      <c r="E306" s="5"/>
      <c r="F306" s="5"/>
      <c r="G306" s="22"/>
    </row>
    <row r="307">
      <c r="D307" s="5"/>
      <c r="E307" s="5"/>
      <c r="F307" s="5"/>
      <c r="G307" s="22"/>
    </row>
    <row r="308">
      <c r="D308" s="5"/>
      <c r="E308" s="5"/>
      <c r="F308" s="5"/>
      <c r="G308" s="22"/>
    </row>
    <row r="309">
      <c r="D309" s="5"/>
      <c r="E309" s="5"/>
      <c r="F309" s="5"/>
      <c r="G309" s="22"/>
    </row>
    <row r="310">
      <c r="D310" s="5"/>
      <c r="E310" s="5"/>
      <c r="F310" s="5"/>
      <c r="G310" s="22"/>
    </row>
    <row r="311">
      <c r="D311" s="5"/>
      <c r="E311" s="5"/>
      <c r="F311" s="5"/>
      <c r="G311" s="22"/>
    </row>
    <row r="312">
      <c r="D312" s="5"/>
      <c r="E312" s="5"/>
      <c r="F312" s="5"/>
      <c r="G312" s="22"/>
    </row>
    <row r="313">
      <c r="D313" s="5"/>
      <c r="E313" s="5"/>
      <c r="F313" s="5"/>
      <c r="G313" s="22"/>
    </row>
    <row r="314">
      <c r="D314" s="5"/>
      <c r="E314" s="5"/>
      <c r="F314" s="5"/>
      <c r="G314" s="22"/>
    </row>
    <row r="315">
      <c r="D315" s="5"/>
      <c r="E315" s="5"/>
      <c r="F315" s="5"/>
      <c r="G315" s="22"/>
    </row>
    <row r="316">
      <c r="D316" s="5"/>
      <c r="E316" s="5"/>
      <c r="F316" s="5"/>
      <c r="G316" s="22"/>
    </row>
    <row r="317">
      <c r="D317" s="5"/>
      <c r="E317" s="5"/>
      <c r="F317" s="5"/>
      <c r="G317" s="22"/>
    </row>
    <row r="318">
      <c r="D318" s="5"/>
      <c r="E318" s="5"/>
      <c r="F318" s="5"/>
      <c r="G318" s="22"/>
    </row>
    <row r="319">
      <c r="D319" s="5"/>
      <c r="E319" s="5"/>
      <c r="F319" s="5"/>
      <c r="G319" s="22"/>
    </row>
    <row r="320">
      <c r="D320" s="5"/>
      <c r="E320" s="5"/>
      <c r="F320" s="5"/>
      <c r="G320" s="22"/>
    </row>
    <row r="321">
      <c r="D321" s="5"/>
      <c r="E321" s="5"/>
      <c r="F321" s="5"/>
      <c r="G321" s="22"/>
    </row>
    <row r="322">
      <c r="D322" s="5"/>
      <c r="E322" s="5"/>
      <c r="F322" s="5"/>
      <c r="G322" s="22"/>
    </row>
    <row r="323">
      <c r="D323" s="5"/>
      <c r="E323" s="5"/>
      <c r="F323" s="5"/>
      <c r="G323" s="22"/>
    </row>
    <row r="324">
      <c r="D324" s="5"/>
      <c r="E324" s="5"/>
      <c r="F324" s="5"/>
      <c r="G324" s="22"/>
    </row>
    <row r="325">
      <c r="D325" s="5"/>
      <c r="E325" s="5"/>
      <c r="F325" s="5"/>
      <c r="G325" s="22"/>
    </row>
    <row r="326">
      <c r="D326" s="5"/>
      <c r="E326" s="5"/>
      <c r="F326" s="5"/>
      <c r="G326" s="22"/>
    </row>
    <row r="327">
      <c r="D327" s="5"/>
      <c r="E327" s="5"/>
      <c r="F327" s="5"/>
      <c r="G327" s="22"/>
    </row>
    <row r="328">
      <c r="D328" s="5"/>
      <c r="E328" s="5"/>
      <c r="F328" s="5"/>
      <c r="G328" s="22"/>
    </row>
    <row r="329">
      <c r="D329" s="5"/>
      <c r="E329" s="5"/>
      <c r="F329" s="5"/>
      <c r="G329" s="22"/>
    </row>
    <row r="330">
      <c r="D330" s="5"/>
      <c r="E330" s="5"/>
      <c r="F330" s="5"/>
      <c r="G330" s="22"/>
    </row>
    <row r="331">
      <c r="D331" s="5"/>
      <c r="E331" s="5"/>
      <c r="F331" s="5"/>
      <c r="G331" s="22"/>
    </row>
    <row r="332">
      <c r="D332" s="5"/>
      <c r="E332" s="5"/>
      <c r="F332" s="5"/>
      <c r="G332" s="22"/>
    </row>
    <row r="333">
      <c r="D333" s="5"/>
      <c r="E333" s="5"/>
      <c r="F333" s="5"/>
      <c r="G333" s="22"/>
    </row>
    <row r="334">
      <c r="D334" s="5"/>
      <c r="E334" s="5"/>
      <c r="F334" s="5"/>
      <c r="G334" s="22"/>
    </row>
    <row r="335">
      <c r="D335" s="5"/>
      <c r="E335" s="5"/>
      <c r="F335" s="5"/>
      <c r="G335" s="22"/>
    </row>
    <row r="336">
      <c r="D336" s="5"/>
      <c r="E336" s="5"/>
      <c r="F336" s="5"/>
      <c r="G336" s="22"/>
    </row>
    <row r="337">
      <c r="D337" s="5"/>
      <c r="E337" s="5"/>
      <c r="F337" s="5"/>
      <c r="G337" s="22"/>
    </row>
    <row r="338">
      <c r="D338" s="5"/>
      <c r="E338" s="5"/>
      <c r="F338" s="5"/>
      <c r="G338" s="22"/>
    </row>
    <row r="339">
      <c r="D339" s="5"/>
      <c r="E339" s="5"/>
      <c r="F339" s="5"/>
      <c r="G339" s="22"/>
    </row>
    <row r="340">
      <c r="D340" s="5"/>
      <c r="E340" s="5"/>
      <c r="F340" s="5"/>
      <c r="G340" s="22"/>
    </row>
    <row r="341">
      <c r="D341" s="5"/>
      <c r="E341" s="5"/>
      <c r="F341" s="5"/>
      <c r="G341" s="22"/>
    </row>
    <row r="342">
      <c r="D342" s="5"/>
      <c r="E342" s="5"/>
      <c r="F342" s="5"/>
      <c r="G342" s="22"/>
    </row>
    <row r="343">
      <c r="D343" s="5"/>
      <c r="E343" s="5"/>
      <c r="F343" s="5"/>
      <c r="G343" s="22"/>
    </row>
    <row r="344">
      <c r="D344" s="5"/>
      <c r="E344" s="5"/>
      <c r="F344" s="5"/>
      <c r="G344" s="22"/>
    </row>
    <row r="345">
      <c r="D345" s="5"/>
      <c r="E345" s="5"/>
      <c r="F345" s="5"/>
      <c r="G345" s="22"/>
    </row>
    <row r="346">
      <c r="D346" s="5"/>
      <c r="E346" s="5"/>
      <c r="F346" s="5"/>
      <c r="G346" s="22"/>
    </row>
    <row r="347">
      <c r="D347" s="5"/>
      <c r="E347" s="5"/>
      <c r="F347" s="5"/>
      <c r="G347" s="22"/>
    </row>
    <row r="348">
      <c r="D348" s="5"/>
      <c r="E348" s="5"/>
      <c r="F348" s="5"/>
      <c r="G348" s="22"/>
    </row>
    <row r="349">
      <c r="D349" s="5"/>
      <c r="E349" s="5"/>
      <c r="F349" s="5"/>
      <c r="G349" s="22"/>
    </row>
    <row r="350">
      <c r="D350" s="5"/>
      <c r="E350" s="5"/>
      <c r="F350" s="5"/>
      <c r="G350" s="22"/>
    </row>
    <row r="351">
      <c r="D351" s="5"/>
      <c r="E351" s="5"/>
      <c r="F351" s="5"/>
      <c r="G351" s="22"/>
    </row>
    <row r="352">
      <c r="D352" s="5"/>
      <c r="E352" s="5"/>
      <c r="F352" s="5"/>
      <c r="G352" s="22"/>
    </row>
    <row r="353">
      <c r="D353" s="5"/>
      <c r="E353" s="5"/>
      <c r="F353" s="5"/>
      <c r="G353" s="22"/>
    </row>
    <row r="354">
      <c r="D354" s="5"/>
      <c r="E354" s="5"/>
      <c r="F354" s="5"/>
      <c r="G354" s="22"/>
    </row>
    <row r="355">
      <c r="D355" s="5"/>
      <c r="E355" s="5"/>
      <c r="F355" s="5"/>
      <c r="G355" s="22"/>
    </row>
    <row r="356">
      <c r="D356" s="5"/>
      <c r="E356" s="5"/>
      <c r="F356" s="5"/>
      <c r="G356" s="22"/>
    </row>
    <row r="357">
      <c r="D357" s="5"/>
      <c r="E357" s="5"/>
      <c r="F357" s="5"/>
      <c r="G357" s="22"/>
    </row>
    <row r="358">
      <c r="D358" s="5"/>
      <c r="E358" s="5"/>
      <c r="F358" s="5"/>
      <c r="G358" s="22"/>
    </row>
    <row r="359">
      <c r="D359" s="5"/>
      <c r="E359" s="5"/>
      <c r="F359" s="5"/>
      <c r="G359" s="22"/>
    </row>
    <row r="360">
      <c r="D360" s="5"/>
      <c r="E360" s="5"/>
      <c r="F360" s="5"/>
      <c r="G360" s="22"/>
    </row>
    <row r="361">
      <c r="D361" s="5"/>
      <c r="E361" s="5"/>
      <c r="F361" s="5"/>
      <c r="G361" s="22"/>
    </row>
    <row r="362">
      <c r="D362" s="5"/>
      <c r="E362" s="5"/>
      <c r="F362" s="5"/>
      <c r="G362" s="22"/>
    </row>
    <row r="363">
      <c r="D363" s="5"/>
      <c r="E363" s="5"/>
      <c r="F363" s="5"/>
      <c r="G363" s="22"/>
    </row>
    <row r="364">
      <c r="D364" s="5"/>
      <c r="E364" s="5"/>
      <c r="F364" s="5"/>
      <c r="G364" s="22"/>
    </row>
    <row r="365">
      <c r="D365" s="5"/>
      <c r="E365" s="5"/>
      <c r="F365" s="5"/>
      <c r="G365" s="22"/>
    </row>
    <row r="366">
      <c r="D366" s="5"/>
      <c r="E366" s="5"/>
      <c r="F366" s="5"/>
      <c r="G366" s="22"/>
    </row>
    <row r="367">
      <c r="D367" s="5"/>
      <c r="E367" s="5"/>
      <c r="F367" s="5"/>
      <c r="G367" s="22"/>
    </row>
    <row r="368">
      <c r="D368" s="5"/>
      <c r="E368" s="5"/>
      <c r="F368" s="5"/>
      <c r="G368" s="22"/>
    </row>
    <row r="369">
      <c r="D369" s="5"/>
      <c r="E369" s="5"/>
      <c r="F369" s="5"/>
      <c r="G369" s="22"/>
    </row>
    <row r="370">
      <c r="D370" s="5"/>
      <c r="E370" s="5"/>
      <c r="F370" s="5"/>
      <c r="G370" s="22"/>
    </row>
    <row r="371">
      <c r="D371" s="5"/>
      <c r="E371" s="5"/>
      <c r="F371" s="5"/>
      <c r="G371" s="22"/>
    </row>
    <row r="372">
      <c r="D372" s="5"/>
      <c r="E372" s="5"/>
      <c r="F372" s="5"/>
      <c r="G372" s="22"/>
    </row>
    <row r="373">
      <c r="D373" s="5"/>
      <c r="E373" s="5"/>
      <c r="F373" s="5"/>
      <c r="G373" s="22"/>
    </row>
    <row r="374">
      <c r="D374" s="5"/>
      <c r="E374" s="5"/>
      <c r="F374" s="5"/>
      <c r="G374" s="22"/>
    </row>
    <row r="375">
      <c r="D375" s="5"/>
      <c r="E375" s="5"/>
      <c r="F375" s="5"/>
      <c r="G375" s="22"/>
    </row>
    <row r="376">
      <c r="D376" s="5"/>
      <c r="E376" s="5"/>
      <c r="F376" s="5"/>
      <c r="G376" s="22"/>
    </row>
    <row r="377">
      <c r="D377" s="5"/>
      <c r="E377" s="5"/>
      <c r="F377" s="5"/>
      <c r="G377" s="22"/>
    </row>
    <row r="378">
      <c r="D378" s="5"/>
      <c r="E378" s="5"/>
      <c r="F378" s="5"/>
      <c r="G378" s="22"/>
    </row>
    <row r="379">
      <c r="D379" s="5"/>
      <c r="E379" s="5"/>
      <c r="F379" s="5"/>
      <c r="G379" s="22"/>
    </row>
    <row r="380">
      <c r="D380" s="5"/>
      <c r="E380" s="5"/>
      <c r="F380" s="5"/>
      <c r="G380" s="22"/>
    </row>
    <row r="381">
      <c r="D381" s="5"/>
      <c r="E381" s="5"/>
      <c r="F381" s="5"/>
      <c r="G381" s="22"/>
    </row>
    <row r="382">
      <c r="D382" s="5"/>
      <c r="E382" s="5"/>
      <c r="F382" s="5"/>
      <c r="G382" s="22"/>
    </row>
    <row r="383">
      <c r="D383" s="5"/>
      <c r="E383" s="5"/>
      <c r="F383" s="5"/>
      <c r="G383" s="22"/>
    </row>
    <row r="384">
      <c r="D384" s="5"/>
      <c r="E384" s="5"/>
      <c r="F384" s="5"/>
      <c r="G384" s="22"/>
    </row>
    <row r="385">
      <c r="D385" s="5"/>
      <c r="E385" s="5"/>
      <c r="F385" s="5"/>
      <c r="G385" s="22"/>
    </row>
    <row r="386">
      <c r="D386" s="5"/>
      <c r="E386" s="5"/>
      <c r="F386" s="5"/>
      <c r="G386" s="22"/>
    </row>
    <row r="387">
      <c r="D387" s="5"/>
      <c r="E387" s="5"/>
      <c r="F387" s="5"/>
      <c r="G387" s="22"/>
    </row>
    <row r="388">
      <c r="D388" s="5"/>
      <c r="E388" s="5"/>
      <c r="F388" s="5"/>
      <c r="G388" s="22"/>
    </row>
    <row r="389">
      <c r="D389" s="5"/>
      <c r="E389" s="5"/>
      <c r="F389" s="5"/>
      <c r="G389" s="22"/>
    </row>
    <row r="390">
      <c r="D390" s="5"/>
      <c r="E390" s="5"/>
      <c r="F390" s="5"/>
      <c r="G390" s="22"/>
    </row>
    <row r="391">
      <c r="D391" s="5"/>
      <c r="E391" s="5"/>
      <c r="F391" s="5"/>
      <c r="G391" s="22"/>
    </row>
    <row r="392">
      <c r="D392" s="5"/>
      <c r="E392" s="5"/>
      <c r="F392" s="5"/>
      <c r="G392" s="22"/>
    </row>
    <row r="393">
      <c r="D393" s="5"/>
      <c r="E393" s="5"/>
      <c r="F393" s="5"/>
      <c r="G393" s="22"/>
    </row>
    <row r="394">
      <c r="D394" s="5"/>
      <c r="E394" s="5"/>
      <c r="F394" s="5"/>
      <c r="G394" s="22"/>
    </row>
    <row r="395">
      <c r="D395" s="5"/>
      <c r="E395" s="5"/>
      <c r="F395" s="5"/>
      <c r="G395" s="22"/>
    </row>
    <row r="396">
      <c r="D396" s="5"/>
      <c r="E396" s="5"/>
      <c r="F396" s="5"/>
      <c r="G396" s="22"/>
    </row>
    <row r="397">
      <c r="D397" s="5"/>
      <c r="E397" s="5"/>
      <c r="F397" s="5"/>
      <c r="G397" s="22"/>
    </row>
    <row r="398">
      <c r="D398" s="5"/>
      <c r="E398" s="5"/>
      <c r="F398" s="5"/>
      <c r="G398" s="22"/>
    </row>
    <row r="399">
      <c r="D399" s="5"/>
      <c r="E399" s="5"/>
      <c r="F399" s="5"/>
      <c r="G399" s="22"/>
    </row>
    <row r="400">
      <c r="D400" s="5"/>
      <c r="E400" s="5"/>
      <c r="F400" s="5"/>
      <c r="G400" s="22"/>
    </row>
    <row r="401">
      <c r="D401" s="5"/>
      <c r="E401" s="5"/>
      <c r="F401" s="5"/>
      <c r="G401" s="22"/>
    </row>
    <row r="402">
      <c r="D402" s="5"/>
      <c r="E402" s="5"/>
      <c r="F402" s="5"/>
      <c r="G402" s="22"/>
    </row>
    <row r="403">
      <c r="D403" s="5"/>
      <c r="E403" s="5"/>
      <c r="F403" s="5"/>
      <c r="G403" s="22"/>
    </row>
    <row r="404">
      <c r="D404" s="5"/>
      <c r="E404" s="5"/>
      <c r="F404" s="5"/>
      <c r="G404" s="22"/>
    </row>
    <row r="405">
      <c r="D405" s="5"/>
      <c r="E405" s="5"/>
      <c r="F405" s="5"/>
      <c r="G405" s="22"/>
    </row>
    <row r="406">
      <c r="D406" s="5"/>
      <c r="E406" s="5"/>
      <c r="F406" s="5"/>
      <c r="G406" s="22"/>
    </row>
    <row r="407">
      <c r="D407" s="5"/>
      <c r="E407" s="5"/>
      <c r="F407" s="5"/>
      <c r="G407" s="22"/>
    </row>
    <row r="408">
      <c r="D408" s="5"/>
      <c r="E408" s="5"/>
      <c r="F408" s="5"/>
      <c r="G408" s="22"/>
    </row>
    <row r="409">
      <c r="D409" s="5"/>
      <c r="E409" s="5"/>
      <c r="F409" s="5"/>
      <c r="G409" s="22"/>
    </row>
    <row r="410">
      <c r="D410" s="5"/>
      <c r="E410" s="5"/>
      <c r="F410" s="5"/>
      <c r="G410" s="22"/>
    </row>
    <row r="411">
      <c r="D411" s="5"/>
      <c r="E411" s="5"/>
      <c r="F411" s="5"/>
      <c r="G411" s="22"/>
    </row>
    <row r="412">
      <c r="D412" s="5"/>
      <c r="E412" s="5"/>
      <c r="F412" s="5"/>
      <c r="G412" s="22"/>
    </row>
    <row r="413">
      <c r="D413" s="5"/>
      <c r="E413" s="5"/>
      <c r="F413" s="5"/>
      <c r="G413" s="22"/>
    </row>
    <row r="414">
      <c r="D414" s="5"/>
      <c r="E414" s="5"/>
      <c r="F414" s="5"/>
      <c r="G414" s="22"/>
    </row>
    <row r="415">
      <c r="D415" s="5"/>
      <c r="E415" s="5"/>
      <c r="F415" s="5"/>
      <c r="G415" s="22"/>
    </row>
    <row r="416">
      <c r="D416" s="5"/>
      <c r="E416" s="5"/>
      <c r="F416" s="5"/>
      <c r="G416" s="22"/>
    </row>
    <row r="417">
      <c r="D417" s="5"/>
      <c r="E417" s="5"/>
      <c r="F417" s="5"/>
      <c r="G417" s="22"/>
    </row>
    <row r="418">
      <c r="D418" s="5"/>
      <c r="E418" s="5"/>
      <c r="F418" s="5"/>
      <c r="G418" s="22"/>
    </row>
    <row r="419">
      <c r="D419" s="5"/>
      <c r="E419" s="5"/>
      <c r="F419" s="5"/>
      <c r="G419" s="22"/>
    </row>
    <row r="420">
      <c r="D420" s="5"/>
      <c r="E420" s="5"/>
      <c r="F420" s="5"/>
      <c r="G420" s="22"/>
    </row>
    <row r="421">
      <c r="D421" s="5"/>
      <c r="E421" s="5"/>
      <c r="F421" s="5"/>
      <c r="G421" s="22"/>
    </row>
    <row r="422">
      <c r="D422" s="5"/>
      <c r="E422" s="5"/>
      <c r="F422" s="5"/>
      <c r="G422" s="22"/>
    </row>
    <row r="423">
      <c r="D423" s="5"/>
      <c r="E423" s="5"/>
      <c r="F423" s="5"/>
      <c r="G423" s="22"/>
    </row>
    <row r="424">
      <c r="D424" s="5"/>
      <c r="E424" s="5"/>
      <c r="F424" s="5"/>
      <c r="G424" s="22"/>
    </row>
    <row r="425">
      <c r="D425" s="5"/>
      <c r="E425" s="5"/>
      <c r="F425" s="5"/>
      <c r="G425" s="22"/>
    </row>
    <row r="426">
      <c r="D426" s="5"/>
      <c r="E426" s="5"/>
      <c r="F426" s="5"/>
      <c r="G426" s="22"/>
    </row>
    <row r="427">
      <c r="D427" s="5"/>
      <c r="E427" s="5"/>
      <c r="F427" s="5"/>
      <c r="G427" s="22"/>
    </row>
    <row r="428">
      <c r="D428" s="5"/>
      <c r="E428" s="5"/>
      <c r="F428" s="5"/>
      <c r="G428" s="22"/>
    </row>
    <row r="429">
      <c r="D429" s="5"/>
      <c r="E429" s="5"/>
      <c r="F429" s="5"/>
      <c r="G429" s="22"/>
    </row>
    <row r="430">
      <c r="D430" s="5"/>
      <c r="E430" s="5"/>
      <c r="F430" s="5"/>
      <c r="G430" s="22"/>
    </row>
    <row r="431">
      <c r="D431" s="5"/>
      <c r="E431" s="5"/>
      <c r="F431" s="5"/>
      <c r="G431" s="22"/>
    </row>
    <row r="432">
      <c r="D432" s="5"/>
      <c r="E432" s="5"/>
      <c r="F432" s="5"/>
      <c r="G432" s="22"/>
    </row>
    <row r="433">
      <c r="D433" s="5"/>
      <c r="E433" s="5"/>
      <c r="F433" s="5"/>
      <c r="G433" s="22"/>
    </row>
    <row r="434">
      <c r="D434" s="5"/>
      <c r="E434" s="5"/>
      <c r="F434" s="5"/>
      <c r="G434" s="22"/>
    </row>
    <row r="435">
      <c r="D435" s="5"/>
      <c r="E435" s="5"/>
      <c r="F435" s="5"/>
      <c r="G435" s="22"/>
    </row>
    <row r="436">
      <c r="D436" s="5"/>
      <c r="E436" s="5"/>
      <c r="F436" s="5"/>
      <c r="G436" s="22"/>
    </row>
    <row r="437">
      <c r="D437" s="5"/>
      <c r="E437" s="5"/>
      <c r="F437" s="5"/>
      <c r="G437" s="22"/>
    </row>
    <row r="438">
      <c r="D438" s="5"/>
      <c r="E438" s="5"/>
      <c r="F438" s="5"/>
      <c r="G438" s="22"/>
    </row>
    <row r="439">
      <c r="D439" s="5"/>
      <c r="E439" s="5"/>
      <c r="F439" s="5"/>
      <c r="G439" s="22"/>
    </row>
    <row r="440">
      <c r="D440" s="5"/>
      <c r="E440" s="5"/>
      <c r="F440" s="5"/>
      <c r="G440" s="22"/>
    </row>
    <row r="441">
      <c r="D441" s="5"/>
      <c r="E441" s="5"/>
      <c r="F441" s="5"/>
      <c r="G441" s="22"/>
    </row>
    <row r="442">
      <c r="D442" s="5"/>
      <c r="E442" s="5"/>
      <c r="F442" s="5"/>
      <c r="G442" s="22"/>
    </row>
    <row r="443">
      <c r="D443" s="5"/>
      <c r="E443" s="5"/>
      <c r="F443" s="5"/>
      <c r="G443" s="22"/>
    </row>
    <row r="444">
      <c r="D444" s="5"/>
      <c r="E444" s="5"/>
      <c r="F444" s="5"/>
      <c r="G444" s="22"/>
    </row>
    <row r="445">
      <c r="D445" s="5"/>
      <c r="E445" s="5"/>
      <c r="F445" s="5"/>
      <c r="G445" s="22"/>
    </row>
    <row r="446">
      <c r="D446" s="5"/>
      <c r="E446" s="5"/>
      <c r="F446" s="5"/>
      <c r="G446" s="22"/>
    </row>
    <row r="447">
      <c r="D447" s="5"/>
      <c r="E447" s="5"/>
      <c r="F447" s="5"/>
      <c r="G447" s="22"/>
    </row>
    <row r="448">
      <c r="D448" s="5"/>
      <c r="E448" s="5"/>
      <c r="F448" s="5"/>
      <c r="G448" s="22"/>
    </row>
    <row r="449">
      <c r="D449" s="5"/>
      <c r="E449" s="5"/>
      <c r="F449" s="5"/>
      <c r="G449" s="22"/>
    </row>
    <row r="450">
      <c r="D450" s="5"/>
      <c r="E450" s="5"/>
      <c r="F450" s="5"/>
      <c r="G450" s="22"/>
    </row>
    <row r="451">
      <c r="D451" s="5"/>
      <c r="E451" s="5"/>
      <c r="F451" s="5"/>
      <c r="G451" s="22"/>
    </row>
    <row r="452">
      <c r="D452" s="5"/>
      <c r="E452" s="5"/>
      <c r="F452" s="5"/>
      <c r="G452" s="22"/>
    </row>
    <row r="453">
      <c r="D453" s="5"/>
      <c r="E453" s="5"/>
      <c r="F453" s="5"/>
      <c r="G453" s="22"/>
    </row>
    <row r="454">
      <c r="D454" s="5"/>
      <c r="E454" s="5"/>
      <c r="F454" s="5"/>
      <c r="G454" s="22"/>
    </row>
    <row r="455">
      <c r="D455" s="5"/>
      <c r="E455" s="5"/>
      <c r="F455" s="5"/>
      <c r="G455" s="22"/>
    </row>
    <row r="456">
      <c r="D456" s="5"/>
      <c r="E456" s="5"/>
      <c r="F456" s="5"/>
      <c r="G456" s="22"/>
    </row>
    <row r="457">
      <c r="D457" s="5"/>
      <c r="E457" s="5"/>
      <c r="F457" s="5"/>
      <c r="G457" s="22"/>
    </row>
    <row r="458">
      <c r="D458" s="5"/>
      <c r="E458" s="5"/>
      <c r="F458" s="5"/>
      <c r="G458" s="22"/>
    </row>
    <row r="459">
      <c r="D459" s="5"/>
      <c r="E459" s="5"/>
      <c r="F459" s="5"/>
      <c r="G459" s="22"/>
    </row>
    <row r="460">
      <c r="D460" s="5"/>
      <c r="E460" s="5"/>
      <c r="F460" s="5"/>
      <c r="G460" s="22"/>
    </row>
    <row r="461">
      <c r="D461" s="5"/>
      <c r="E461" s="5"/>
      <c r="F461" s="5"/>
      <c r="G461" s="22"/>
    </row>
    <row r="462">
      <c r="D462" s="5"/>
      <c r="E462" s="5"/>
      <c r="F462" s="5"/>
      <c r="G462" s="22"/>
    </row>
    <row r="463">
      <c r="D463" s="5"/>
      <c r="E463" s="5"/>
      <c r="F463" s="5"/>
      <c r="G463" s="22"/>
    </row>
    <row r="464">
      <c r="D464" s="5"/>
      <c r="E464" s="5"/>
      <c r="F464" s="5"/>
      <c r="G464" s="22"/>
    </row>
    <row r="465">
      <c r="D465" s="5"/>
      <c r="E465" s="5"/>
      <c r="F465" s="5"/>
      <c r="G465" s="22"/>
    </row>
    <row r="466">
      <c r="D466" s="5"/>
      <c r="E466" s="5"/>
      <c r="F466" s="5"/>
      <c r="G466" s="22"/>
    </row>
    <row r="467">
      <c r="D467" s="5"/>
      <c r="E467" s="5"/>
      <c r="F467" s="5"/>
      <c r="G467" s="22"/>
    </row>
    <row r="468">
      <c r="D468" s="5"/>
      <c r="E468" s="5"/>
      <c r="F468" s="5"/>
      <c r="G468" s="22"/>
    </row>
    <row r="469">
      <c r="D469" s="5"/>
      <c r="E469" s="5"/>
      <c r="F469" s="5"/>
      <c r="G469" s="22"/>
    </row>
    <row r="470">
      <c r="D470" s="5"/>
      <c r="E470" s="5"/>
      <c r="F470" s="5"/>
      <c r="G470" s="22"/>
    </row>
    <row r="471">
      <c r="D471" s="5"/>
      <c r="E471" s="5"/>
      <c r="F471" s="5"/>
      <c r="G471" s="22"/>
    </row>
    <row r="472">
      <c r="D472" s="5"/>
      <c r="E472" s="5"/>
      <c r="F472" s="5"/>
      <c r="G472" s="22"/>
    </row>
    <row r="473">
      <c r="D473" s="5"/>
      <c r="E473" s="5"/>
      <c r="F473" s="5"/>
      <c r="G473" s="22"/>
    </row>
    <row r="474">
      <c r="D474" s="5"/>
      <c r="E474" s="5"/>
      <c r="F474" s="5"/>
      <c r="G474" s="22"/>
    </row>
    <row r="475">
      <c r="D475" s="5"/>
      <c r="E475" s="5"/>
      <c r="F475" s="5"/>
      <c r="G475" s="22"/>
    </row>
    <row r="476">
      <c r="D476" s="5"/>
      <c r="E476" s="5"/>
      <c r="F476" s="5"/>
      <c r="G476" s="22"/>
    </row>
    <row r="477">
      <c r="D477" s="5"/>
      <c r="E477" s="5"/>
      <c r="F477" s="5"/>
      <c r="G477" s="22"/>
    </row>
    <row r="478">
      <c r="D478" s="5"/>
      <c r="E478" s="5"/>
      <c r="F478" s="5"/>
      <c r="G478" s="22"/>
    </row>
    <row r="479">
      <c r="D479" s="5"/>
      <c r="E479" s="5"/>
      <c r="F479" s="5"/>
      <c r="G479" s="22"/>
    </row>
    <row r="480">
      <c r="D480" s="5"/>
      <c r="E480" s="5"/>
      <c r="F480" s="5"/>
      <c r="G480" s="22"/>
    </row>
    <row r="481">
      <c r="D481" s="5"/>
      <c r="E481" s="5"/>
      <c r="F481" s="5"/>
      <c r="G481" s="22"/>
    </row>
    <row r="482">
      <c r="D482" s="5"/>
      <c r="E482" s="5"/>
      <c r="F482" s="5"/>
      <c r="G482" s="22"/>
    </row>
    <row r="483">
      <c r="D483" s="5"/>
      <c r="E483" s="5"/>
      <c r="F483" s="5"/>
      <c r="G483" s="22"/>
    </row>
    <row r="484">
      <c r="D484" s="5"/>
      <c r="E484" s="5"/>
      <c r="F484" s="5"/>
      <c r="G484" s="22"/>
    </row>
    <row r="485">
      <c r="D485" s="5"/>
      <c r="E485" s="5"/>
      <c r="F485" s="5"/>
      <c r="G485" s="22"/>
    </row>
    <row r="486">
      <c r="D486" s="5"/>
      <c r="E486" s="5"/>
      <c r="F486" s="5"/>
      <c r="G486" s="22"/>
    </row>
    <row r="487">
      <c r="D487" s="5"/>
      <c r="E487" s="5"/>
      <c r="F487" s="5"/>
      <c r="G487" s="22"/>
    </row>
    <row r="488">
      <c r="D488" s="5"/>
      <c r="E488" s="5"/>
      <c r="F488" s="5"/>
      <c r="G488" s="22"/>
    </row>
    <row r="489">
      <c r="D489" s="5"/>
      <c r="E489" s="5"/>
      <c r="F489" s="5"/>
      <c r="G489" s="22"/>
    </row>
    <row r="490">
      <c r="D490" s="5"/>
      <c r="E490" s="5"/>
      <c r="F490" s="5"/>
      <c r="G490" s="22"/>
    </row>
    <row r="491">
      <c r="D491" s="5"/>
      <c r="E491" s="5"/>
      <c r="F491" s="5"/>
      <c r="G491" s="22"/>
    </row>
    <row r="492">
      <c r="D492" s="5"/>
      <c r="E492" s="5"/>
      <c r="F492" s="5"/>
      <c r="G492" s="22"/>
    </row>
    <row r="493">
      <c r="D493" s="5"/>
      <c r="E493" s="5"/>
      <c r="F493" s="5"/>
      <c r="G493" s="22"/>
    </row>
    <row r="494">
      <c r="D494" s="5"/>
      <c r="E494" s="5"/>
      <c r="F494" s="5"/>
      <c r="G494" s="22"/>
    </row>
    <row r="495">
      <c r="D495" s="5"/>
      <c r="E495" s="5"/>
      <c r="F495" s="5"/>
      <c r="G495" s="22"/>
    </row>
    <row r="496">
      <c r="D496" s="5"/>
      <c r="E496" s="5"/>
      <c r="F496" s="5"/>
      <c r="G496" s="22"/>
    </row>
    <row r="497">
      <c r="D497" s="5"/>
      <c r="E497" s="5"/>
      <c r="F497" s="5"/>
      <c r="G497" s="22"/>
    </row>
    <row r="498">
      <c r="D498" s="5"/>
      <c r="E498" s="5"/>
      <c r="F498" s="5"/>
      <c r="G498" s="22"/>
    </row>
    <row r="499">
      <c r="D499" s="5"/>
      <c r="E499" s="5"/>
      <c r="F499" s="5"/>
      <c r="G499" s="22"/>
    </row>
    <row r="500">
      <c r="D500" s="5"/>
      <c r="E500" s="5"/>
      <c r="F500" s="5"/>
      <c r="G500" s="22"/>
    </row>
    <row r="501">
      <c r="D501" s="5"/>
      <c r="E501" s="5"/>
      <c r="F501" s="5"/>
      <c r="G501" s="22"/>
    </row>
    <row r="502">
      <c r="D502" s="5"/>
      <c r="E502" s="5"/>
      <c r="F502" s="5"/>
      <c r="G502" s="22"/>
    </row>
    <row r="503">
      <c r="D503" s="5"/>
      <c r="E503" s="5"/>
      <c r="F503" s="5"/>
      <c r="G503" s="22"/>
    </row>
    <row r="504">
      <c r="D504" s="5"/>
      <c r="E504" s="5"/>
      <c r="F504" s="5"/>
      <c r="G504" s="22"/>
    </row>
    <row r="505">
      <c r="D505" s="5"/>
      <c r="E505" s="5"/>
      <c r="F505" s="5"/>
      <c r="G505" s="22"/>
    </row>
    <row r="506">
      <c r="D506" s="5"/>
      <c r="E506" s="5"/>
      <c r="F506" s="5"/>
      <c r="G506" s="22"/>
    </row>
    <row r="507">
      <c r="D507" s="5"/>
      <c r="E507" s="5"/>
      <c r="F507" s="5"/>
      <c r="G507" s="22"/>
    </row>
    <row r="508">
      <c r="D508" s="5"/>
      <c r="E508" s="5"/>
      <c r="F508" s="5"/>
      <c r="G508" s="22"/>
    </row>
    <row r="509">
      <c r="D509" s="5"/>
      <c r="E509" s="5"/>
      <c r="F509" s="5"/>
      <c r="G509" s="22"/>
    </row>
    <row r="510">
      <c r="D510" s="5"/>
      <c r="E510" s="5"/>
      <c r="F510" s="5"/>
      <c r="G510" s="22"/>
    </row>
    <row r="511">
      <c r="D511" s="5"/>
      <c r="E511" s="5"/>
      <c r="F511" s="5"/>
      <c r="G511" s="22"/>
    </row>
    <row r="512">
      <c r="D512" s="5"/>
      <c r="E512" s="5"/>
      <c r="F512" s="5"/>
      <c r="G512" s="22"/>
    </row>
    <row r="513">
      <c r="D513" s="5"/>
      <c r="E513" s="5"/>
      <c r="F513" s="5"/>
      <c r="G513" s="22"/>
    </row>
    <row r="514">
      <c r="D514" s="5"/>
      <c r="E514" s="5"/>
      <c r="F514" s="5"/>
      <c r="G514" s="22"/>
    </row>
    <row r="515">
      <c r="D515" s="5"/>
      <c r="E515" s="5"/>
      <c r="F515" s="5"/>
      <c r="G515" s="22"/>
    </row>
    <row r="516">
      <c r="D516" s="5"/>
      <c r="E516" s="5"/>
      <c r="F516" s="5"/>
      <c r="G516" s="22"/>
    </row>
    <row r="517">
      <c r="D517" s="5"/>
      <c r="E517" s="5"/>
      <c r="F517" s="5"/>
      <c r="G517" s="22"/>
    </row>
    <row r="518">
      <c r="D518" s="5"/>
      <c r="E518" s="5"/>
      <c r="F518" s="5"/>
      <c r="G518" s="22"/>
    </row>
    <row r="519">
      <c r="D519" s="5"/>
      <c r="E519" s="5"/>
      <c r="F519" s="5"/>
      <c r="G519" s="22"/>
    </row>
    <row r="520">
      <c r="D520" s="5"/>
      <c r="E520" s="5"/>
      <c r="F520" s="5"/>
      <c r="G520" s="22"/>
    </row>
    <row r="521">
      <c r="D521" s="5"/>
      <c r="E521" s="5"/>
      <c r="F521" s="5"/>
      <c r="G521" s="22"/>
    </row>
    <row r="522">
      <c r="D522" s="5"/>
      <c r="E522" s="5"/>
      <c r="F522" s="5"/>
      <c r="G522" s="22"/>
    </row>
    <row r="523">
      <c r="D523" s="5"/>
      <c r="E523" s="5"/>
      <c r="F523" s="5"/>
      <c r="G523" s="22"/>
    </row>
    <row r="524">
      <c r="D524" s="5"/>
      <c r="E524" s="5"/>
      <c r="F524" s="5"/>
      <c r="G524" s="22"/>
    </row>
    <row r="525">
      <c r="D525" s="5"/>
      <c r="E525" s="5"/>
      <c r="F525" s="5"/>
      <c r="G525" s="22"/>
    </row>
    <row r="526">
      <c r="D526" s="5"/>
      <c r="E526" s="5"/>
      <c r="F526" s="5"/>
      <c r="G526" s="22"/>
    </row>
    <row r="527">
      <c r="D527" s="5"/>
      <c r="E527" s="5"/>
      <c r="F527" s="5"/>
      <c r="G527" s="22"/>
    </row>
    <row r="528">
      <c r="D528" s="5"/>
      <c r="E528" s="5"/>
      <c r="F528" s="5"/>
      <c r="G528" s="22"/>
    </row>
    <row r="529">
      <c r="D529" s="5"/>
      <c r="E529" s="5"/>
      <c r="F529" s="5"/>
      <c r="G529" s="22"/>
    </row>
    <row r="530">
      <c r="D530" s="5"/>
      <c r="E530" s="5"/>
      <c r="F530" s="5"/>
      <c r="G530" s="22"/>
    </row>
    <row r="531">
      <c r="D531" s="5"/>
      <c r="E531" s="5"/>
      <c r="F531" s="5"/>
      <c r="G531" s="22"/>
    </row>
    <row r="532">
      <c r="D532" s="5"/>
      <c r="E532" s="5"/>
      <c r="F532" s="5"/>
      <c r="G532" s="22"/>
    </row>
    <row r="533">
      <c r="D533" s="5"/>
      <c r="E533" s="5"/>
      <c r="F533" s="5"/>
      <c r="G533" s="22"/>
    </row>
    <row r="534">
      <c r="D534" s="5"/>
      <c r="E534" s="5"/>
      <c r="F534" s="5"/>
      <c r="G534" s="22"/>
    </row>
    <row r="535">
      <c r="D535" s="5"/>
      <c r="E535" s="5"/>
      <c r="F535" s="5"/>
      <c r="G535" s="22"/>
    </row>
    <row r="536">
      <c r="D536" s="5"/>
      <c r="E536" s="5"/>
      <c r="F536" s="5"/>
      <c r="G536" s="22"/>
    </row>
    <row r="537">
      <c r="D537" s="5"/>
      <c r="E537" s="5"/>
      <c r="F537" s="5"/>
      <c r="G537" s="22"/>
    </row>
    <row r="538">
      <c r="D538" s="5"/>
      <c r="E538" s="5"/>
      <c r="F538" s="5"/>
      <c r="G538" s="22"/>
    </row>
    <row r="539">
      <c r="D539" s="5"/>
      <c r="E539" s="5"/>
      <c r="F539" s="5"/>
      <c r="G539" s="22"/>
    </row>
    <row r="540">
      <c r="D540" s="5"/>
      <c r="E540" s="5"/>
      <c r="F540" s="5"/>
      <c r="G540" s="22"/>
    </row>
    <row r="541">
      <c r="D541" s="5"/>
      <c r="E541" s="5"/>
      <c r="F541" s="5"/>
      <c r="G541" s="22"/>
    </row>
    <row r="542">
      <c r="D542" s="5"/>
      <c r="E542" s="5"/>
      <c r="F542" s="5"/>
      <c r="G542" s="22"/>
    </row>
    <row r="543">
      <c r="D543" s="5"/>
      <c r="E543" s="5"/>
      <c r="F543" s="5"/>
      <c r="G543" s="22"/>
    </row>
    <row r="544">
      <c r="D544" s="5"/>
      <c r="E544" s="5"/>
      <c r="F544" s="5"/>
      <c r="G544" s="22"/>
    </row>
    <row r="545">
      <c r="D545" s="5"/>
      <c r="E545" s="5"/>
      <c r="F545" s="5"/>
      <c r="G545" s="22"/>
    </row>
    <row r="546">
      <c r="D546" s="5"/>
      <c r="E546" s="5"/>
      <c r="F546" s="5"/>
      <c r="G546" s="22"/>
    </row>
    <row r="547">
      <c r="D547" s="5"/>
      <c r="E547" s="5"/>
      <c r="F547" s="5"/>
      <c r="G547" s="22"/>
    </row>
    <row r="548">
      <c r="D548" s="5"/>
      <c r="E548" s="5"/>
      <c r="F548" s="5"/>
      <c r="G548" s="22"/>
    </row>
    <row r="549">
      <c r="D549" s="5"/>
      <c r="E549" s="5"/>
      <c r="F549" s="5"/>
      <c r="G549" s="22"/>
    </row>
    <row r="550">
      <c r="D550" s="5"/>
      <c r="E550" s="5"/>
      <c r="F550" s="5"/>
      <c r="G550" s="22"/>
    </row>
    <row r="551">
      <c r="D551" s="5"/>
      <c r="E551" s="5"/>
      <c r="F551" s="5"/>
      <c r="G551" s="22"/>
    </row>
    <row r="552">
      <c r="D552" s="5"/>
      <c r="E552" s="5"/>
      <c r="F552" s="5"/>
      <c r="G552" s="22"/>
    </row>
    <row r="553">
      <c r="D553" s="5"/>
      <c r="E553" s="5"/>
      <c r="F553" s="5"/>
      <c r="G553" s="22"/>
    </row>
    <row r="554">
      <c r="D554" s="5"/>
      <c r="E554" s="5"/>
      <c r="F554" s="5"/>
      <c r="G554" s="22"/>
    </row>
    <row r="555">
      <c r="D555" s="5"/>
      <c r="E555" s="5"/>
      <c r="F555" s="5"/>
      <c r="G555" s="22"/>
    </row>
    <row r="556">
      <c r="D556" s="5"/>
      <c r="E556" s="5"/>
      <c r="F556" s="5"/>
      <c r="G556" s="22"/>
    </row>
    <row r="557">
      <c r="D557" s="5"/>
      <c r="E557" s="5"/>
      <c r="F557" s="5"/>
      <c r="G557" s="22"/>
    </row>
    <row r="558">
      <c r="D558" s="5"/>
      <c r="E558" s="5"/>
      <c r="F558" s="5"/>
      <c r="G558" s="22"/>
    </row>
    <row r="559">
      <c r="D559" s="5"/>
      <c r="E559" s="5"/>
      <c r="F559" s="5"/>
      <c r="G559" s="22"/>
    </row>
    <row r="560">
      <c r="D560" s="5"/>
      <c r="E560" s="5"/>
      <c r="F560" s="5"/>
      <c r="G560" s="22"/>
    </row>
    <row r="561">
      <c r="D561" s="5"/>
      <c r="E561" s="5"/>
      <c r="F561" s="5"/>
      <c r="G561" s="22"/>
    </row>
    <row r="562">
      <c r="D562" s="5"/>
      <c r="E562" s="5"/>
      <c r="F562" s="5"/>
      <c r="G562" s="22"/>
    </row>
    <row r="563">
      <c r="D563" s="5"/>
      <c r="E563" s="5"/>
      <c r="F563" s="5"/>
      <c r="G563" s="22"/>
    </row>
    <row r="564">
      <c r="D564" s="5"/>
      <c r="E564" s="5"/>
      <c r="F564" s="5"/>
      <c r="G564" s="22"/>
    </row>
    <row r="565">
      <c r="D565" s="5"/>
      <c r="E565" s="5"/>
      <c r="F565" s="5"/>
      <c r="G565" s="22"/>
    </row>
    <row r="566">
      <c r="D566" s="5"/>
      <c r="E566" s="5"/>
      <c r="F566" s="5"/>
      <c r="G566" s="22"/>
    </row>
    <row r="567">
      <c r="D567" s="5"/>
      <c r="E567" s="5"/>
      <c r="F567" s="5"/>
      <c r="G567" s="22"/>
    </row>
    <row r="568">
      <c r="D568" s="5"/>
      <c r="E568" s="5"/>
      <c r="F568" s="5"/>
      <c r="G568" s="22"/>
    </row>
    <row r="569">
      <c r="D569" s="5"/>
      <c r="E569" s="5"/>
      <c r="F569" s="5"/>
      <c r="G569" s="22"/>
    </row>
    <row r="570">
      <c r="D570" s="5"/>
      <c r="E570" s="5"/>
      <c r="F570" s="5"/>
      <c r="G570" s="22"/>
    </row>
    <row r="571">
      <c r="D571" s="5"/>
      <c r="E571" s="5"/>
      <c r="F571" s="5"/>
      <c r="G571" s="22"/>
    </row>
    <row r="572">
      <c r="D572" s="5"/>
      <c r="E572" s="5"/>
      <c r="F572" s="5"/>
      <c r="G572" s="22"/>
    </row>
    <row r="573">
      <c r="D573" s="5"/>
      <c r="E573" s="5"/>
      <c r="F573" s="5"/>
      <c r="G573" s="22"/>
    </row>
    <row r="574">
      <c r="D574" s="5"/>
      <c r="E574" s="5"/>
      <c r="F574" s="5"/>
      <c r="G574" s="22"/>
    </row>
    <row r="575">
      <c r="D575" s="5"/>
      <c r="E575" s="5"/>
      <c r="F575" s="5"/>
      <c r="G575" s="22"/>
    </row>
    <row r="576">
      <c r="D576" s="5"/>
      <c r="E576" s="5"/>
      <c r="F576" s="5"/>
      <c r="G576" s="22"/>
    </row>
    <row r="577">
      <c r="D577" s="5"/>
      <c r="E577" s="5"/>
      <c r="F577" s="5"/>
      <c r="G577" s="22"/>
    </row>
    <row r="578">
      <c r="D578" s="5"/>
      <c r="E578" s="5"/>
      <c r="F578" s="5"/>
      <c r="G578" s="22"/>
    </row>
    <row r="579">
      <c r="D579" s="5"/>
      <c r="E579" s="5"/>
      <c r="F579" s="5"/>
      <c r="G579" s="22"/>
    </row>
    <row r="580">
      <c r="D580" s="5"/>
      <c r="E580" s="5"/>
      <c r="F580" s="5"/>
      <c r="G580" s="22"/>
    </row>
    <row r="581">
      <c r="D581" s="5"/>
      <c r="E581" s="5"/>
      <c r="F581" s="5"/>
      <c r="G581" s="22"/>
    </row>
    <row r="582">
      <c r="D582" s="5"/>
      <c r="E582" s="5"/>
      <c r="F582" s="5"/>
      <c r="G582" s="22"/>
    </row>
    <row r="583">
      <c r="D583" s="5"/>
      <c r="E583" s="5"/>
      <c r="F583" s="5"/>
      <c r="G583" s="22"/>
    </row>
    <row r="584">
      <c r="D584" s="5"/>
      <c r="E584" s="5"/>
      <c r="F584" s="5"/>
      <c r="G584" s="22"/>
    </row>
    <row r="585">
      <c r="D585" s="5"/>
      <c r="E585" s="5"/>
      <c r="F585" s="5"/>
      <c r="G585" s="22"/>
    </row>
    <row r="586">
      <c r="D586" s="5"/>
      <c r="E586" s="5"/>
      <c r="F586" s="5"/>
      <c r="G586" s="22"/>
    </row>
    <row r="587">
      <c r="D587" s="5"/>
      <c r="E587" s="5"/>
      <c r="F587" s="5"/>
      <c r="G587" s="22"/>
    </row>
    <row r="588">
      <c r="D588" s="5"/>
      <c r="E588" s="5"/>
      <c r="F588" s="5"/>
      <c r="G588" s="22"/>
    </row>
    <row r="589">
      <c r="D589" s="5"/>
      <c r="E589" s="5"/>
      <c r="F589" s="5"/>
      <c r="G589" s="22"/>
    </row>
    <row r="590">
      <c r="D590" s="5"/>
      <c r="E590" s="5"/>
      <c r="F590" s="5"/>
      <c r="G590" s="22"/>
    </row>
    <row r="591">
      <c r="D591" s="5"/>
      <c r="E591" s="5"/>
      <c r="F591" s="5"/>
      <c r="G591" s="22"/>
    </row>
    <row r="592">
      <c r="D592" s="5"/>
      <c r="E592" s="5"/>
      <c r="F592" s="5"/>
      <c r="G592" s="22"/>
    </row>
    <row r="593">
      <c r="D593" s="5"/>
      <c r="E593" s="5"/>
      <c r="F593" s="5"/>
      <c r="G593" s="22"/>
    </row>
    <row r="594">
      <c r="D594" s="5"/>
      <c r="E594" s="5"/>
      <c r="F594" s="5"/>
      <c r="G594" s="22"/>
    </row>
    <row r="595">
      <c r="D595" s="5"/>
      <c r="E595" s="5"/>
      <c r="F595" s="5"/>
      <c r="G595" s="22"/>
    </row>
    <row r="596">
      <c r="D596" s="5"/>
      <c r="E596" s="5"/>
      <c r="F596" s="5"/>
      <c r="G596" s="22"/>
    </row>
    <row r="597">
      <c r="D597" s="5"/>
      <c r="E597" s="5"/>
      <c r="F597" s="5"/>
      <c r="G597" s="22"/>
    </row>
    <row r="598">
      <c r="D598" s="5"/>
      <c r="E598" s="5"/>
      <c r="F598" s="5"/>
      <c r="G598" s="22"/>
    </row>
    <row r="599">
      <c r="D599" s="5"/>
      <c r="E599" s="5"/>
      <c r="F599" s="5"/>
      <c r="G599" s="22"/>
    </row>
    <row r="600">
      <c r="D600" s="5"/>
      <c r="E600" s="5"/>
      <c r="F600" s="5"/>
      <c r="G600" s="22"/>
    </row>
    <row r="601">
      <c r="D601" s="5"/>
      <c r="E601" s="5"/>
      <c r="F601" s="5"/>
      <c r="G601" s="22"/>
    </row>
    <row r="602">
      <c r="D602" s="5"/>
      <c r="E602" s="5"/>
      <c r="F602" s="5"/>
      <c r="G602" s="22"/>
    </row>
    <row r="603">
      <c r="D603" s="5"/>
      <c r="E603" s="5"/>
      <c r="F603" s="5"/>
      <c r="G603" s="22"/>
    </row>
    <row r="604">
      <c r="D604" s="5"/>
      <c r="E604" s="5"/>
      <c r="F604" s="5"/>
      <c r="G604" s="22"/>
    </row>
    <row r="605">
      <c r="D605" s="5"/>
      <c r="E605" s="5"/>
      <c r="F605" s="5"/>
      <c r="G605" s="22"/>
    </row>
    <row r="606">
      <c r="D606" s="5"/>
      <c r="E606" s="5"/>
      <c r="F606" s="5"/>
      <c r="G606" s="22"/>
    </row>
    <row r="607">
      <c r="D607" s="5"/>
      <c r="E607" s="5"/>
      <c r="F607" s="5"/>
      <c r="G607" s="22"/>
    </row>
    <row r="608">
      <c r="D608" s="5"/>
      <c r="E608" s="5"/>
      <c r="F608" s="5"/>
      <c r="G608" s="22"/>
    </row>
    <row r="609">
      <c r="D609" s="5"/>
      <c r="E609" s="5"/>
      <c r="F609" s="5"/>
      <c r="G609" s="22"/>
    </row>
    <row r="610">
      <c r="D610" s="5"/>
      <c r="E610" s="5"/>
      <c r="F610" s="5"/>
      <c r="G610" s="22"/>
    </row>
    <row r="611">
      <c r="D611" s="5"/>
      <c r="E611" s="5"/>
      <c r="F611" s="5"/>
      <c r="G611" s="22"/>
    </row>
    <row r="612">
      <c r="D612" s="5"/>
      <c r="E612" s="5"/>
      <c r="F612" s="5"/>
      <c r="G612" s="22"/>
    </row>
    <row r="613">
      <c r="D613" s="5"/>
      <c r="E613" s="5"/>
      <c r="F613" s="5"/>
      <c r="G613" s="22"/>
    </row>
    <row r="614">
      <c r="D614" s="5"/>
      <c r="E614" s="5"/>
      <c r="F614" s="5"/>
      <c r="G614" s="22"/>
    </row>
    <row r="615">
      <c r="D615" s="5"/>
      <c r="E615" s="5"/>
      <c r="F615" s="5"/>
      <c r="G615" s="22"/>
    </row>
    <row r="616">
      <c r="D616" s="5"/>
      <c r="E616" s="5"/>
      <c r="F616" s="5"/>
      <c r="G616" s="22"/>
    </row>
    <row r="617">
      <c r="D617" s="5"/>
      <c r="E617" s="5"/>
      <c r="F617" s="5"/>
      <c r="G617" s="22"/>
    </row>
    <row r="618">
      <c r="D618" s="5"/>
      <c r="E618" s="5"/>
      <c r="F618" s="5"/>
      <c r="G618" s="22"/>
    </row>
    <row r="619">
      <c r="D619" s="5"/>
      <c r="E619" s="5"/>
      <c r="F619" s="5"/>
      <c r="G619" s="22"/>
    </row>
    <row r="620">
      <c r="D620" s="5"/>
      <c r="E620" s="5"/>
      <c r="F620" s="5"/>
      <c r="G620" s="22"/>
    </row>
    <row r="621">
      <c r="D621" s="5"/>
      <c r="E621" s="5"/>
      <c r="F621" s="5"/>
      <c r="G621" s="22"/>
    </row>
    <row r="622">
      <c r="D622" s="5"/>
      <c r="E622" s="5"/>
      <c r="F622" s="5"/>
      <c r="G622" s="22"/>
    </row>
    <row r="623">
      <c r="D623" s="5"/>
      <c r="E623" s="5"/>
      <c r="F623" s="5"/>
      <c r="G623" s="22"/>
    </row>
    <row r="624">
      <c r="D624" s="5"/>
      <c r="E624" s="5"/>
      <c r="F624" s="5"/>
      <c r="G624" s="22"/>
    </row>
    <row r="625">
      <c r="D625" s="5"/>
      <c r="E625" s="5"/>
      <c r="F625" s="5"/>
      <c r="G625" s="22"/>
    </row>
    <row r="626">
      <c r="D626" s="5"/>
      <c r="E626" s="5"/>
      <c r="F626" s="5"/>
      <c r="G626" s="22"/>
    </row>
    <row r="627">
      <c r="D627" s="5"/>
      <c r="E627" s="5"/>
      <c r="F627" s="5"/>
      <c r="G627" s="22"/>
    </row>
    <row r="628">
      <c r="D628" s="5"/>
      <c r="E628" s="5"/>
      <c r="F628" s="5"/>
      <c r="G628" s="22"/>
    </row>
    <row r="629">
      <c r="D629" s="5"/>
      <c r="E629" s="5"/>
      <c r="F629" s="5"/>
      <c r="G629" s="22"/>
    </row>
    <row r="630">
      <c r="D630" s="5"/>
      <c r="E630" s="5"/>
      <c r="F630" s="5"/>
      <c r="G630" s="22"/>
    </row>
    <row r="631">
      <c r="D631" s="5"/>
      <c r="E631" s="5"/>
      <c r="F631" s="5"/>
      <c r="G631" s="22"/>
    </row>
    <row r="632">
      <c r="D632" s="5"/>
      <c r="E632" s="5"/>
      <c r="F632" s="5"/>
      <c r="G632" s="22"/>
    </row>
    <row r="633">
      <c r="D633" s="5"/>
      <c r="E633" s="5"/>
      <c r="F633" s="5"/>
      <c r="G633" s="22"/>
    </row>
    <row r="634">
      <c r="D634" s="5"/>
      <c r="E634" s="5"/>
      <c r="F634" s="5"/>
      <c r="G634" s="22"/>
    </row>
    <row r="635">
      <c r="D635" s="5"/>
      <c r="E635" s="5"/>
      <c r="F635" s="5"/>
      <c r="G635" s="22"/>
    </row>
    <row r="636">
      <c r="D636" s="5"/>
      <c r="E636" s="5"/>
      <c r="F636" s="5"/>
      <c r="G636" s="22"/>
    </row>
    <row r="637">
      <c r="D637" s="5"/>
      <c r="E637" s="5"/>
      <c r="F637" s="5"/>
      <c r="G637" s="22"/>
    </row>
    <row r="638">
      <c r="D638" s="5"/>
      <c r="E638" s="5"/>
      <c r="F638" s="5"/>
      <c r="G638" s="22"/>
    </row>
    <row r="639">
      <c r="D639" s="5"/>
      <c r="E639" s="5"/>
      <c r="F639" s="5"/>
      <c r="G639" s="22"/>
    </row>
    <row r="640">
      <c r="D640" s="5"/>
      <c r="E640" s="5"/>
      <c r="F640" s="5"/>
      <c r="G640" s="22"/>
    </row>
    <row r="641">
      <c r="D641" s="5"/>
      <c r="E641" s="5"/>
      <c r="F641" s="5"/>
      <c r="G641" s="22"/>
    </row>
    <row r="642">
      <c r="D642" s="5"/>
      <c r="E642" s="5"/>
      <c r="F642" s="5"/>
      <c r="G642" s="22"/>
    </row>
    <row r="643">
      <c r="D643" s="5"/>
      <c r="E643" s="5"/>
      <c r="F643" s="5"/>
      <c r="G643" s="22"/>
    </row>
    <row r="644">
      <c r="D644" s="5"/>
      <c r="E644" s="5"/>
      <c r="F644" s="5"/>
      <c r="G644" s="22"/>
    </row>
    <row r="645">
      <c r="D645" s="5"/>
      <c r="E645" s="5"/>
      <c r="F645" s="5"/>
      <c r="G645" s="22"/>
    </row>
    <row r="646">
      <c r="D646" s="5"/>
      <c r="E646" s="5"/>
      <c r="F646" s="5"/>
      <c r="G646" s="22"/>
    </row>
    <row r="647">
      <c r="D647" s="5"/>
      <c r="E647" s="5"/>
      <c r="F647" s="5"/>
      <c r="G647" s="22"/>
    </row>
    <row r="648">
      <c r="D648" s="5"/>
      <c r="E648" s="5"/>
      <c r="F648" s="5"/>
      <c r="G648" s="22"/>
    </row>
    <row r="649">
      <c r="D649" s="5"/>
      <c r="E649" s="5"/>
      <c r="F649" s="5"/>
      <c r="G649" s="22"/>
    </row>
    <row r="650">
      <c r="D650" s="5"/>
      <c r="E650" s="5"/>
      <c r="F650" s="5"/>
      <c r="G650" s="22"/>
    </row>
    <row r="651">
      <c r="D651" s="5"/>
      <c r="E651" s="5"/>
      <c r="F651" s="5"/>
      <c r="G651" s="22"/>
    </row>
    <row r="652">
      <c r="D652" s="5"/>
      <c r="E652" s="5"/>
      <c r="F652" s="5"/>
      <c r="G652" s="22"/>
    </row>
    <row r="653">
      <c r="D653" s="5"/>
      <c r="E653" s="5"/>
      <c r="F653" s="5"/>
      <c r="G653" s="22"/>
    </row>
    <row r="654">
      <c r="D654" s="5"/>
      <c r="E654" s="5"/>
      <c r="F654" s="5"/>
      <c r="G654" s="22"/>
    </row>
    <row r="655">
      <c r="D655" s="5"/>
      <c r="E655" s="5"/>
      <c r="F655" s="5"/>
      <c r="G655" s="22"/>
    </row>
    <row r="656">
      <c r="D656" s="5"/>
      <c r="E656" s="5"/>
      <c r="F656" s="5"/>
      <c r="G656" s="22"/>
    </row>
    <row r="657">
      <c r="D657" s="5"/>
      <c r="E657" s="5"/>
      <c r="F657" s="5"/>
      <c r="G657" s="22"/>
    </row>
    <row r="658">
      <c r="D658" s="5"/>
      <c r="E658" s="5"/>
      <c r="F658" s="5"/>
      <c r="G658" s="22"/>
    </row>
    <row r="659">
      <c r="D659" s="5"/>
      <c r="E659" s="5"/>
      <c r="F659" s="5"/>
      <c r="G659" s="22"/>
    </row>
    <row r="660">
      <c r="D660" s="5"/>
      <c r="E660" s="5"/>
      <c r="F660" s="5"/>
      <c r="G660" s="22"/>
    </row>
    <row r="661">
      <c r="D661" s="5"/>
      <c r="E661" s="5"/>
      <c r="F661" s="5"/>
      <c r="G661" s="22"/>
    </row>
    <row r="662">
      <c r="D662" s="5"/>
      <c r="E662" s="5"/>
      <c r="F662" s="5"/>
      <c r="G662" s="22"/>
    </row>
    <row r="663">
      <c r="D663" s="5"/>
      <c r="E663" s="5"/>
      <c r="F663" s="5"/>
      <c r="G663" s="22"/>
    </row>
    <row r="664">
      <c r="D664" s="5"/>
      <c r="E664" s="5"/>
      <c r="F664" s="5"/>
      <c r="G664" s="22"/>
    </row>
    <row r="665">
      <c r="D665" s="5"/>
      <c r="E665" s="5"/>
      <c r="F665" s="5"/>
      <c r="G665" s="22"/>
    </row>
    <row r="666">
      <c r="D666" s="5"/>
      <c r="E666" s="5"/>
      <c r="F666" s="5"/>
      <c r="G666" s="22"/>
    </row>
    <row r="667">
      <c r="D667" s="5"/>
      <c r="E667" s="5"/>
      <c r="F667" s="5"/>
      <c r="G667" s="22"/>
    </row>
    <row r="668">
      <c r="D668" s="5"/>
      <c r="E668" s="5"/>
      <c r="F668" s="5"/>
      <c r="G668" s="22"/>
    </row>
    <row r="669">
      <c r="D669" s="5"/>
      <c r="E669" s="5"/>
      <c r="F669" s="5"/>
      <c r="G669" s="22"/>
    </row>
    <row r="670">
      <c r="D670" s="5"/>
      <c r="E670" s="5"/>
      <c r="F670" s="5"/>
      <c r="G670" s="22"/>
    </row>
    <row r="671">
      <c r="D671" s="5"/>
      <c r="E671" s="5"/>
      <c r="F671" s="5"/>
      <c r="G671" s="22"/>
    </row>
    <row r="672">
      <c r="D672" s="5"/>
      <c r="E672" s="5"/>
      <c r="F672" s="5"/>
      <c r="G672" s="22"/>
    </row>
    <row r="673">
      <c r="D673" s="5"/>
      <c r="E673" s="5"/>
      <c r="F673" s="5"/>
      <c r="G673" s="22"/>
    </row>
    <row r="674">
      <c r="D674" s="5"/>
      <c r="E674" s="5"/>
      <c r="F674" s="5"/>
      <c r="G674" s="22"/>
    </row>
    <row r="675">
      <c r="D675" s="5"/>
      <c r="E675" s="5"/>
      <c r="F675" s="5"/>
      <c r="G675" s="22"/>
    </row>
    <row r="676">
      <c r="D676" s="5"/>
      <c r="E676" s="5"/>
      <c r="F676" s="5"/>
      <c r="G676" s="22"/>
    </row>
    <row r="677">
      <c r="D677" s="5"/>
      <c r="E677" s="5"/>
      <c r="F677" s="5"/>
      <c r="G677" s="22"/>
    </row>
    <row r="678">
      <c r="D678" s="5"/>
      <c r="E678" s="5"/>
      <c r="F678" s="5"/>
      <c r="G678" s="22"/>
    </row>
    <row r="679">
      <c r="D679" s="5"/>
      <c r="E679" s="5"/>
      <c r="F679" s="5"/>
      <c r="G679" s="22"/>
    </row>
    <row r="680">
      <c r="D680" s="5"/>
      <c r="E680" s="5"/>
      <c r="F680" s="5"/>
      <c r="G680" s="22"/>
    </row>
    <row r="681">
      <c r="D681" s="5"/>
      <c r="E681" s="5"/>
      <c r="F681" s="5"/>
      <c r="G681" s="22"/>
    </row>
    <row r="682">
      <c r="D682" s="5"/>
      <c r="E682" s="5"/>
      <c r="F682" s="5"/>
      <c r="G682" s="22"/>
    </row>
    <row r="683">
      <c r="D683" s="5"/>
      <c r="E683" s="5"/>
      <c r="F683" s="5"/>
      <c r="G683" s="22"/>
    </row>
    <row r="684">
      <c r="D684" s="5"/>
      <c r="E684" s="5"/>
      <c r="F684" s="5"/>
      <c r="G684" s="22"/>
    </row>
    <row r="685">
      <c r="D685" s="5"/>
      <c r="E685" s="5"/>
      <c r="F685" s="5"/>
      <c r="G685" s="22"/>
    </row>
    <row r="686">
      <c r="D686" s="5"/>
      <c r="E686" s="5"/>
      <c r="F686" s="5"/>
      <c r="G686" s="22"/>
    </row>
    <row r="687">
      <c r="D687" s="5"/>
      <c r="E687" s="5"/>
      <c r="F687" s="5"/>
      <c r="G687" s="22"/>
    </row>
    <row r="688">
      <c r="D688" s="5"/>
      <c r="E688" s="5"/>
      <c r="F688" s="5"/>
      <c r="G688" s="22"/>
    </row>
    <row r="689">
      <c r="D689" s="5"/>
      <c r="E689" s="5"/>
      <c r="F689" s="5"/>
      <c r="G689" s="22"/>
    </row>
    <row r="690">
      <c r="D690" s="5"/>
      <c r="E690" s="5"/>
      <c r="F690" s="5"/>
      <c r="G690" s="22"/>
    </row>
    <row r="691">
      <c r="D691" s="5"/>
      <c r="E691" s="5"/>
      <c r="F691" s="5"/>
      <c r="G691" s="22"/>
    </row>
    <row r="692">
      <c r="D692" s="5"/>
      <c r="E692" s="5"/>
      <c r="F692" s="5"/>
      <c r="G692" s="22"/>
    </row>
    <row r="693">
      <c r="D693" s="5"/>
      <c r="E693" s="5"/>
      <c r="F693" s="5"/>
      <c r="G693" s="22"/>
    </row>
    <row r="694">
      <c r="D694" s="5"/>
      <c r="E694" s="5"/>
      <c r="F694" s="5"/>
      <c r="G694" s="22"/>
    </row>
    <row r="695">
      <c r="D695" s="5"/>
      <c r="E695" s="5"/>
      <c r="F695" s="5"/>
      <c r="G695" s="22"/>
    </row>
    <row r="696">
      <c r="D696" s="5"/>
      <c r="E696" s="5"/>
      <c r="F696" s="5"/>
      <c r="G696" s="22"/>
    </row>
    <row r="697">
      <c r="D697" s="5"/>
      <c r="E697" s="5"/>
      <c r="F697" s="5"/>
      <c r="G697" s="22"/>
    </row>
    <row r="698">
      <c r="D698" s="5"/>
      <c r="E698" s="5"/>
      <c r="F698" s="5"/>
      <c r="G698" s="22"/>
    </row>
    <row r="699">
      <c r="D699" s="5"/>
      <c r="E699" s="5"/>
      <c r="F699" s="5"/>
      <c r="G699" s="22"/>
    </row>
    <row r="700">
      <c r="D700" s="5"/>
      <c r="E700" s="5"/>
      <c r="F700" s="5"/>
      <c r="G700" s="22"/>
    </row>
    <row r="701">
      <c r="D701" s="5"/>
      <c r="E701" s="5"/>
      <c r="F701" s="5"/>
      <c r="G701" s="22"/>
    </row>
    <row r="702">
      <c r="D702" s="5"/>
      <c r="E702" s="5"/>
      <c r="F702" s="5"/>
      <c r="G702" s="22"/>
    </row>
    <row r="703">
      <c r="D703" s="5"/>
      <c r="E703" s="5"/>
      <c r="F703" s="5"/>
      <c r="G703" s="22"/>
    </row>
    <row r="704">
      <c r="D704" s="5"/>
      <c r="E704" s="5"/>
      <c r="F704" s="5"/>
      <c r="G704" s="22"/>
    </row>
    <row r="705">
      <c r="D705" s="5"/>
      <c r="E705" s="5"/>
      <c r="F705" s="5"/>
      <c r="G705" s="22"/>
    </row>
    <row r="706">
      <c r="D706" s="5"/>
      <c r="E706" s="5"/>
      <c r="F706" s="5"/>
      <c r="G706" s="22"/>
    </row>
    <row r="707">
      <c r="D707" s="5"/>
      <c r="E707" s="5"/>
      <c r="F707" s="5"/>
      <c r="G707" s="22"/>
    </row>
    <row r="708">
      <c r="D708" s="5"/>
      <c r="E708" s="5"/>
      <c r="F708" s="5"/>
      <c r="G708" s="22"/>
    </row>
    <row r="709">
      <c r="D709" s="5"/>
      <c r="E709" s="5"/>
      <c r="F709" s="5"/>
      <c r="G709" s="22"/>
    </row>
    <row r="710">
      <c r="D710" s="5"/>
      <c r="E710" s="5"/>
      <c r="F710" s="5"/>
      <c r="G710" s="22"/>
    </row>
    <row r="711">
      <c r="D711" s="5"/>
      <c r="E711" s="5"/>
      <c r="F711" s="5"/>
      <c r="G711" s="22"/>
    </row>
    <row r="712">
      <c r="D712" s="5"/>
      <c r="E712" s="5"/>
      <c r="F712" s="5"/>
      <c r="G712" s="22"/>
    </row>
    <row r="713">
      <c r="D713" s="5"/>
      <c r="E713" s="5"/>
      <c r="F713" s="5"/>
      <c r="G713" s="22"/>
    </row>
    <row r="714">
      <c r="D714" s="5"/>
      <c r="E714" s="5"/>
      <c r="F714" s="5"/>
      <c r="G714" s="22"/>
    </row>
    <row r="715">
      <c r="D715" s="5"/>
      <c r="E715" s="5"/>
      <c r="F715" s="5"/>
      <c r="G715" s="22"/>
    </row>
    <row r="716">
      <c r="D716" s="5"/>
      <c r="E716" s="5"/>
      <c r="F716" s="5"/>
      <c r="G716" s="22"/>
    </row>
    <row r="717">
      <c r="D717" s="5"/>
      <c r="E717" s="5"/>
      <c r="F717" s="5"/>
      <c r="G717" s="22"/>
    </row>
    <row r="718">
      <c r="D718" s="5"/>
      <c r="E718" s="5"/>
      <c r="F718" s="5"/>
      <c r="G718" s="22"/>
    </row>
    <row r="719">
      <c r="D719" s="5"/>
      <c r="E719" s="5"/>
      <c r="F719" s="5"/>
      <c r="G719" s="22"/>
    </row>
    <row r="720">
      <c r="D720" s="5"/>
      <c r="E720" s="5"/>
      <c r="F720" s="5"/>
      <c r="G720" s="22"/>
    </row>
    <row r="721">
      <c r="D721" s="5"/>
      <c r="E721" s="5"/>
      <c r="F721" s="5"/>
      <c r="G721" s="22"/>
    </row>
    <row r="722">
      <c r="D722" s="5"/>
      <c r="E722" s="5"/>
      <c r="F722" s="5"/>
      <c r="G722" s="22"/>
    </row>
    <row r="723">
      <c r="D723" s="5"/>
      <c r="E723" s="5"/>
      <c r="F723" s="5"/>
      <c r="G723" s="22"/>
    </row>
    <row r="724">
      <c r="D724" s="5"/>
      <c r="E724" s="5"/>
      <c r="F724" s="5"/>
      <c r="G724" s="22"/>
    </row>
    <row r="725">
      <c r="D725" s="5"/>
      <c r="E725" s="5"/>
      <c r="F725" s="5"/>
      <c r="G725" s="22"/>
    </row>
    <row r="726">
      <c r="D726" s="5"/>
      <c r="E726" s="5"/>
      <c r="F726" s="5"/>
      <c r="G726" s="22"/>
    </row>
    <row r="727">
      <c r="D727" s="5"/>
      <c r="E727" s="5"/>
      <c r="F727" s="5"/>
      <c r="G727" s="22"/>
    </row>
    <row r="728">
      <c r="D728" s="5"/>
      <c r="E728" s="5"/>
      <c r="F728" s="5"/>
      <c r="G728" s="22"/>
    </row>
    <row r="729">
      <c r="D729" s="5"/>
      <c r="E729" s="5"/>
      <c r="F729" s="5"/>
      <c r="G729" s="22"/>
    </row>
    <row r="730">
      <c r="D730" s="5"/>
      <c r="E730" s="5"/>
      <c r="F730" s="5"/>
      <c r="G730" s="22"/>
    </row>
    <row r="731">
      <c r="D731" s="5"/>
      <c r="E731" s="5"/>
      <c r="F731" s="5"/>
      <c r="G731" s="22"/>
    </row>
    <row r="732">
      <c r="D732" s="5"/>
      <c r="E732" s="5"/>
      <c r="F732" s="5"/>
      <c r="G732" s="22"/>
    </row>
    <row r="733">
      <c r="D733" s="5"/>
      <c r="E733" s="5"/>
      <c r="F733" s="5"/>
      <c r="G733" s="22"/>
    </row>
    <row r="734">
      <c r="D734" s="5"/>
      <c r="E734" s="5"/>
      <c r="F734" s="5"/>
      <c r="G734" s="22"/>
    </row>
    <row r="735">
      <c r="D735" s="5"/>
      <c r="E735" s="5"/>
      <c r="F735" s="5"/>
      <c r="G735" s="22"/>
    </row>
    <row r="736">
      <c r="D736" s="5"/>
      <c r="E736" s="5"/>
      <c r="F736" s="5"/>
      <c r="G736" s="22"/>
    </row>
    <row r="737">
      <c r="D737" s="5"/>
      <c r="E737" s="5"/>
      <c r="F737" s="5"/>
      <c r="G737" s="22"/>
    </row>
    <row r="738">
      <c r="D738" s="5"/>
      <c r="E738" s="5"/>
      <c r="F738" s="5"/>
      <c r="G738" s="22"/>
    </row>
    <row r="739">
      <c r="D739" s="5"/>
      <c r="E739" s="5"/>
      <c r="F739" s="5"/>
      <c r="G739" s="22"/>
    </row>
    <row r="740">
      <c r="D740" s="5"/>
      <c r="E740" s="5"/>
      <c r="F740" s="5"/>
      <c r="G740" s="22"/>
    </row>
    <row r="741">
      <c r="D741" s="5"/>
      <c r="E741" s="5"/>
      <c r="F741" s="5"/>
      <c r="G741" s="22"/>
    </row>
    <row r="742">
      <c r="D742" s="5"/>
      <c r="E742" s="5"/>
      <c r="F742" s="5"/>
      <c r="G742" s="22"/>
    </row>
    <row r="743">
      <c r="D743" s="5"/>
      <c r="E743" s="5"/>
      <c r="F743" s="5"/>
      <c r="G743" s="22"/>
    </row>
    <row r="744">
      <c r="D744" s="5"/>
      <c r="E744" s="5"/>
      <c r="F744" s="5"/>
      <c r="G744" s="22"/>
    </row>
    <row r="745">
      <c r="D745" s="5"/>
      <c r="E745" s="5"/>
      <c r="F745" s="5"/>
      <c r="G745" s="22"/>
    </row>
    <row r="746">
      <c r="D746" s="5"/>
      <c r="E746" s="5"/>
      <c r="F746" s="5"/>
      <c r="G746" s="22"/>
    </row>
    <row r="747">
      <c r="D747" s="5"/>
      <c r="E747" s="5"/>
      <c r="F747" s="5"/>
      <c r="G747" s="22"/>
    </row>
    <row r="748">
      <c r="D748" s="5"/>
      <c r="E748" s="5"/>
      <c r="F748" s="5"/>
      <c r="G748" s="22"/>
    </row>
    <row r="749">
      <c r="D749" s="5"/>
      <c r="E749" s="5"/>
      <c r="F749" s="5"/>
      <c r="G749" s="22"/>
    </row>
    <row r="750">
      <c r="D750" s="5"/>
      <c r="E750" s="5"/>
      <c r="F750" s="5"/>
      <c r="G750" s="22"/>
    </row>
    <row r="751">
      <c r="D751" s="5"/>
      <c r="E751" s="5"/>
      <c r="F751" s="5"/>
      <c r="G751" s="22"/>
    </row>
    <row r="752">
      <c r="D752" s="5"/>
      <c r="E752" s="5"/>
      <c r="F752" s="5"/>
      <c r="G752" s="22"/>
    </row>
    <row r="753">
      <c r="D753" s="5"/>
      <c r="E753" s="5"/>
      <c r="F753" s="5"/>
      <c r="G753" s="22"/>
    </row>
    <row r="754">
      <c r="D754" s="5"/>
      <c r="E754" s="5"/>
      <c r="F754" s="5"/>
      <c r="G754" s="22"/>
    </row>
    <row r="755">
      <c r="D755" s="5"/>
      <c r="E755" s="5"/>
      <c r="F755" s="5"/>
      <c r="G755" s="22"/>
    </row>
    <row r="756">
      <c r="D756" s="5"/>
      <c r="E756" s="5"/>
      <c r="F756" s="5"/>
      <c r="G756" s="22"/>
    </row>
    <row r="757">
      <c r="D757" s="5"/>
      <c r="E757" s="5"/>
      <c r="F757" s="5"/>
      <c r="G757" s="22"/>
    </row>
    <row r="758">
      <c r="D758" s="5"/>
      <c r="E758" s="5"/>
      <c r="F758" s="5"/>
      <c r="G758" s="22"/>
    </row>
    <row r="759">
      <c r="D759" s="5"/>
      <c r="E759" s="5"/>
      <c r="F759" s="5"/>
      <c r="G759" s="22"/>
    </row>
    <row r="760">
      <c r="D760" s="5"/>
      <c r="E760" s="5"/>
      <c r="F760" s="5"/>
      <c r="G760" s="22"/>
    </row>
    <row r="761">
      <c r="D761" s="5"/>
      <c r="E761" s="5"/>
      <c r="F761" s="5"/>
      <c r="G761" s="22"/>
    </row>
    <row r="762">
      <c r="D762" s="5"/>
      <c r="E762" s="5"/>
      <c r="F762" s="5"/>
      <c r="G762" s="22"/>
    </row>
    <row r="763">
      <c r="D763" s="5"/>
      <c r="E763" s="5"/>
      <c r="F763" s="5"/>
      <c r="G763" s="22"/>
    </row>
    <row r="764">
      <c r="D764" s="5"/>
      <c r="E764" s="5"/>
      <c r="F764" s="5"/>
      <c r="G764" s="22"/>
    </row>
    <row r="765">
      <c r="D765" s="5"/>
      <c r="E765" s="5"/>
      <c r="F765" s="5"/>
      <c r="G765" s="22"/>
    </row>
    <row r="766">
      <c r="D766" s="5"/>
      <c r="E766" s="5"/>
      <c r="F766" s="5"/>
      <c r="G766" s="22"/>
    </row>
    <row r="767">
      <c r="D767" s="5"/>
      <c r="E767" s="5"/>
      <c r="F767" s="5"/>
      <c r="G767" s="22"/>
    </row>
    <row r="768">
      <c r="D768" s="5"/>
      <c r="E768" s="5"/>
      <c r="F768" s="5"/>
      <c r="G768" s="22"/>
    </row>
    <row r="769">
      <c r="D769" s="5"/>
      <c r="E769" s="5"/>
      <c r="F769" s="5"/>
      <c r="G769" s="22"/>
    </row>
    <row r="770">
      <c r="D770" s="5"/>
      <c r="E770" s="5"/>
      <c r="F770" s="5"/>
      <c r="G770" s="22"/>
    </row>
    <row r="771">
      <c r="D771" s="5"/>
      <c r="E771" s="5"/>
      <c r="F771" s="5"/>
      <c r="G771" s="22"/>
    </row>
    <row r="772">
      <c r="D772" s="5"/>
      <c r="E772" s="5"/>
      <c r="F772" s="5"/>
      <c r="G772" s="22"/>
    </row>
    <row r="773">
      <c r="D773" s="5"/>
      <c r="E773" s="5"/>
      <c r="F773" s="5"/>
      <c r="G773" s="22"/>
    </row>
    <row r="774">
      <c r="D774" s="5"/>
      <c r="E774" s="5"/>
      <c r="F774" s="5"/>
      <c r="G774" s="22"/>
    </row>
    <row r="775">
      <c r="D775" s="5"/>
      <c r="E775" s="5"/>
      <c r="F775" s="5"/>
      <c r="G775" s="22"/>
    </row>
    <row r="776">
      <c r="D776" s="5"/>
      <c r="E776" s="5"/>
      <c r="F776" s="5"/>
      <c r="G776" s="22"/>
    </row>
    <row r="777">
      <c r="D777" s="5"/>
      <c r="E777" s="5"/>
      <c r="F777" s="5"/>
      <c r="G777" s="22"/>
    </row>
    <row r="778">
      <c r="D778" s="5"/>
      <c r="E778" s="5"/>
      <c r="F778" s="5"/>
      <c r="G778" s="22"/>
    </row>
    <row r="779">
      <c r="D779" s="5"/>
      <c r="E779" s="5"/>
      <c r="F779" s="5"/>
      <c r="G779" s="22"/>
    </row>
    <row r="780">
      <c r="D780" s="5"/>
      <c r="E780" s="5"/>
      <c r="F780" s="5"/>
      <c r="G780" s="22"/>
    </row>
    <row r="781">
      <c r="D781" s="5"/>
      <c r="E781" s="5"/>
      <c r="F781" s="5"/>
      <c r="G781" s="22"/>
    </row>
    <row r="782">
      <c r="D782" s="5"/>
      <c r="E782" s="5"/>
      <c r="F782" s="5"/>
      <c r="G782" s="22"/>
    </row>
    <row r="783">
      <c r="D783" s="5"/>
      <c r="E783" s="5"/>
      <c r="F783" s="5"/>
      <c r="G783" s="22"/>
    </row>
    <row r="784">
      <c r="D784" s="5"/>
      <c r="E784" s="5"/>
      <c r="F784" s="5"/>
      <c r="G784" s="22"/>
    </row>
    <row r="785">
      <c r="D785" s="5"/>
      <c r="E785" s="5"/>
      <c r="F785" s="5"/>
      <c r="G785" s="22"/>
    </row>
    <row r="786">
      <c r="D786" s="5"/>
      <c r="E786" s="5"/>
      <c r="F786" s="5"/>
      <c r="G786" s="22"/>
    </row>
    <row r="787">
      <c r="D787" s="5"/>
      <c r="E787" s="5"/>
      <c r="F787" s="5"/>
      <c r="G787" s="22"/>
    </row>
    <row r="788">
      <c r="D788" s="5"/>
      <c r="E788" s="5"/>
      <c r="F788" s="5"/>
      <c r="G788" s="22"/>
    </row>
    <row r="789">
      <c r="D789" s="5"/>
      <c r="E789" s="5"/>
      <c r="F789" s="5"/>
      <c r="G789" s="22"/>
    </row>
    <row r="790">
      <c r="D790" s="5"/>
      <c r="E790" s="5"/>
      <c r="F790" s="5"/>
      <c r="G790" s="22"/>
    </row>
    <row r="791">
      <c r="D791" s="5"/>
      <c r="E791" s="5"/>
      <c r="F791" s="5"/>
      <c r="G791" s="22"/>
    </row>
    <row r="792">
      <c r="D792" s="5"/>
      <c r="E792" s="5"/>
      <c r="F792" s="5"/>
      <c r="G792" s="22"/>
    </row>
    <row r="793">
      <c r="D793" s="5"/>
      <c r="E793" s="5"/>
      <c r="F793" s="5"/>
      <c r="G793" s="22"/>
    </row>
    <row r="794">
      <c r="D794" s="5"/>
      <c r="E794" s="5"/>
      <c r="F794" s="5"/>
      <c r="G794" s="22"/>
    </row>
    <row r="795">
      <c r="D795" s="5"/>
      <c r="E795" s="5"/>
      <c r="F795" s="5"/>
      <c r="G795" s="22"/>
    </row>
    <row r="796">
      <c r="D796" s="5"/>
      <c r="E796" s="5"/>
      <c r="F796" s="5"/>
      <c r="G796" s="22"/>
    </row>
    <row r="797">
      <c r="D797" s="5"/>
      <c r="E797" s="5"/>
      <c r="F797" s="5"/>
      <c r="G797" s="22"/>
    </row>
    <row r="798">
      <c r="D798" s="5"/>
      <c r="E798" s="5"/>
      <c r="F798" s="5"/>
      <c r="G798" s="22"/>
    </row>
    <row r="799">
      <c r="D799" s="5"/>
      <c r="E799" s="5"/>
      <c r="F799" s="5"/>
      <c r="G799" s="22"/>
    </row>
    <row r="800">
      <c r="D800" s="5"/>
      <c r="E800" s="5"/>
      <c r="F800" s="5"/>
      <c r="G800" s="22"/>
    </row>
    <row r="801">
      <c r="D801" s="5"/>
      <c r="E801" s="5"/>
      <c r="F801" s="5"/>
      <c r="G801" s="22"/>
    </row>
    <row r="802">
      <c r="D802" s="5"/>
      <c r="E802" s="5"/>
      <c r="F802" s="5"/>
      <c r="G802" s="22"/>
    </row>
    <row r="803">
      <c r="D803" s="5"/>
      <c r="E803" s="5"/>
      <c r="F803" s="5"/>
      <c r="G803" s="22"/>
    </row>
    <row r="804">
      <c r="D804" s="5"/>
      <c r="E804" s="5"/>
      <c r="F804" s="5"/>
      <c r="G804" s="22"/>
    </row>
    <row r="805">
      <c r="D805" s="5"/>
      <c r="E805" s="5"/>
      <c r="F805" s="5"/>
      <c r="G805" s="22"/>
    </row>
    <row r="806">
      <c r="D806" s="5"/>
      <c r="E806" s="5"/>
      <c r="F806" s="5"/>
      <c r="G806" s="22"/>
    </row>
    <row r="807">
      <c r="D807" s="5"/>
      <c r="E807" s="5"/>
      <c r="F807" s="5"/>
      <c r="G807" s="22"/>
    </row>
    <row r="808">
      <c r="D808" s="5"/>
      <c r="E808" s="5"/>
      <c r="F808" s="5"/>
      <c r="G808" s="22"/>
    </row>
    <row r="809">
      <c r="D809" s="5"/>
      <c r="E809" s="5"/>
      <c r="F809" s="5"/>
      <c r="G809" s="22"/>
    </row>
    <row r="810">
      <c r="D810" s="5"/>
      <c r="E810" s="5"/>
      <c r="F810" s="5"/>
      <c r="G810" s="22"/>
    </row>
    <row r="811">
      <c r="D811" s="5"/>
      <c r="E811" s="5"/>
      <c r="F811" s="5"/>
      <c r="G811" s="22"/>
    </row>
    <row r="812">
      <c r="D812" s="5"/>
      <c r="E812" s="5"/>
      <c r="F812" s="5"/>
      <c r="G812" s="22"/>
    </row>
    <row r="813">
      <c r="D813" s="5"/>
      <c r="E813" s="5"/>
      <c r="F813" s="5"/>
      <c r="G813" s="22"/>
    </row>
    <row r="814">
      <c r="D814" s="5"/>
      <c r="E814" s="5"/>
      <c r="F814" s="5"/>
      <c r="G814" s="22"/>
    </row>
    <row r="815">
      <c r="D815" s="5"/>
      <c r="E815" s="5"/>
      <c r="F815" s="5"/>
      <c r="G815" s="22"/>
    </row>
    <row r="816">
      <c r="D816" s="5"/>
      <c r="E816" s="5"/>
      <c r="F816" s="5"/>
      <c r="G816" s="22"/>
    </row>
    <row r="817">
      <c r="D817" s="5"/>
      <c r="E817" s="5"/>
      <c r="F817" s="5"/>
      <c r="G817" s="22"/>
    </row>
    <row r="818">
      <c r="D818" s="5"/>
      <c r="E818" s="5"/>
      <c r="F818" s="5"/>
      <c r="G818" s="22"/>
    </row>
    <row r="819">
      <c r="D819" s="5"/>
      <c r="E819" s="5"/>
      <c r="F819" s="5"/>
      <c r="G819" s="22"/>
    </row>
    <row r="820">
      <c r="D820" s="5"/>
      <c r="E820" s="5"/>
      <c r="F820" s="5"/>
      <c r="G820" s="22"/>
    </row>
    <row r="821">
      <c r="D821" s="5"/>
      <c r="E821" s="5"/>
      <c r="F821" s="5"/>
      <c r="G821" s="22"/>
    </row>
    <row r="822">
      <c r="D822" s="5"/>
      <c r="E822" s="5"/>
      <c r="F822" s="5"/>
      <c r="G822" s="22"/>
    </row>
    <row r="823">
      <c r="D823" s="5"/>
      <c r="E823" s="5"/>
      <c r="F823" s="5"/>
      <c r="G823" s="22"/>
    </row>
    <row r="824">
      <c r="D824" s="5"/>
      <c r="E824" s="5"/>
      <c r="F824" s="5"/>
      <c r="G824" s="22"/>
    </row>
    <row r="825">
      <c r="D825" s="5"/>
      <c r="E825" s="5"/>
      <c r="F825" s="5"/>
      <c r="G825" s="22"/>
    </row>
    <row r="826">
      <c r="D826" s="5"/>
      <c r="E826" s="5"/>
      <c r="F826" s="5"/>
      <c r="G826" s="22"/>
    </row>
    <row r="827">
      <c r="D827" s="5"/>
      <c r="E827" s="5"/>
      <c r="F827" s="5"/>
      <c r="G827" s="22"/>
    </row>
    <row r="828">
      <c r="D828" s="5"/>
      <c r="E828" s="5"/>
      <c r="F828" s="5"/>
      <c r="G828" s="22"/>
    </row>
    <row r="829">
      <c r="D829" s="5"/>
      <c r="E829" s="5"/>
      <c r="F829" s="5"/>
      <c r="G829" s="22"/>
    </row>
    <row r="830">
      <c r="D830" s="5"/>
      <c r="E830" s="5"/>
      <c r="F830" s="5"/>
      <c r="G830" s="22"/>
    </row>
    <row r="831">
      <c r="D831" s="5"/>
      <c r="E831" s="5"/>
      <c r="F831" s="5"/>
      <c r="G831" s="22"/>
    </row>
    <row r="832">
      <c r="D832" s="5"/>
      <c r="E832" s="5"/>
      <c r="F832" s="5"/>
      <c r="G832" s="22"/>
    </row>
    <row r="833">
      <c r="D833" s="5"/>
      <c r="E833" s="5"/>
      <c r="F833" s="5"/>
      <c r="G833" s="22"/>
    </row>
    <row r="834">
      <c r="D834" s="5"/>
      <c r="E834" s="5"/>
      <c r="F834" s="5"/>
      <c r="G834" s="22"/>
    </row>
    <row r="835">
      <c r="D835" s="5"/>
      <c r="E835" s="5"/>
      <c r="F835" s="5"/>
      <c r="G835" s="22"/>
    </row>
    <row r="836">
      <c r="D836" s="5"/>
      <c r="E836" s="5"/>
      <c r="F836" s="5"/>
      <c r="G836" s="22"/>
    </row>
    <row r="837">
      <c r="D837" s="5"/>
      <c r="E837" s="5"/>
      <c r="F837" s="5"/>
      <c r="G837" s="22"/>
    </row>
    <row r="838">
      <c r="D838" s="5"/>
      <c r="E838" s="5"/>
      <c r="F838" s="5"/>
      <c r="G838" s="22"/>
    </row>
    <row r="839">
      <c r="D839" s="5"/>
      <c r="E839" s="5"/>
      <c r="F839" s="5"/>
      <c r="G839" s="22"/>
    </row>
    <row r="840">
      <c r="D840" s="5"/>
      <c r="E840" s="5"/>
      <c r="F840" s="5"/>
      <c r="G840" s="22"/>
    </row>
    <row r="841">
      <c r="D841" s="5"/>
      <c r="E841" s="5"/>
      <c r="F841" s="5"/>
      <c r="G841" s="22"/>
    </row>
    <row r="842">
      <c r="D842" s="5"/>
      <c r="E842" s="5"/>
      <c r="F842" s="5"/>
      <c r="G842" s="22"/>
    </row>
    <row r="843">
      <c r="D843" s="5"/>
      <c r="E843" s="5"/>
      <c r="F843" s="5"/>
      <c r="G843" s="22"/>
    </row>
    <row r="844">
      <c r="D844" s="5"/>
      <c r="E844" s="5"/>
      <c r="F844" s="5"/>
      <c r="G844" s="22"/>
    </row>
    <row r="845">
      <c r="D845" s="5"/>
      <c r="E845" s="5"/>
      <c r="F845" s="5"/>
      <c r="G845" s="22"/>
    </row>
    <row r="846">
      <c r="D846" s="5"/>
      <c r="E846" s="5"/>
      <c r="F846" s="5"/>
      <c r="G846" s="22"/>
    </row>
    <row r="847">
      <c r="D847" s="5"/>
      <c r="E847" s="5"/>
      <c r="F847" s="5"/>
      <c r="G847" s="22"/>
    </row>
    <row r="848">
      <c r="D848" s="5"/>
      <c r="E848" s="5"/>
      <c r="F848" s="5"/>
      <c r="G848" s="22"/>
    </row>
    <row r="849">
      <c r="D849" s="5"/>
      <c r="E849" s="5"/>
      <c r="F849" s="5"/>
      <c r="G849" s="22"/>
    </row>
    <row r="850">
      <c r="D850" s="5"/>
      <c r="E850" s="5"/>
      <c r="F850" s="5"/>
      <c r="G850" s="22"/>
    </row>
    <row r="851">
      <c r="D851" s="5"/>
      <c r="E851" s="5"/>
      <c r="F851" s="5"/>
      <c r="G851" s="22"/>
    </row>
    <row r="852">
      <c r="D852" s="5"/>
      <c r="E852" s="5"/>
      <c r="F852" s="5"/>
      <c r="G852" s="22"/>
    </row>
    <row r="853">
      <c r="D853" s="5"/>
      <c r="E853" s="5"/>
      <c r="F853" s="5"/>
      <c r="G853" s="22"/>
    </row>
    <row r="854">
      <c r="D854" s="5"/>
      <c r="E854" s="5"/>
      <c r="F854" s="5"/>
      <c r="G854" s="22"/>
    </row>
    <row r="855">
      <c r="D855" s="5"/>
      <c r="E855" s="5"/>
      <c r="F855" s="5"/>
      <c r="G855" s="22"/>
    </row>
    <row r="856">
      <c r="D856" s="5"/>
      <c r="E856" s="5"/>
      <c r="F856" s="5"/>
      <c r="G856" s="22"/>
    </row>
    <row r="857">
      <c r="D857" s="5"/>
      <c r="E857" s="5"/>
      <c r="F857" s="5"/>
      <c r="G857" s="22"/>
    </row>
    <row r="858">
      <c r="D858" s="5"/>
      <c r="E858" s="5"/>
      <c r="F858" s="5"/>
      <c r="G858" s="22"/>
    </row>
    <row r="859">
      <c r="D859" s="5"/>
      <c r="E859" s="5"/>
      <c r="F859" s="5"/>
      <c r="G859" s="22"/>
    </row>
    <row r="860">
      <c r="D860" s="5"/>
      <c r="E860" s="5"/>
      <c r="F860" s="5"/>
      <c r="G860" s="22"/>
    </row>
    <row r="861">
      <c r="D861" s="5"/>
      <c r="E861" s="5"/>
      <c r="F861" s="5"/>
      <c r="G861" s="22"/>
    </row>
    <row r="862">
      <c r="D862" s="5"/>
      <c r="E862" s="5"/>
      <c r="F862" s="5"/>
      <c r="G862" s="22"/>
    </row>
    <row r="863">
      <c r="D863" s="5"/>
      <c r="E863" s="5"/>
      <c r="F863" s="5"/>
      <c r="G863" s="22"/>
    </row>
    <row r="864">
      <c r="D864" s="5"/>
      <c r="E864" s="5"/>
      <c r="F864" s="5"/>
      <c r="G864" s="22"/>
    </row>
    <row r="865">
      <c r="D865" s="5"/>
      <c r="E865" s="5"/>
      <c r="F865" s="5"/>
      <c r="G865" s="22"/>
    </row>
    <row r="866">
      <c r="D866" s="5"/>
      <c r="E866" s="5"/>
      <c r="F866" s="5"/>
      <c r="G866" s="22"/>
    </row>
    <row r="867">
      <c r="D867" s="5"/>
      <c r="E867" s="5"/>
      <c r="F867" s="5"/>
      <c r="G867" s="22"/>
    </row>
    <row r="868">
      <c r="D868" s="5"/>
      <c r="E868" s="5"/>
      <c r="F868" s="5"/>
      <c r="G868" s="22"/>
    </row>
    <row r="869">
      <c r="D869" s="5"/>
      <c r="E869" s="5"/>
      <c r="F869" s="5"/>
      <c r="G869" s="22"/>
    </row>
    <row r="870">
      <c r="D870" s="5"/>
      <c r="E870" s="5"/>
      <c r="F870" s="5"/>
      <c r="G870" s="22"/>
    </row>
    <row r="871">
      <c r="D871" s="5"/>
      <c r="E871" s="5"/>
      <c r="F871" s="5"/>
      <c r="G871" s="22"/>
    </row>
    <row r="872">
      <c r="D872" s="5"/>
      <c r="E872" s="5"/>
      <c r="F872" s="5"/>
      <c r="G872" s="22"/>
    </row>
    <row r="873">
      <c r="D873" s="5"/>
      <c r="E873" s="5"/>
      <c r="F873" s="5"/>
      <c r="G873" s="22"/>
    </row>
    <row r="874">
      <c r="D874" s="5"/>
      <c r="E874" s="5"/>
      <c r="F874" s="5"/>
      <c r="G874" s="22"/>
    </row>
    <row r="875">
      <c r="D875" s="5"/>
      <c r="E875" s="5"/>
      <c r="F875" s="5"/>
      <c r="G875" s="22"/>
    </row>
    <row r="876">
      <c r="D876" s="5"/>
      <c r="E876" s="5"/>
      <c r="F876" s="5"/>
      <c r="G876" s="22"/>
    </row>
    <row r="877">
      <c r="D877" s="5"/>
      <c r="E877" s="5"/>
      <c r="F877" s="5"/>
      <c r="G877" s="22"/>
    </row>
    <row r="878">
      <c r="D878" s="5"/>
      <c r="E878" s="5"/>
      <c r="F878" s="5"/>
      <c r="G878" s="22"/>
    </row>
    <row r="879">
      <c r="D879" s="5"/>
      <c r="E879" s="5"/>
      <c r="F879" s="5"/>
      <c r="G879" s="22"/>
    </row>
    <row r="880">
      <c r="D880" s="5"/>
      <c r="E880" s="5"/>
      <c r="F880" s="5"/>
      <c r="G880" s="22"/>
    </row>
    <row r="881">
      <c r="D881" s="5"/>
      <c r="E881" s="5"/>
      <c r="F881" s="5"/>
      <c r="G881" s="22"/>
    </row>
    <row r="882">
      <c r="D882" s="5"/>
      <c r="E882" s="5"/>
      <c r="F882" s="5"/>
      <c r="G882" s="22"/>
    </row>
    <row r="883">
      <c r="D883" s="5"/>
      <c r="E883" s="5"/>
      <c r="F883" s="5"/>
      <c r="G883" s="22"/>
    </row>
    <row r="884">
      <c r="D884" s="5"/>
      <c r="E884" s="5"/>
      <c r="F884" s="5"/>
      <c r="G884" s="22"/>
    </row>
    <row r="885">
      <c r="D885" s="5"/>
      <c r="E885" s="5"/>
      <c r="F885" s="5"/>
      <c r="G885" s="22"/>
    </row>
    <row r="886">
      <c r="D886" s="5"/>
      <c r="E886" s="5"/>
      <c r="F886" s="5"/>
      <c r="G886" s="22"/>
    </row>
    <row r="887">
      <c r="D887" s="5"/>
      <c r="E887" s="5"/>
      <c r="F887" s="5"/>
      <c r="G887" s="22"/>
    </row>
    <row r="888">
      <c r="D888" s="5"/>
      <c r="E888" s="5"/>
      <c r="F888" s="5"/>
      <c r="G888" s="22"/>
    </row>
    <row r="889">
      <c r="D889" s="5"/>
      <c r="E889" s="5"/>
      <c r="F889" s="5"/>
      <c r="G889" s="22"/>
    </row>
    <row r="890">
      <c r="D890" s="5"/>
      <c r="E890" s="5"/>
      <c r="F890" s="5"/>
      <c r="G890" s="22"/>
    </row>
    <row r="891">
      <c r="D891" s="5"/>
      <c r="E891" s="5"/>
      <c r="F891" s="5"/>
      <c r="G891" s="22"/>
    </row>
    <row r="892">
      <c r="D892" s="5"/>
      <c r="E892" s="5"/>
      <c r="F892" s="5"/>
      <c r="G892" s="22"/>
    </row>
    <row r="893">
      <c r="D893" s="5"/>
      <c r="E893" s="5"/>
      <c r="F893" s="5"/>
      <c r="G893" s="22"/>
    </row>
    <row r="894">
      <c r="D894" s="5"/>
      <c r="E894" s="5"/>
      <c r="F894" s="5"/>
      <c r="G894" s="22"/>
    </row>
    <row r="895">
      <c r="D895" s="5"/>
      <c r="E895" s="5"/>
      <c r="F895" s="5"/>
      <c r="G895" s="22"/>
    </row>
    <row r="896">
      <c r="D896" s="5"/>
      <c r="E896" s="5"/>
      <c r="F896" s="5"/>
      <c r="G896" s="22"/>
    </row>
    <row r="897">
      <c r="D897" s="5"/>
      <c r="E897" s="5"/>
      <c r="F897" s="5"/>
      <c r="G897" s="22"/>
    </row>
    <row r="898">
      <c r="D898" s="5"/>
      <c r="E898" s="5"/>
      <c r="F898" s="5"/>
      <c r="G898" s="22"/>
    </row>
    <row r="899">
      <c r="D899" s="5"/>
      <c r="E899" s="5"/>
      <c r="F899" s="5"/>
      <c r="G899" s="22"/>
    </row>
    <row r="900">
      <c r="D900" s="5"/>
      <c r="E900" s="5"/>
      <c r="F900" s="5"/>
      <c r="G900" s="22"/>
    </row>
    <row r="901">
      <c r="D901" s="5"/>
      <c r="E901" s="5"/>
      <c r="F901" s="5"/>
      <c r="G901" s="22"/>
    </row>
    <row r="902">
      <c r="D902" s="5"/>
      <c r="E902" s="5"/>
      <c r="F902" s="5"/>
      <c r="G902" s="22"/>
    </row>
    <row r="903">
      <c r="D903" s="5"/>
      <c r="E903" s="5"/>
      <c r="F903" s="5"/>
      <c r="G903" s="22"/>
    </row>
    <row r="904">
      <c r="D904" s="5"/>
      <c r="E904" s="5"/>
      <c r="F904" s="5"/>
      <c r="G904" s="22"/>
    </row>
    <row r="905">
      <c r="D905" s="5"/>
      <c r="E905" s="5"/>
      <c r="F905" s="5"/>
      <c r="G905" s="22"/>
    </row>
    <row r="906">
      <c r="D906" s="5"/>
      <c r="E906" s="5"/>
      <c r="F906" s="5"/>
      <c r="G906" s="22"/>
    </row>
    <row r="907">
      <c r="D907" s="5"/>
      <c r="E907" s="5"/>
      <c r="F907" s="5"/>
      <c r="G907" s="22"/>
    </row>
    <row r="908">
      <c r="D908" s="5"/>
      <c r="E908" s="5"/>
      <c r="F908" s="5"/>
      <c r="G908" s="22"/>
    </row>
    <row r="909">
      <c r="D909" s="5"/>
      <c r="E909" s="5"/>
      <c r="F909" s="5"/>
      <c r="G909" s="22"/>
    </row>
    <row r="910">
      <c r="D910" s="5"/>
      <c r="E910" s="5"/>
      <c r="F910" s="5"/>
      <c r="G910" s="22"/>
    </row>
    <row r="911">
      <c r="D911" s="5"/>
      <c r="E911" s="5"/>
      <c r="F911" s="5"/>
      <c r="G911" s="22"/>
    </row>
    <row r="912">
      <c r="D912" s="5"/>
      <c r="E912" s="5"/>
      <c r="F912" s="5"/>
      <c r="G912" s="22"/>
    </row>
    <row r="913">
      <c r="D913" s="5"/>
      <c r="E913" s="5"/>
      <c r="F913" s="5"/>
      <c r="G913" s="22"/>
    </row>
    <row r="914">
      <c r="D914" s="5"/>
      <c r="E914" s="5"/>
      <c r="F914" s="5"/>
      <c r="G914" s="22"/>
    </row>
    <row r="915">
      <c r="D915" s="5"/>
      <c r="E915" s="5"/>
      <c r="F915" s="5"/>
      <c r="G915" s="22"/>
    </row>
    <row r="916">
      <c r="D916" s="5"/>
      <c r="E916" s="5"/>
      <c r="F916" s="5"/>
      <c r="G916" s="22"/>
    </row>
    <row r="917">
      <c r="D917" s="5"/>
      <c r="E917" s="5"/>
      <c r="F917" s="5"/>
      <c r="G917" s="22"/>
    </row>
    <row r="918">
      <c r="D918" s="5"/>
      <c r="E918" s="5"/>
      <c r="F918" s="5"/>
      <c r="G918" s="22"/>
    </row>
    <row r="919">
      <c r="D919" s="5"/>
      <c r="E919" s="5"/>
      <c r="F919" s="5"/>
      <c r="G919" s="22"/>
    </row>
    <row r="920">
      <c r="D920" s="5"/>
      <c r="E920" s="5"/>
      <c r="F920" s="5"/>
      <c r="G920" s="22"/>
    </row>
    <row r="921">
      <c r="D921" s="5"/>
      <c r="E921" s="5"/>
      <c r="F921" s="5"/>
      <c r="G921" s="22"/>
    </row>
    <row r="922">
      <c r="D922" s="5"/>
      <c r="E922" s="5"/>
      <c r="F922" s="5"/>
      <c r="G922" s="22"/>
    </row>
    <row r="923">
      <c r="D923" s="5"/>
      <c r="E923" s="5"/>
      <c r="F923" s="5"/>
      <c r="G923" s="22"/>
    </row>
    <row r="924">
      <c r="D924" s="5"/>
      <c r="E924" s="5"/>
      <c r="F924" s="5"/>
      <c r="G924" s="22"/>
    </row>
    <row r="925">
      <c r="D925" s="5"/>
      <c r="E925" s="5"/>
      <c r="F925" s="5"/>
      <c r="G925" s="22"/>
    </row>
    <row r="926">
      <c r="D926" s="5"/>
      <c r="E926" s="5"/>
      <c r="F926" s="5"/>
      <c r="G926" s="22"/>
    </row>
    <row r="927">
      <c r="D927" s="5"/>
      <c r="E927" s="5"/>
      <c r="F927" s="5"/>
      <c r="G927" s="22"/>
    </row>
    <row r="928">
      <c r="D928" s="5"/>
      <c r="E928" s="5"/>
      <c r="F928" s="5"/>
      <c r="G928" s="22"/>
    </row>
    <row r="929">
      <c r="D929" s="5"/>
      <c r="E929" s="5"/>
      <c r="F929" s="5"/>
      <c r="G929" s="22"/>
    </row>
    <row r="930">
      <c r="D930" s="5"/>
      <c r="E930" s="5"/>
      <c r="F930" s="5"/>
      <c r="G930" s="22"/>
    </row>
    <row r="931">
      <c r="D931" s="5"/>
      <c r="E931" s="5"/>
      <c r="F931" s="5"/>
      <c r="G931" s="22"/>
    </row>
    <row r="932">
      <c r="D932" s="5"/>
      <c r="E932" s="5"/>
      <c r="F932" s="5"/>
      <c r="G932" s="22"/>
    </row>
    <row r="933">
      <c r="D933" s="5"/>
      <c r="E933" s="5"/>
      <c r="F933" s="5"/>
      <c r="G933" s="22"/>
    </row>
    <row r="934">
      <c r="D934" s="5"/>
      <c r="E934" s="5"/>
      <c r="F934" s="5"/>
      <c r="G934" s="22"/>
    </row>
    <row r="935">
      <c r="D935" s="5"/>
      <c r="E935" s="5"/>
      <c r="F935" s="5"/>
      <c r="G935" s="22"/>
    </row>
    <row r="936">
      <c r="D936" s="5"/>
      <c r="E936" s="5"/>
      <c r="F936" s="5"/>
      <c r="G936" s="22"/>
    </row>
    <row r="937">
      <c r="D937" s="5"/>
      <c r="E937" s="5"/>
      <c r="F937" s="5"/>
      <c r="G937" s="22"/>
    </row>
    <row r="938">
      <c r="D938" s="5"/>
      <c r="E938" s="5"/>
      <c r="F938" s="5"/>
      <c r="G938" s="22"/>
    </row>
    <row r="939">
      <c r="D939" s="5"/>
      <c r="E939" s="5"/>
      <c r="F939" s="5"/>
      <c r="G939" s="22"/>
    </row>
    <row r="940">
      <c r="D940" s="5"/>
      <c r="E940" s="5"/>
      <c r="F940" s="5"/>
      <c r="G940" s="22"/>
    </row>
    <row r="941">
      <c r="D941" s="5"/>
      <c r="E941" s="5"/>
      <c r="F941" s="5"/>
      <c r="G941" s="22"/>
    </row>
    <row r="942">
      <c r="D942" s="5"/>
      <c r="E942" s="5"/>
      <c r="F942" s="5"/>
      <c r="G942" s="22"/>
    </row>
    <row r="943">
      <c r="D943" s="5"/>
      <c r="E943" s="5"/>
      <c r="F943" s="5"/>
      <c r="G943" s="22"/>
    </row>
    <row r="944">
      <c r="D944" s="5"/>
      <c r="E944" s="5"/>
      <c r="F944" s="5"/>
      <c r="G944" s="22"/>
    </row>
    <row r="945">
      <c r="D945" s="5"/>
      <c r="E945" s="5"/>
      <c r="F945" s="5"/>
      <c r="G945" s="22"/>
    </row>
    <row r="946">
      <c r="D946" s="5"/>
      <c r="E946" s="5"/>
      <c r="F946" s="5"/>
      <c r="G946" s="22"/>
    </row>
    <row r="947">
      <c r="D947" s="5"/>
      <c r="E947" s="5"/>
      <c r="F947" s="5"/>
      <c r="G947" s="22"/>
    </row>
    <row r="948">
      <c r="D948" s="5"/>
      <c r="E948" s="5"/>
      <c r="F948" s="5"/>
      <c r="G948" s="22"/>
    </row>
    <row r="949">
      <c r="D949" s="5"/>
      <c r="E949" s="5"/>
      <c r="F949" s="5"/>
      <c r="G949" s="22"/>
    </row>
    <row r="950">
      <c r="D950" s="5"/>
      <c r="E950" s="5"/>
      <c r="F950" s="5"/>
      <c r="G950" s="22"/>
    </row>
    <row r="951">
      <c r="D951" s="5"/>
      <c r="E951" s="5"/>
      <c r="F951" s="5"/>
      <c r="G951" s="22"/>
    </row>
    <row r="952">
      <c r="D952" s="5"/>
      <c r="E952" s="5"/>
      <c r="F952" s="5"/>
      <c r="G952" s="22"/>
    </row>
    <row r="953">
      <c r="D953" s="5"/>
      <c r="E953" s="5"/>
      <c r="F953" s="5"/>
      <c r="G953" s="22"/>
    </row>
    <row r="954">
      <c r="D954" s="5"/>
      <c r="E954" s="5"/>
      <c r="F954" s="5"/>
      <c r="G954" s="22"/>
    </row>
    <row r="955">
      <c r="D955" s="5"/>
      <c r="E955" s="5"/>
      <c r="F955" s="5"/>
      <c r="G955" s="22"/>
    </row>
    <row r="956">
      <c r="D956" s="5"/>
      <c r="E956" s="5"/>
      <c r="F956" s="5"/>
      <c r="G956" s="22"/>
    </row>
    <row r="957">
      <c r="D957" s="5"/>
      <c r="E957" s="5"/>
      <c r="F957" s="5"/>
      <c r="G957" s="22"/>
    </row>
    <row r="958">
      <c r="D958" s="5"/>
      <c r="E958" s="5"/>
      <c r="F958" s="5"/>
      <c r="G958" s="22"/>
    </row>
    <row r="959">
      <c r="D959" s="5"/>
      <c r="E959" s="5"/>
      <c r="F959" s="5"/>
      <c r="G959" s="22"/>
    </row>
    <row r="960">
      <c r="D960" s="5"/>
      <c r="E960" s="5"/>
      <c r="F960" s="5"/>
      <c r="G960" s="22"/>
    </row>
    <row r="961">
      <c r="D961" s="5"/>
      <c r="E961" s="5"/>
      <c r="F961" s="5"/>
      <c r="G961" s="22"/>
    </row>
    <row r="962">
      <c r="D962" s="5"/>
      <c r="E962" s="5"/>
      <c r="F962" s="5"/>
      <c r="G962" s="22"/>
    </row>
    <row r="963">
      <c r="D963" s="5"/>
      <c r="E963" s="5"/>
      <c r="F963" s="5"/>
      <c r="G963" s="22"/>
    </row>
    <row r="964">
      <c r="D964" s="5"/>
      <c r="E964" s="5"/>
      <c r="F964" s="5"/>
      <c r="G964" s="22"/>
    </row>
    <row r="965">
      <c r="D965" s="5"/>
      <c r="E965" s="5"/>
      <c r="F965" s="5"/>
      <c r="G965" s="22"/>
    </row>
    <row r="966">
      <c r="D966" s="5"/>
      <c r="E966" s="5"/>
      <c r="F966" s="5"/>
      <c r="G966" s="22"/>
    </row>
    <row r="967">
      <c r="D967" s="5"/>
      <c r="E967" s="5"/>
      <c r="F967" s="5"/>
      <c r="G967" s="22"/>
    </row>
    <row r="968">
      <c r="D968" s="5"/>
      <c r="E968" s="5"/>
      <c r="F968" s="5"/>
      <c r="G968" s="22"/>
    </row>
    <row r="969">
      <c r="D969" s="5"/>
      <c r="E969" s="5"/>
      <c r="F969" s="5"/>
      <c r="G969" s="22"/>
    </row>
    <row r="970">
      <c r="D970" s="5"/>
      <c r="E970" s="5"/>
      <c r="F970" s="5"/>
      <c r="G970" s="22"/>
    </row>
    <row r="971">
      <c r="D971" s="5"/>
      <c r="E971" s="5"/>
      <c r="F971" s="5"/>
      <c r="G971" s="22"/>
    </row>
    <row r="972">
      <c r="D972" s="5"/>
      <c r="E972" s="5"/>
      <c r="F972" s="5"/>
      <c r="G972" s="22"/>
    </row>
    <row r="973">
      <c r="D973" s="5"/>
      <c r="E973" s="5"/>
      <c r="F973" s="5"/>
      <c r="G973" s="22"/>
    </row>
    <row r="974">
      <c r="D974" s="5"/>
      <c r="E974" s="5"/>
      <c r="F974" s="5"/>
      <c r="G974" s="22"/>
    </row>
    <row r="975">
      <c r="D975" s="5"/>
      <c r="E975" s="5"/>
      <c r="F975" s="5"/>
      <c r="G975" s="22"/>
    </row>
    <row r="976">
      <c r="D976" s="5"/>
      <c r="E976" s="5"/>
      <c r="F976" s="5"/>
      <c r="G976" s="22"/>
    </row>
    <row r="977">
      <c r="D977" s="5"/>
      <c r="E977" s="5"/>
      <c r="F977" s="5"/>
      <c r="G977" s="22"/>
    </row>
    <row r="978">
      <c r="D978" s="5"/>
      <c r="E978" s="5"/>
      <c r="F978" s="5"/>
      <c r="G978" s="22"/>
    </row>
    <row r="979">
      <c r="D979" s="5"/>
      <c r="E979" s="5"/>
      <c r="F979" s="5"/>
      <c r="G979" s="22"/>
    </row>
    <row r="980">
      <c r="D980" s="5"/>
      <c r="E980" s="5"/>
      <c r="F980" s="5"/>
      <c r="G980" s="22"/>
    </row>
    <row r="981">
      <c r="D981" s="5"/>
      <c r="E981" s="5"/>
      <c r="F981" s="5"/>
      <c r="G981" s="22"/>
    </row>
    <row r="982">
      <c r="D982" s="5"/>
      <c r="E982" s="5"/>
      <c r="F982" s="5"/>
      <c r="G982" s="22"/>
    </row>
    <row r="983">
      <c r="D983" s="5"/>
      <c r="E983" s="5"/>
      <c r="F983" s="5"/>
      <c r="G983" s="22"/>
    </row>
    <row r="984">
      <c r="D984" s="5"/>
      <c r="E984" s="5"/>
      <c r="F984" s="5"/>
      <c r="G984" s="22"/>
    </row>
    <row r="985">
      <c r="D985" s="5"/>
      <c r="E985" s="5"/>
      <c r="F985" s="5"/>
      <c r="G985" s="22"/>
    </row>
    <row r="986">
      <c r="D986" s="5"/>
      <c r="E986" s="5"/>
      <c r="F986" s="5"/>
      <c r="G986" s="22"/>
    </row>
    <row r="987">
      <c r="D987" s="5"/>
      <c r="E987" s="5"/>
      <c r="F987" s="5"/>
      <c r="G987" s="22"/>
    </row>
    <row r="988">
      <c r="D988" s="5"/>
      <c r="E988" s="5"/>
      <c r="F988" s="5"/>
      <c r="G988" s="22"/>
    </row>
    <row r="989">
      <c r="D989" s="5"/>
      <c r="E989" s="5"/>
      <c r="F989" s="5"/>
      <c r="G989" s="22"/>
    </row>
    <row r="990">
      <c r="D990" s="5"/>
      <c r="E990" s="5"/>
      <c r="F990" s="5"/>
      <c r="G990" s="22"/>
    </row>
    <row r="991">
      <c r="D991" s="5"/>
      <c r="E991" s="5"/>
      <c r="F991" s="5"/>
      <c r="G991" s="22"/>
    </row>
    <row r="992">
      <c r="D992" s="5"/>
      <c r="E992" s="5"/>
      <c r="F992" s="5"/>
      <c r="G992" s="22"/>
    </row>
    <row r="993">
      <c r="D993" s="5"/>
      <c r="E993" s="5"/>
      <c r="F993" s="5"/>
      <c r="G993" s="22"/>
    </row>
    <row r="994">
      <c r="D994" s="5"/>
      <c r="E994" s="5"/>
      <c r="F994" s="5"/>
      <c r="G994" s="22"/>
    </row>
    <row r="995">
      <c r="D995" s="5"/>
      <c r="E995" s="5"/>
      <c r="F995" s="5"/>
      <c r="G995" s="22"/>
    </row>
    <row r="996">
      <c r="D996" s="5"/>
      <c r="E996" s="5"/>
      <c r="F996" s="5"/>
      <c r="G996" s="22"/>
    </row>
    <row r="997">
      <c r="D997" s="5"/>
      <c r="E997" s="5"/>
      <c r="F997" s="5"/>
      <c r="G997" s="22"/>
    </row>
    <row r="998">
      <c r="D998" s="5"/>
      <c r="E998" s="5"/>
      <c r="F998" s="5"/>
      <c r="G998" s="22"/>
    </row>
    <row r="999">
      <c r="D999" s="5"/>
      <c r="E999" s="5"/>
      <c r="F999" s="5"/>
      <c r="G999" s="22"/>
    </row>
    <row r="1000">
      <c r="D1000" s="5"/>
      <c r="E1000" s="5"/>
      <c r="F1000" s="5"/>
      <c r="G1000" s="22"/>
    </row>
    <row r="1001">
      <c r="D1001" s="5"/>
      <c r="E1001" s="5"/>
      <c r="F1001" s="5"/>
      <c r="G1001" s="22"/>
    </row>
  </sheetData>
  <hyperlinks>
    <hyperlink r:id="rId4" ref="G5"/>
    <hyperlink r:id="rId5" ref="G6"/>
    <hyperlink r:id="rId6" ref="G7"/>
    <hyperlink r:id="rId7" ref="G8"/>
    <hyperlink r:id="rId8" ref="G9"/>
    <hyperlink r:id="rId9" ref="G11"/>
    <hyperlink r:id="rId10" ref="G12"/>
    <hyperlink r:id="rId11" ref="G13"/>
    <hyperlink r:id="rId12" ref="G15"/>
    <hyperlink r:id="rId13" ref="G16"/>
    <hyperlink r:id="rId14" ref="G17"/>
    <hyperlink r:id="rId15" ref="G18"/>
    <hyperlink r:id="rId16" ref="G19"/>
    <hyperlink r:id="rId17" ref="G20"/>
    <hyperlink r:id="rId18" ref="G22"/>
    <hyperlink r:id="rId19" ref="G23"/>
    <hyperlink r:id="rId20" ref="G24"/>
    <hyperlink r:id="rId21" ref="G25"/>
    <hyperlink r:id="rId22" ref="G26"/>
    <hyperlink r:id="rId23" ref="G27"/>
    <hyperlink r:id="rId24" ref="G28"/>
    <hyperlink r:id="rId25" ref="G29"/>
    <hyperlink r:id="rId26" ref="G31"/>
    <hyperlink r:id="rId27" ref="G32"/>
    <hyperlink r:id="rId28" ref="G33"/>
    <hyperlink r:id="rId29" ref="G34"/>
    <hyperlink r:id="rId30" ref="G35"/>
    <hyperlink r:id="rId31" ref="G37"/>
    <hyperlink r:id="rId32" ref="G38"/>
    <hyperlink r:id="rId33" ref="G39"/>
    <hyperlink r:id="rId34" ref="G40"/>
    <hyperlink r:id="rId35" ref="G41"/>
    <hyperlink r:id="rId36" ref="G42"/>
    <hyperlink r:id="rId37" ref="G43"/>
    <hyperlink r:id="rId38" ref="G44"/>
    <hyperlink r:id="rId39" ref="G45"/>
    <hyperlink r:id="rId40" ref="G46"/>
    <hyperlink r:id="rId41" ref="G47"/>
    <hyperlink r:id="rId42" ref="G48"/>
    <hyperlink r:id="rId43" ref="G50"/>
    <hyperlink r:id="rId44" ref="G51"/>
    <hyperlink r:id="rId45" ref="G52"/>
    <hyperlink r:id="rId46" ref="G53"/>
    <hyperlink r:id="rId47" ref="G54"/>
    <hyperlink r:id="rId48" ref="G55"/>
    <hyperlink r:id="rId49" ref="G57"/>
    <hyperlink r:id="rId50" ref="G58"/>
    <hyperlink r:id="rId51" ref="G59"/>
    <hyperlink r:id="rId52" ref="G60"/>
    <hyperlink r:id="rId53" ref="G61"/>
    <hyperlink r:id="rId54" ref="G62"/>
    <hyperlink r:id="rId55" ref="G63"/>
    <hyperlink r:id="rId56" ref="G64"/>
    <hyperlink r:id="rId57" ref="G65"/>
    <hyperlink r:id="rId58" ref="G66"/>
    <hyperlink r:id="rId59" ref="G67"/>
    <hyperlink r:id="rId60" ref="G68"/>
    <hyperlink r:id="rId61" ref="G69"/>
    <hyperlink r:id="rId62" ref="G70"/>
    <hyperlink r:id="rId63" ref="G72"/>
    <hyperlink r:id="rId64" ref="G73"/>
    <hyperlink r:id="rId65" ref="G74"/>
    <hyperlink r:id="rId66" ref="G76"/>
    <hyperlink r:id="rId67" ref="G83"/>
    <hyperlink r:id="rId68" ref="G85"/>
    <hyperlink r:id="rId69" ref="G86"/>
    <hyperlink r:id="rId70" ref="G87"/>
    <hyperlink r:id="rId71" ref="G88"/>
    <hyperlink r:id="rId72" ref="G90"/>
    <hyperlink r:id="rId73" ref="G91"/>
    <hyperlink r:id="rId74" ref="G92"/>
    <hyperlink r:id="rId75" ref="G93"/>
    <hyperlink r:id="rId76" ref="G94"/>
    <hyperlink r:id="rId77" ref="G95"/>
    <hyperlink r:id="rId78" ref="G97"/>
    <hyperlink r:id="rId79" ref="G98"/>
    <hyperlink r:id="rId80" ref="G99"/>
    <hyperlink r:id="rId81" ref="G101"/>
    <hyperlink r:id="rId82" ref="G102"/>
    <hyperlink r:id="rId83" ref="G103"/>
    <hyperlink r:id="rId84" ref="G104"/>
    <hyperlink r:id="rId85" ref="G105"/>
    <hyperlink r:id="rId86" ref="G106"/>
    <hyperlink r:id="rId87" ref="G108"/>
    <hyperlink r:id="rId88" ref="G109"/>
    <hyperlink r:id="rId89" ref="G110"/>
    <hyperlink r:id="rId90" ref="G111"/>
    <hyperlink r:id="rId91" ref="G112"/>
    <hyperlink r:id="rId92" ref="G114"/>
    <hyperlink r:id="rId93" ref="G115"/>
    <hyperlink r:id="rId94" ref="G116"/>
    <hyperlink r:id="rId95" ref="G121"/>
    <hyperlink r:id="rId96" ref="G122"/>
    <hyperlink r:id="rId97" ref="G124"/>
    <hyperlink r:id="rId98" ref="G125"/>
    <hyperlink r:id="rId99" ref="G126"/>
    <hyperlink r:id="rId100" ref="G128"/>
    <hyperlink r:id="rId101" ref="G131"/>
    <hyperlink r:id="rId102" ref="G133"/>
    <hyperlink r:id="rId103" ref="G136"/>
    <hyperlink r:id="rId104" ref="G137"/>
    <hyperlink r:id="rId105" ref="G140"/>
    <hyperlink r:id="rId106" ref="G142"/>
    <hyperlink r:id="rId107" ref="G143"/>
    <hyperlink r:id="rId108" ref="G144"/>
    <hyperlink r:id="rId109" ref="G146"/>
    <hyperlink r:id="rId110" ref="G147"/>
    <hyperlink r:id="rId111" ref="G149"/>
    <hyperlink r:id="rId112" ref="G151"/>
    <hyperlink r:id="rId113" ref="G152"/>
    <hyperlink r:id="rId114" ref="G153"/>
    <hyperlink r:id="rId115" ref="G154"/>
    <hyperlink r:id="rId116" ref="G155"/>
    <hyperlink r:id="rId117" ref="G160"/>
    <hyperlink r:id="rId118" ref="G162"/>
    <hyperlink r:id="rId119" ref="G163"/>
    <hyperlink r:id="rId120" ref="G164"/>
    <hyperlink r:id="rId121" ref="G165"/>
    <hyperlink r:id="rId122" ref="G166"/>
    <hyperlink r:id="rId123" ref="G167"/>
    <hyperlink r:id="rId124" ref="G168"/>
    <hyperlink r:id="rId125" ref="G169"/>
    <hyperlink r:id="rId126" ref="G172"/>
    <hyperlink r:id="rId127" ref="G178"/>
    <hyperlink r:id="rId128" ref="G183"/>
    <hyperlink r:id="rId129" ref="G185"/>
    <hyperlink r:id="rId130" ref="G187"/>
    <hyperlink r:id="rId131" ref="G188"/>
    <hyperlink r:id="rId132" ref="G189"/>
  </hyperlinks>
  <drawing r:id="rId133"/>
  <legacyDrawing r:id="rId134"/>
  <tableParts count="3">
    <tablePart r:id="rId138"/>
    <tablePart r:id="rId139"/>
    <tablePart r:id="rId14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5.13"/>
    <col customWidth="1" min="3" max="3" width="17.25"/>
    <col customWidth="1" min="4" max="4" width="10.13"/>
    <col customWidth="1" min="5" max="5" width="10.63"/>
    <col customWidth="1" min="6" max="6" width="43.88"/>
    <col customWidth="1" min="7" max="7" width="32.0"/>
  </cols>
  <sheetData>
    <row r="1" ht="26.25" customHeight="1">
      <c r="A1" s="38" t="s">
        <v>452</v>
      </c>
      <c r="B1" s="38" t="s">
        <v>4</v>
      </c>
      <c r="C1" s="38" t="s">
        <v>3</v>
      </c>
      <c r="D1" s="38" t="s">
        <v>453</v>
      </c>
      <c r="E1" s="38" t="s">
        <v>454</v>
      </c>
      <c r="F1" s="38" t="s">
        <v>455</v>
      </c>
      <c r="G1" s="38" t="s">
        <v>456</v>
      </c>
    </row>
    <row r="2" ht="26.25" customHeight="1">
      <c r="A2" s="39" t="s">
        <v>8</v>
      </c>
      <c r="B2" s="39" t="s">
        <v>10</v>
      </c>
      <c r="C2" s="39" t="s">
        <v>9</v>
      </c>
      <c r="D2" s="39">
        <v>6.0</v>
      </c>
      <c r="E2" s="39" t="s">
        <v>457</v>
      </c>
      <c r="F2" s="39"/>
      <c r="G2" s="40" t="str">
        <f t="shared" ref="G2:G189" si="1">IF(ISNUMBER(SEARCH("!HAS TIMER DISPLAYS!", F2)), "Tablet/Remote Display: Timer Display", IF(E2="No", "Tablet/Remote Display: Numeric Code", IF(E2="Yes", "User Prompted (Entry Method)", "")))</f>
        <v>Tablet/Remote Display: Numeric Code</v>
      </c>
    </row>
    <row r="3" ht="26.25" customHeight="1">
      <c r="A3" s="41" t="s">
        <v>8</v>
      </c>
      <c r="B3" s="41" t="s">
        <v>16</v>
      </c>
      <c r="C3" s="41" t="s">
        <v>15</v>
      </c>
      <c r="D3" s="41">
        <v>0.0</v>
      </c>
      <c r="E3" s="41" t="s">
        <v>458</v>
      </c>
      <c r="F3" s="41" t="s">
        <v>459</v>
      </c>
      <c r="G3" s="42" t="str">
        <f t="shared" si="1"/>
        <v/>
      </c>
    </row>
    <row r="4" ht="26.25" customHeight="1">
      <c r="A4" s="39" t="s">
        <v>14</v>
      </c>
      <c r="B4" s="39" t="s">
        <v>22</v>
      </c>
      <c r="C4" s="39" t="s">
        <v>21</v>
      </c>
      <c r="D4" s="39">
        <v>81.0</v>
      </c>
      <c r="E4" s="39" t="s">
        <v>457</v>
      </c>
      <c r="F4" s="43"/>
      <c r="G4" s="40" t="str">
        <f t="shared" si="1"/>
        <v>Tablet/Remote Display: Numeric Code</v>
      </c>
    </row>
    <row r="5" ht="26.25" customHeight="1">
      <c r="A5" s="41" t="s">
        <v>20</v>
      </c>
      <c r="B5" s="41" t="s">
        <v>27</v>
      </c>
      <c r="C5" s="41">
        <v>4000.0</v>
      </c>
      <c r="D5" s="44">
        <f>COUNTIF('Error Code Log'!B:B, "4000")</f>
        <v>13</v>
      </c>
      <c r="E5" s="41" t="s">
        <v>457</v>
      </c>
      <c r="F5" s="41"/>
      <c r="G5" s="45" t="str">
        <f t="shared" si="1"/>
        <v>Tablet/Remote Display: Numeric Code</v>
      </c>
    </row>
    <row r="6" ht="26.25" customHeight="1">
      <c r="A6" s="39" t="s">
        <v>20</v>
      </c>
      <c r="B6" s="39" t="s">
        <v>27</v>
      </c>
      <c r="C6" s="39" t="s">
        <v>31</v>
      </c>
      <c r="D6" s="43">
        <f>COUNTIF('Error Code Log'!B:B, "4000CS")</f>
        <v>17</v>
      </c>
      <c r="E6" s="39" t="s">
        <v>460</v>
      </c>
      <c r="F6" s="39" t="s">
        <v>461</v>
      </c>
      <c r="G6" s="46" t="str">
        <f t="shared" si="1"/>
        <v>Tablet/Remote Display: Timer Display</v>
      </c>
    </row>
    <row r="7" ht="26.25" customHeight="1">
      <c r="A7" s="47" t="s">
        <v>20</v>
      </c>
      <c r="B7" s="47" t="s">
        <v>36</v>
      </c>
      <c r="C7" s="47" t="s">
        <v>35</v>
      </c>
      <c r="D7" s="47">
        <f>COUNTIF('Error Code Log'!$B:$B, C7)</f>
        <v>16</v>
      </c>
      <c r="E7" s="48" t="s">
        <v>460</v>
      </c>
      <c r="F7" s="48" t="s">
        <v>462</v>
      </c>
      <c r="G7" s="49" t="str">
        <f t="shared" si="1"/>
        <v>User Prompted (Entry Method)</v>
      </c>
    </row>
    <row r="8" ht="26.25" customHeight="1">
      <c r="A8" s="39" t="s">
        <v>20</v>
      </c>
      <c r="B8" s="39" t="s">
        <v>39</v>
      </c>
      <c r="C8" s="39" t="s">
        <v>38</v>
      </c>
      <c r="D8" s="39">
        <v>0.0</v>
      </c>
      <c r="E8" s="39" t="s">
        <v>458</v>
      </c>
      <c r="F8" s="39" t="s">
        <v>459</v>
      </c>
      <c r="G8" s="40" t="str">
        <f t="shared" si="1"/>
        <v/>
      </c>
    </row>
    <row r="9" ht="26.25" customHeight="1">
      <c r="A9" s="41" t="s">
        <v>20</v>
      </c>
      <c r="B9" s="41" t="s">
        <v>43</v>
      </c>
      <c r="C9" s="41" t="s">
        <v>42</v>
      </c>
      <c r="D9" s="50">
        <v>17.0</v>
      </c>
      <c r="E9" s="41" t="s">
        <v>460</v>
      </c>
      <c r="F9" s="41" t="s">
        <v>461</v>
      </c>
      <c r="G9" s="45" t="str">
        <f t="shared" si="1"/>
        <v>Tablet/Remote Display: Timer Display</v>
      </c>
    </row>
    <row r="10" ht="26.25" customHeight="1">
      <c r="A10" s="39" t="s">
        <v>20</v>
      </c>
      <c r="B10" s="39" t="s">
        <v>47</v>
      </c>
      <c r="C10" s="39" t="s">
        <v>46</v>
      </c>
      <c r="D10" s="43">
        <f>COUNTIF('Error Code Log'!B:B, C10)</f>
        <v>9</v>
      </c>
      <c r="E10" s="39" t="s">
        <v>457</v>
      </c>
      <c r="F10" s="43"/>
      <c r="G10" s="40" t="str">
        <f t="shared" si="1"/>
        <v>Tablet/Remote Display: Numeric Code</v>
      </c>
    </row>
    <row r="11" ht="26.25" customHeight="1">
      <c r="A11" s="51" t="s">
        <v>20</v>
      </c>
      <c r="B11" s="51" t="s">
        <v>27</v>
      </c>
      <c r="C11" s="51" t="s">
        <v>50</v>
      </c>
      <c r="D11" s="52">
        <v>0.0</v>
      </c>
      <c r="E11" s="51" t="s">
        <v>458</v>
      </c>
      <c r="F11" s="51" t="s">
        <v>463</v>
      </c>
      <c r="G11" s="53" t="str">
        <f t="shared" si="1"/>
        <v/>
      </c>
    </row>
    <row r="12" ht="26.25" customHeight="1">
      <c r="A12" s="39" t="s">
        <v>20</v>
      </c>
      <c r="B12" s="39" t="s">
        <v>53</v>
      </c>
      <c r="C12" s="39" t="s">
        <v>52</v>
      </c>
      <c r="D12" s="43">
        <f>COUNTIF('Error Code Log'!B:B, C12)</f>
        <v>24</v>
      </c>
      <c r="E12" s="39" t="s">
        <v>460</v>
      </c>
      <c r="F12" s="39" t="s">
        <v>464</v>
      </c>
      <c r="G12" s="46" t="str">
        <f t="shared" si="1"/>
        <v>User Prompted (Entry Method)</v>
      </c>
    </row>
    <row r="13" ht="26.25" customHeight="1">
      <c r="A13" s="41" t="s">
        <v>20</v>
      </c>
      <c r="B13" s="41" t="s">
        <v>27</v>
      </c>
      <c r="C13" s="41" t="s">
        <v>56</v>
      </c>
      <c r="D13" s="44">
        <f>COUNTIF('Error Code Log'!$B:$B, C13)</f>
        <v>0</v>
      </c>
      <c r="E13" s="41" t="s">
        <v>458</v>
      </c>
      <c r="F13" s="41" t="s">
        <v>459</v>
      </c>
      <c r="G13" s="45" t="str">
        <f t="shared" si="1"/>
        <v/>
      </c>
    </row>
    <row r="14" ht="26.25" customHeight="1">
      <c r="A14" s="39" t="s">
        <v>20</v>
      </c>
      <c r="B14" s="39" t="s">
        <v>60</v>
      </c>
      <c r="C14" s="39" t="s">
        <v>59</v>
      </c>
      <c r="D14" s="43">
        <f>COUNTIF('Error Code Log'!B:B, C14)</f>
        <v>27</v>
      </c>
      <c r="E14" s="39" t="s">
        <v>460</v>
      </c>
      <c r="F14" s="39" t="s">
        <v>465</v>
      </c>
      <c r="G14" s="46" t="str">
        <f t="shared" si="1"/>
        <v>User Prompted (Entry Method)</v>
      </c>
    </row>
    <row r="15" ht="26.25" customHeight="1">
      <c r="A15" s="51" t="s">
        <v>20</v>
      </c>
      <c r="B15" s="51" t="s">
        <v>27</v>
      </c>
      <c r="C15" s="51" t="s">
        <v>62</v>
      </c>
      <c r="D15" s="52">
        <f>COUNTIF('Error Code Log'!$B:$B, C15)</f>
        <v>0</v>
      </c>
      <c r="E15" s="51" t="s">
        <v>458</v>
      </c>
      <c r="F15" s="51" t="s">
        <v>463</v>
      </c>
      <c r="G15" s="53" t="str">
        <f t="shared" si="1"/>
        <v/>
      </c>
    </row>
    <row r="16" ht="26.25" customHeight="1">
      <c r="A16" s="39" t="s">
        <v>20</v>
      </c>
      <c r="B16" s="39" t="s">
        <v>27</v>
      </c>
      <c r="C16" s="39" t="s">
        <v>64</v>
      </c>
      <c r="D16" s="43">
        <f>COUNTIF('Error Code Log'!$B:$B, C16)</f>
        <v>0</v>
      </c>
      <c r="E16" s="39" t="s">
        <v>458</v>
      </c>
      <c r="F16" s="39" t="s">
        <v>459</v>
      </c>
      <c r="G16" s="46" t="str">
        <f t="shared" si="1"/>
        <v/>
      </c>
    </row>
    <row r="17" ht="26.25" customHeight="1">
      <c r="A17" s="41" t="s">
        <v>20</v>
      </c>
      <c r="B17" s="41" t="s">
        <v>67</v>
      </c>
      <c r="C17" s="41" t="s">
        <v>66</v>
      </c>
      <c r="D17" s="44">
        <f>COUNTIF('Error Code Log'!$B:$B, C17)</f>
        <v>0</v>
      </c>
      <c r="E17" s="41" t="s">
        <v>458</v>
      </c>
      <c r="F17" s="41" t="s">
        <v>459</v>
      </c>
      <c r="G17" s="45" t="str">
        <f t="shared" si="1"/>
        <v/>
      </c>
    </row>
    <row r="18" ht="26.25" customHeight="1">
      <c r="A18" s="54" t="s">
        <v>20</v>
      </c>
      <c r="B18" s="54" t="s">
        <v>53</v>
      </c>
      <c r="C18" s="54" t="s">
        <v>69</v>
      </c>
      <c r="D18" s="54">
        <v>8.0</v>
      </c>
      <c r="E18" s="55" t="s">
        <v>457</v>
      </c>
      <c r="F18" s="56"/>
      <c r="G18" s="57" t="str">
        <f t="shared" si="1"/>
        <v>Tablet/Remote Display: Numeric Code</v>
      </c>
    </row>
    <row r="19" ht="26.25" customHeight="1">
      <c r="A19" s="41" t="s">
        <v>20</v>
      </c>
      <c r="B19" s="41" t="s">
        <v>71</v>
      </c>
      <c r="C19" s="41" t="s">
        <v>70</v>
      </c>
      <c r="D19" s="41">
        <v>17.0</v>
      </c>
      <c r="E19" s="41" t="s">
        <v>460</v>
      </c>
      <c r="F19" s="41" t="s">
        <v>466</v>
      </c>
      <c r="G19" s="45" t="str">
        <f t="shared" si="1"/>
        <v>User Prompted (Entry Method)</v>
      </c>
    </row>
    <row r="20" ht="26.25" customHeight="1">
      <c r="A20" s="51" t="s">
        <v>20</v>
      </c>
      <c r="B20" s="51" t="s">
        <v>27</v>
      </c>
      <c r="C20" s="51" t="s">
        <v>73</v>
      </c>
      <c r="D20" s="52">
        <f>COUNTIF('Error Code Log'!$B:$B, C20)</f>
        <v>0</v>
      </c>
      <c r="E20" s="51" t="s">
        <v>458</v>
      </c>
      <c r="F20" s="51" t="s">
        <v>463</v>
      </c>
      <c r="G20" s="53" t="str">
        <f t="shared" si="1"/>
        <v/>
      </c>
    </row>
    <row r="21" ht="26.25" customHeight="1">
      <c r="A21" s="41" t="s">
        <v>20</v>
      </c>
      <c r="B21" s="41" t="s">
        <v>27</v>
      </c>
      <c r="C21" s="41" t="s">
        <v>75</v>
      </c>
      <c r="D21" s="44">
        <f>COUNTIF('Error Code Log'!$B:$B, C21)</f>
        <v>0</v>
      </c>
      <c r="E21" s="41" t="s">
        <v>458</v>
      </c>
      <c r="F21" s="41" t="s">
        <v>459</v>
      </c>
      <c r="G21" s="45" t="str">
        <f t="shared" si="1"/>
        <v/>
      </c>
    </row>
    <row r="22" ht="26.25" customHeight="1">
      <c r="A22" s="39" t="s">
        <v>20</v>
      </c>
      <c r="B22" s="39" t="s">
        <v>78</v>
      </c>
      <c r="C22" s="39" t="s">
        <v>77</v>
      </c>
      <c r="D22" s="43">
        <f>COUNTIF('Error Code Log'!$B:$B, C22)</f>
        <v>0</v>
      </c>
      <c r="E22" s="39" t="s">
        <v>458</v>
      </c>
      <c r="F22" s="39" t="s">
        <v>459</v>
      </c>
      <c r="G22" s="46" t="str">
        <f t="shared" si="1"/>
        <v/>
      </c>
    </row>
    <row r="23" ht="26.25" customHeight="1">
      <c r="A23" s="41" t="s">
        <v>20</v>
      </c>
      <c r="B23" s="41" t="s">
        <v>81</v>
      </c>
      <c r="C23" s="41" t="s">
        <v>80</v>
      </c>
      <c r="D23" s="44">
        <f>COUNTIF('Error Code Log'!$B:$B, C23)</f>
        <v>0</v>
      </c>
      <c r="E23" s="41" t="s">
        <v>458</v>
      </c>
      <c r="F23" s="41" t="s">
        <v>459</v>
      </c>
      <c r="G23" s="45" t="str">
        <f t="shared" si="1"/>
        <v/>
      </c>
    </row>
    <row r="24" ht="26.25" customHeight="1">
      <c r="A24" s="39" t="s">
        <v>20</v>
      </c>
      <c r="B24" s="39" t="s">
        <v>27</v>
      </c>
      <c r="C24" s="39" t="s">
        <v>83</v>
      </c>
      <c r="D24" s="43">
        <f>COUNTIF('Error Code Log'!$B:$B, C24)</f>
        <v>0</v>
      </c>
      <c r="E24" s="39" t="s">
        <v>458</v>
      </c>
      <c r="F24" s="39" t="s">
        <v>459</v>
      </c>
      <c r="G24" s="46" t="str">
        <f t="shared" si="1"/>
        <v/>
      </c>
    </row>
    <row r="25" ht="26.25" customHeight="1">
      <c r="A25" s="41" t="s">
        <v>20</v>
      </c>
      <c r="B25" s="41" t="s">
        <v>86</v>
      </c>
      <c r="C25" s="41" t="s">
        <v>85</v>
      </c>
      <c r="D25" s="41">
        <v>20.0</v>
      </c>
      <c r="E25" s="41" t="s">
        <v>460</v>
      </c>
      <c r="F25" s="41" t="s">
        <v>461</v>
      </c>
      <c r="G25" s="45" t="str">
        <f t="shared" si="1"/>
        <v>Tablet/Remote Display: Timer Display</v>
      </c>
    </row>
    <row r="26" ht="26.25" customHeight="1">
      <c r="A26" s="39" t="s">
        <v>20</v>
      </c>
      <c r="B26" s="39" t="s">
        <v>89</v>
      </c>
      <c r="C26" s="39" t="s">
        <v>88</v>
      </c>
      <c r="D26" s="43">
        <f>COUNTIFS('Error Code Log'!B:B, C26)</f>
        <v>22</v>
      </c>
      <c r="E26" s="39" t="s">
        <v>457</v>
      </c>
      <c r="F26" s="39"/>
      <c r="G26" s="46" t="str">
        <f t="shared" si="1"/>
        <v>Tablet/Remote Display: Numeric Code</v>
      </c>
    </row>
    <row r="27" ht="26.25" customHeight="1">
      <c r="A27" s="58" t="s">
        <v>20</v>
      </c>
      <c r="B27" s="58" t="s">
        <v>92</v>
      </c>
      <c r="C27" s="58" t="s">
        <v>91</v>
      </c>
      <c r="D27" s="58">
        <v>0.0</v>
      </c>
      <c r="E27" s="59" t="s">
        <v>458</v>
      </c>
      <c r="F27" s="59" t="s">
        <v>463</v>
      </c>
      <c r="G27" s="60" t="str">
        <f t="shared" si="1"/>
        <v/>
      </c>
    </row>
    <row r="28" ht="26.25" customHeight="1">
      <c r="A28" s="39" t="s">
        <v>20</v>
      </c>
      <c r="B28" s="39" t="s">
        <v>94</v>
      </c>
      <c r="C28" s="39" t="s">
        <v>93</v>
      </c>
      <c r="D28" s="43">
        <f>COUNTIFS('Error Code Log'!B:B, C28)</f>
        <v>30</v>
      </c>
      <c r="E28" s="39" t="s">
        <v>457</v>
      </c>
      <c r="F28" s="43"/>
      <c r="G28" s="61" t="str">
        <f t="shared" si="1"/>
        <v>Tablet/Remote Display: Numeric Code</v>
      </c>
    </row>
    <row r="29" ht="26.25" customHeight="1">
      <c r="A29" s="41" t="s">
        <v>20</v>
      </c>
      <c r="B29" s="41" t="s">
        <v>97</v>
      </c>
      <c r="C29" s="41" t="s">
        <v>96</v>
      </c>
      <c r="D29" s="44">
        <f>COUNTIFS('Error Code Log'!B:B, C29)</f>
        <v>45</v>
      </c>
      <c r="E29" s="41" t="s">
        <v>460</v>
      </c>
      <c r="F29" s="41" t="s">
        <v>467</v>
      </c>
      <c r="G29" s="45" t="str">
        <f t="shared" si="1"/>
        <v>User Prompted (Entry Method)</v>
      </c>
    </row>
    <row r="30" ht="26.25" customHeight="1">
      <c r="A30" s="39" t="s">
        <v>20</v>
      </c>
      <c r="B30" s="39" t="s">
        <v>89</v>
      </c>
      <c r="C30" s="39" t="s">
        <v>99</v>
      </c>
      <c r="D30" s="43">
        <f>COUNTIFS('Error Code Log'!B:B, C30)</f>
        <v>22</v>
      </c>
      <c r="E30" s="39" t="s">
        <v>457</v>
      </c>
      <c r="F30" s="43"/>
      <c r="G30" s="40" t="str">
        <f t="shared" si="1"/>
        <v>Tablet/Remote Display: Numeric Code</v>
      </c>
    </row>
    <row r="31" ht="26.25" customHeight="1">
      <c r="A31" s="41" t="s">
        <v>20</v>
      </c>
      <c r="B31" s="41" t="s">
        <v>102</v>
      </c>
      <c r="C31" s="41" t="s">
        <v>101</v>
      </c>
      <c r="D31" s="44">
        <f>COUNTIFS('Error Code Log'!B:B, C31)</f>
        <v>13</v>
      </c>
      <c r="E31" s="41" t="s">
        <v>457</v>
      </c>
      <c r="F31" s="44"/>
      <c r="G31" s="62" t="str">
        <f t="shared" si="1"/>
        <v>Tablet/Remote Display: Numeric Code</v>
      </c>
    </row>
    <row r="32" ht="26.25" customHeight="1">
      <c r="A32" s="39" t="s">
        <v>20</v>
      </c>
      <c r="B32" s="39" t="s">
        <v>27</v>
      </c>
      <c r="C32" s="39" t="s">
        <v>104</v>
      </c>
      <c r="D32" s="43">
        <f>COUNTIFS('Error Code Log'!B:B, C32)</f>
        <v>12</v>
      </c>
      <c r="E32" s="39" t="s">
        <v>457</v>
      </c>
      <c r="F32" s="43"/>
      <c r="G32" s="40" t="str">
        <f t="shared" si="1"/>
        <v>Tablet/Remote Display: Numeric Code</v>
      </c>
    </row>
    <row r="33" ht="26.25" customHeight="1">
      <c r="A33" s="47" t="s">
        <v>20</v>
      </c>
      <c r="B33" s="47" t="s">
        <v>107</v>
      </c>
      <c r="C33" s="47" t="s">
        <v>106</v>
      </c>
      <c r="D33" s="47">
        <v>22.0</v>
      </c>
      <c r="E33" s="48" t="s">
        <v>457</v>
      </c>
      <c r="F33" s="63"/>
      <c r="G33" s="64" t="str">
        <f t="shared" si="1"/>
        <v>Tablet/Remote Display: Numeric Code</v>
      </c>
    </row>
    <row r="34" ht="26.25" customHeight="1">
      <c r="A34" s="39" t="s">
        <v>20</v>
      </c>
      <c r="B34" s="39" t="s">
        <v>109</v>
      </c>
      <c r="C34" s="39" t="s">
        <v>108</v>
      </c>
      <c r="D34" s="43">
        <f>COUNTIFS('Error Code Log'!B:B, C34)</f>
        <v>17</v>
      </c>
      <c r="E34" s="39" t="s">
        <v>457</v>
      </c>
      <c r="F34" s="39" t="s">
        <v>468</v>
      </c>
      <c r="G34" s="46" t="str">
        <f t="shared" si="1"/>
        <v>Tablet/Remote Display: Timer Display</v>
      </c>
    </row>
    <row r="35" ht="26.25" customHeight="1">
      <c r="A35" s="41" t="s">
        <v>20</v>
      </c>
      <c r="B35" s="41" t="s">
        <v>102</v>
      </c>
      <c r="C35" s="41" t="s">
        <v>111</v>
      </c>
      <c r="D35" s="44">
        <f>COUNTIF('Error Code Log'!$B:$B, C35)</f>
        <v>0</v>
      </c>
      <c r="E35" s="41" t="s">
        <v>458</v>
      </c>
      <c r="F35" s="41" t="s">
        <v>459</v>
      </c>
      <c r="G35" s="45" t="str">
        <f t="shared" si="1"/>
        <v/>
      </c>
    </row>
    <row r="36" ht="26.25" customHeight="1">
      <c r="A36" s="39" t="s">
        <v>20</v>
      </c>
      <c r="B36" s="39" t="s">
        <v>114</v>
      </c>
      <c r="C36" s="39" t="s">
        <v>113</v>
      </c>
      <c r="D36" s="43">
        <f>COUNTIF('Error Code Log'!B:B, "Maestro")</f>
        <v>22</v>
      </c>
      <c r="E36" s="39" t="s">
        <v>457</v>
      </c>
      <c r="F36" s="43"/>
      <c r="G36" s="40" t="str">
        <f t="shared" si="1"/>
        <v>Tablet/Remote Display: Numeric Code</v>
      </c>
    </row>
    <row r="37" ht="26.25" customHeight="1">
      <c r="A37" s="41" t="s">
        <v>20</v>
      </c>
      <c r="B37" s="41" t="s">
        <v>117</v>
      </c>
      <c r="C37" s="41" t="s">
        <v>116</v>
      </c>
      <c r="D37" s="44">
        <f>COUNTIF('Error Code Log'!B:B, "Maestro LE")</f>
        <v>22</v>
      </c>
      <c r="E37" s="41" t="s">
        <v>457</v>
      </c>
      <c r="F37" s="44"/>
      <c r="G37" s="62" t="str">
        <f t="shared" si="1"/>
        <v>Tablet/Remote Display: Numeric Code</v>
      </c>
    </row>
    <row r="38" ht="26.25" customHeight="1">
      <c r="A38" s="39" t="s">
        <v>20</v>
      </c>
      <c r="B38" s="39" t="s">
        <v>120</v>
      </c>
      <c r="C38" s="39" t="s">
        <v>119</v>
      </c>
      <c r="D38" s="43">
        <f>COUNTIF('Error Code Log'!B:B, "Maestro LE 2.0")</f>
        <v>22</v>
      </c>
      <c r="E38" s="39" t="s">
        <v>457</v>
      </c>
      <c r="F38" s="43"/>
      <c r="G38" s="40" t="str">
        <f t="shared" si="1"/>
        <v>Tablet/Remote Display: Numeric Code</v>
      </c>
    </row>
    <row r="39" ht="26.25" customHeight="1">
      <c r="A39" s="41" t="s">
        <v>20</v>
      </c>
      <c r="B39" s="41" t="s">
        <v>123</v>
      </c>
      <c r="C39" s="41" t="s">
        <v>122</v>
      </c>
      <c r="D39" s="44">
        <f>COUNTIF('Error Code Log'!B:B, "Manhattan Duo")</f>
        <v>43</v>
      </c>
      <c r="E39" s="41" t="s">
        <v>457</v>
      </c>
      <c r="F39" s="44"/>
      <c r="G39" s="62" t="str">
        <f t="shared" si="1"/>
        <v>Tablet/Remote Display: Numeric Code</v>
      </c>
    </row>
    <row r="40" ht="26.25" customHeight="1">
      <c r="A40" s="39" t="s">
        <v>20</v>
      </c>
      <c r="B40" s="39" t="s">
        <v>126</v>
      </c>
      <c r="C40" s="39" t="s">
        <v>125</v>
      </c>
      <c r="D40" s="43">
        <f>COUNTIF('Error Code Log'!B:B, "Master")</f>
        <v>29</v>
      </c>
      <c r="E40" s="39" t="s">
        <v>457</v>
      </c>
      <c r="F40" s="43"/>
      <c r="G40" s="40" t="str">
        <f t="shared" si="1"/>
        <v>Tablet/Remote Display: Numeric Code</v>
      </c>
    </row>
    <row r="41" ht="26.25" customHeight="1">
      <c r="A41" s="41" t="s">
        <v>20</v>
      </c>
      <c r="B41" s="41" t="s">
        <v>129</v>
      </c>
      <c r="C41" s="41" t="s">
        <v>128</v>
      </c>
      <c r="D41" s="44">
        <f>COUNTIF('Error Code Log'!$B:$B, C41)</f>
        <v>17</v>
      </c>
      <c r="E41" s="41" t="s">
        <v>460</v>
      </c>
      <c r="F41" s="41" t="s">
        <v>469</v>
      </c>
      <c r="G41" s="45" t="str">
        <f t="shared" si="1"/>
        <v>User Prompted (Entry Method)</v>
      </c>
    </row>
    <row r="42" ht="26.25" customHeight="1">
      <c r="A42" s="39" t="s">
        <v>20</v>
      </c>
      <c r="B42" s="39" t="s">
        <v>132</v>
      </c>
      <c r="C42" s="39" t="s">
        <v>131</v>
      </c>
      <c r="D42" s="65">
        <v>12.0</v>
      </c>
      <c r="E42" s="39" t="s">
        <v>460</v>
      </c>
      <c r="F42" s="39" t="s">
        <v>470</v>
      </c>
      <c r="G42" s="46" t="str">
        <f t="shared" si="1"/>
        <v>User Prompted (Entry Method)</v>
      </c>
    </row>
    <row r="43" ht="26.25" customHeight="1">
      <c r="A43" s="51" t="s">
        <v>20</v>
      </c>
      <c r="B43" s="51" t="s">
        <v>135</v>
      </c>
      <c r="C43" s="51" t="s">
        <v>134</v>
      </c>
      <c r="D43" s="52">
        <f>COUNTIF('Error Code Log'!$B:$B, C43)</f>
        <v>0</v>
      </c>
      <c r="E43" s="51" t="s">
        <v>458</v>
      </c>
      <c r="F43" s="51" t="s">
        <v>463</v>
      </c>
      <c r="G43" s="53" t="str">
        <f t="shared" si="1"/>
        <v/>
      </c>
    </row>
    <row r="44" ht="26.25" customHeight="1">
      <c r="A44" s="39" t="s">
        <v>20</v>
      </c>
      <c r="B44" s="39" t="s">
        <v>138</v>
      </c>
      <c r="C44" s="39" t="s">
        <v>137</v>
      </c>
      <c r="D44" s="39">
        <v>23.0</v>
      </c>
      <c r="E44" s="39" t="s">
        <v>457</v>
      </c>
      <c r="F44" s="39"/>
      <c r="G44" s="46" t="str">
        <f t="shared" si="1"/>
        <v>Tablet/Remote Display: Numeric Code</v>
      </c>
    </row>
    <row r="45" ht="26.25" customHeight="1">
      <c r="A45" s="41" t="s">
        <v>20</v>
      </c>
      <c r="B45" s="41" t="s">
        <v>141</v>
      </c>
      <c r="C45" s="41" t="s">
        <v>140</v>
      </c>
      <c r="D45" s="41">
        <v>0.0</v>
      </c>
      <c r="E45" s="41" t="s">
        <v>458</v>
      </c>
      <c r="F45" s="41" t="s">
        <v>459</v>
      </c>
      <c r="G45" s="45" t="str">
        <f t="shared" si="1"/>
        <v/>
      </c>
    </row>
    <row r="46" ht="26.25" customHeight="1">
      <c r="A46" s="54" t="s">
        <v>20</v>
      </c>
      <c r="B46" s="54" t="s">
        <v>144</v>
      </c>
      <c r="C46" s="54" t="s">
        <v>143</v>
      </c>
      <c r="D46" s="54">
        <f>IF(C46&lt;&gt;"", COUNTIF('Error Code Log'!B:B, C46), IF(A46&lt;&gt;"", COUNTIF('Error Code Log'!A:A, A46), ""))</f>
        <v>9</v>
      </c>
      <c r="E46" s="55" t="s">
        <v>457</v>
      </c>
      <c r="F46" s="56"/>
      <c r="G46" s="57" t="str">
        <f t="shared" si="1"/>
        <v>Tablet/Remote Display: Numeric Code</v>
      </c>
    </row>
    <row r="47" ht="26.25" customHeight="1">
      <c r="A47" s="41" t="s">
        <v>20</v>
      </c>
      <c r="B47" s="41" t="s">
        <v>146</v>
      </c>
      <c r="C47" s="41" t="s">
        <v>145</v>
      </c>
      <c r="D47" s="41">
        <v>31.0</v>
      </c>
      <c r="E47" s="41" t="s">
        <v>457</v>
      </c>
      <c r="F47" s="41"/>
      <c r="G47" s="45" t="str">
        <f t="shared" si="1"/>
        <v>Tablet/Remote Display: Numeric Code</v>
      </c>
    </row>
    <row r="48" ht="26.25" customHeight="1">
      <c r="A48" s="39" t="s">
        <v>20</v>
      </c>
      <c r="B48" s="39" t="s">
        <v>149</v>
      </c>
      <c r="C48" s="39" t="s">
        <v>148</v>
      </c>
      <c r="D48" s="39">
        <v>32.0</v>
      </c>
      <c r="E48" s="39" t="s">
        <v>460</v>
      </c>
      <c r="F48" s="39" t="s">
        <v>471</v>
      </c>
      <c r="G48" s="46" t="str">
        <f t="shared" si="1"/>
        <v>User Prompted (Entry Method)</v>
      </c>
    </row>
    <row r="49" ht="26.25" customHeight="1">
      <c r="A49" s="41" t="s">
        <v>20</v>
      </c>
      <c r="B49" s="41" t="s">
        <v>152</v>
      </c>
      <c r="C49" s="41" t="s">
        <v>151</v>
      </c>
      <c r="D49" s="41">
        <v>22.0</v>
      </c>
      <c r="E49" s="41" t="s">
        <v>457</v>
      </c>
      <c r="F49" s="41"/>
      <c r="G49" s="45" t="str">
        <f t="shared" si="1"/>
        <v>Tablet/Remote Display: Numeric Code</v>
      </c>
    </row>
    <row r="50" ht="26.25" customHeight="1">
      <c r="A50" s="39" t="s">
        <v>20</v>
      </c>
      <c r="B50" s="39" t="s">
        <v>109</v>
      </c>
      <c r="C50" s="39" t="s">
        <v>154</v>
      </c>
      <c r="D50" s="43">
        <f>COUNTIF('Error Code Log'!$B:$B, C50)</f>
        <v>17</v>
      </c>
      <c r="E50" s="39" t="s">
        <v>457</v>
      </c>
      <c r="F50" s="39" t="s">
        <v>468</v>
      </c>
      <c r="G50" s="46" t="str">
        <f t="shared" si="1"/>
        <v>Tablet/Remote Display: Timer Display</v>
      </c>
    </row>
    <row r="51" ht="26.25" customHeight="1">
      <c r="A51" s="41" t="s">
        <v>20</v>
      </c>
      <c r="B51" s="41" t="s">
        <v>157</v>
      </c>
      <c r="C51" s="41" t="s">
        <v>156</v>
      </c>
      <c r="D51" s="41">
        <v>9.0</v>
      </c>
      <c r="E51" s="41" t="s">
        <v>460</v>
      </c>
      <c r="F51" s="41" t="s">
        <v>472</v>
      </c>
      <c r="G51" s="45" t="str">
        <f t="shared" si="1"/>
        <v>User Prompted (Entry Method)</v>
      </c>
    </row>
    <row r="52" ht="26.25" customHeight="1">
      <c r="A52" s="39" t="s">
        <v>20</v>
      </c>
      <c r="B52" s="39" t="s">
        <v>157</v>
      </c>
      <c r="C52" s="39" t="s">
        <v>159</v>
      </c>
      <c r="D52" s="39">
        <v>9.0</v>
      </c>
      <c r="E52" s="39" t="s">
        <v>460</v>
      </c>
      <c r="F52" s="39" t="s">
        <v>472</v>
      </c>
      <c r="G52" s="46" t="str">
        <f t="shared" si="1"/>
        <v>User Prompted (Entry Method)</v>
      </c>
    </row>
    <row r="53" ht="26.25" customHeight="1">
      <c r="A53" s="47" t="s">
        <v>20</v>
      </c>
      <c r="B53" s="47" t="s">
        <v>162</v>
      </c>
      <c r="C53" s="47" t="s">
        <v>161</v>
      </c>
      <c r="D53" s="47">
        <v>9.0</v>
      </c>
      <c r="E53" s="48" t="s">
        <v>460</v>
      </c>
      <c r="F53" s="48" t="s">
        <v>472</v>
      </c>
      <c r="G53" s="64" t="str">
        <f t="shared" si="1"/>
        <v>User Prompted (Entry Method)</v>
      </c>
    </row>
    <row r="54" ht="26.25" customHeight="1">
      <c r="A54" s="39" t="s">
        <v>20</v>
      </c>
      <c r="B54" s="39" t="s">
        <v>164</v>
      </c>
      <c r="C54" s="39" t="s">
        <v>163</v>
      </c>
      <c r="D54" s="39">
        <v>17.0</v>
      </c>
      <c r="E54" s="39" t="s">
        <v>460</v>
      </c>
      <c r="F54" s="39" t="s">
        <v>473</v>
      </c>
      <c r="G54" s="46" t="str">
        <f t="shared" si="1"/>
        <v>User Prompted (Entry Method)</v>
      </c>
    </row>
    <row r="55" ht="26.25" customHeight="1">
      <c r="A55" s="41" t="s">
        <v>20</v>
      </c>
      <c r="B55" s="41" t="s">
        <v>167</v>
      </c>
      <c r="C55" s="41" t="s">
        <v>166</v>
      </c>
      <c r="D55" s="44">
        <f>COUNTIF('Error Code Log'!$B:$B, C55)</f>
        <v>0</v>
      </c>
      <c r="E55" s="41" t="s">
        <v>458</v>
      </c>
      <c r="F55" s="41" t="s">
        <v>459</v>
      </c>
      <c r="G55" s="45" t="str">
        <f t="shared" si="1"/>
        <v/>
      </c>
    </row>
    <row r="56" ht="26.25" customHeight="1">
      <c r="A56" s="39" t="s">
        <v>20</v>
      </c>
      <c r="B56" s="39" t="s">
        <v>170</v>
      </c>
      <c r="C56" s="39" t="s">
        <v>169</v>
      </c>
      <c r="D56" s="39">
        <v>31.0</v>
      </c>
      <c r="E56" s="39" t="s">
        <v>457</v>
      </c>
      <c r="F56" s="39"/>
      <c r="G56" s="46" t="str">
        <f t="shared" si="1"/>
        <v>Tablet/Remote Display: Numeric Code</v>
      </c>
    </row>
    <row r="57" ht="26.25" customHeight="1">
      <c r="A57" s="41" t="s">
        <v>20</v>
      </c>
      <c r="B57" s="41" t="s">
        <v>173</v>
      </c>
      <c r="C57" s="41" t="s">
        <v>172</v>
      </c>
      <c r="D57" s="41">
        <v>0.0</v>
      </c>
      <c r="E57" s="41" t="s">
        <v>458</v>
      </c>
      <c r="F57" s="41" t="s">
        <v>459</v>
      </c>
      <c r="G57" s="45" t="str">
        <f t="shared" si="1"/>
        <v/>
      </c>
    </row>
    <row r="58" ht="26.25" customHeight="1">
      <c r="A58" s="39" t="s">
        <v>20</v>
      </c>
      <c r="B58" s="39" t="s">
        <v>176</v>
      </c>
      <c r="C58" s="39" t="s">
        <v>175</v>
      </c>
      <c r="D58" s="39">
        <v>13.0</v>
      </c>
      <c r="E58" s="39" t="s">
        <v>457</v>
      </c>
      <c r="F58" s="39"/>
      <c r="G58" s="46" t="str">
        <f t="shared" si="1"/>
        <v>Tablet/Remote Display: Numeric Code</v>
      </c>
    </row>
    <row r="59" ht="26.25" customHeight="1">
      <c r="A59" s="41" t="s">
        <v>20</v>
      </c>
      <c r="B59" s="41" t="s">
        <v>179</v>
      </c>
      <c r="C59" s="41" t="s">
        <v>178</v>
      </c>
      <c r="D59" s="41">
        <v>36.0</v>
      </c>
      <c r="E59" s="41" t="s">
        <v>457</v>
      </c>
      <c r="F59" s="44"/>
      <c r="G59" s="62" t="str">
        <f t="shared" si="1"/>
        <v>Tablet/Remote Display: Numeric Code</v>
      </c>
    </row>
    <row r="60" ht="26.25" customHeight="1">
      <c r="A60" s="39" t="s">
        <v>20</v>
      </c>
      <c r="B60" s="39" t="s">
        <v>182</v>
      </c>
      <c r="C60" s="39" t="s">
        <v>181</v>
      </c>
      <c r="D60" s="43">
        <f>COUNTIF('Error Code Log'!$B:$B, C60)</f>
        <v>0</v>
      </c>
      <c r="E60" s="39" t="s">
        <v>458</v>
      </c>
      <c r="F60" s="39" t="s">
        <v>459</v>
      </c>
      <c r="G60" s="46" t="str">
        <f t="shared" si="1"/>
        <v/>
      </c>
    </row>
    <row r="61" ht="26.25" customHeight="1">
      <c r="A61" s="41" t="s">
        <v>20</v>
      </c>
      <c r="B61" s="41" t="s">
        <v>182</v>
      </c>
      <c r="C61" s="41" t="s">
        <v>184</v>
      </c>
      <c r="D61" s="44">
        <f>COUNTIF('Error Code Log'!$B:$B, C61)</f>
        <v>0</v>
      </c>
      <c r="E61" s="41" t="s">
        <v>458</v>
      </c>
      <c r="F61" s="41" t="s">
        <v>459</v>
      </c>
      <c r="G61" s="45" t="str">
        <f t="shared" si="1"/>
        <v/>
      </c>
    </row>
    <row r="62" ht="26.25" customHeight="1">
      <c r="A62" s="39" t="s">
        <v>20</v>
      </c>
      <c r="B62" s="39" t="s">
        <v>152</v>
      </c>
      <c r="C62" s="39" t="s">
        <v>186</v>
      </c>
      <c r="D62" s="65">
        <v>22.0</v>
      </c>
      <c r="E62" s="39" t="s">
        <v>457</v>
      </c>
      <c r="F62" s="39"/>
      <c r="G62" s="46" t="str">
        <f t="shared" si="1"/>
        <v>Tablet/Remote Display: Numeric Code</v>
      </c>
    </row>
    <row r="63" ht="26.25" customHeight="1">
      <c r="A63" s="41" t="s">
        <v>20</v>
      </c>
      <c r="B63" s="41" t="s">
        <v>189</v>
      </c>
      <c r="C63" s="41" t="s">
        <v>188</v>
      </c>
      <c r="D63" s="50">
        <v>17.0</v>
      </c>
      <c r="E63" s="41" t="s">
        <v>460</v>
      </c>
      <c r="F63" s="41" t="s">
        <v>474</v>
      </c>
      <c r="G63" s="45" t="str">
        <f t="shared" si="1"/>
        <v>User Prompted (Entry Method)</v>
      </c>
    </row>
    <row r="64" ht="26.25" customHeight="1">
      <c r="A64" s="39" t="s">
        <v>20</v>
      </c>
      <c r="B64" s="39" t="s">
        <v>53</v>
      </c>
      <c r="C64" s="39" t="s">
        <v>191</v>
      </c>
      <c r="D64" s="39">
        <v>24.0</v>
      </c>
      <c r="E64" s="39" t="s">
        <v>460</v>
      </c>
      <c r="F64" s="39" t="s">
        <v>464</v>
      </c>
      <c r="G64" s="46" t="str">
        <f t="shared" si="1"/>
        <v>User Prompted (Entry Method)</v>
      </c>
    </row>
    <row r="65" ht="26.25" customHeight="1">
      <c r="A65" s="41" t="s">
        <v>20</v>
      </c>
      <c r="B65" s="41" t="s">
        <v>194</v>
      </c>
      <c r="C65" s="41" t="s">
        <v>193</v>
      </c>
      <c r="D65" s="41">
        <v>27.0</v>
      </c>
      <c r="E65" s="41" t="s">
        <v>460</v>
      </c>
      <c r="F65" s="41" t="s">
        <v>475</v>
      </c>
      <c r="G65" s="45" t="str">
        <f t="shared" si="1"/>
        <v>User Prompted (Entry Method)</v>
      </c>
    </row>
    <row r="66" ht="26.25" customHeight="1">
      <c r="A66" s="39" t="s">
        <v>20</v>
      </c>
      <c r="B66" s="39" t="s">
        <v>197</v>
      </c>
      <c r="C66" s="39" t="s">
        <v>196</v>
      </c>
      <c r="D66" s="43">
        <f>COUNTIF('Error Code Log'!$B:$B, C66)</f>
        <v>13</v>
      </c>
      <c r="E66" s="39" t="s">
        <v>460</v>
      </c>
      <c r="F66" s="39" t="s">
        <v>476</v>
      </c>
      <c r="G66" s="46" t="str">
        <f t="shared" si="1"/>
        <v>User Prompted (Entry Method)</v>
      </c>
    </row>
    <row r="67" ht="26.25" customHeight="1">
      <c r="A67" s="41" t="s">
        <v>20</v>
      </c>
      <c r="B67" s="41" t="s">
        <v>200</v>
      </c>
      <c r="C67" s="41" t="s">
        <v>199</v>
      </c>
      <c r="D67" s="41">
        <v>15.0</v>
      </c>
      <c r="E67" s="41" t="s">
        <v>457</v>
      </c>
      <c r="F67" s="44"/>
      <c r="G67" s="62" t="str">
        <f t="shared" si="1"/>
        <v>Tablet/Remote Display: Numeric Code</v>
      </c>
    </row>
    <row r="68" ht="26.25" customHeight="1">
      <c r="A68" s="54" t="s">
        <v>20</v>
      </c>
      <c r="B68" s="54" t="s">
        <v>203</v>
      </c>
      <c r="C68" s="54" t="s">
        <v>202</v>
      </c>
      <c r="D68" s="54">
        <v>25.0</v>
      </c>
      <c r="E68" s="55" t="s">
        <v>460</v>
      </c>
      <c r="F68" s="55" t="s">
        <v>477</v>
      </c>
      <c r="G68" s="57" t="str">
        <f t="shared" si="1"/>
        <v>User Prompted (Entry Method)</v>
      </c>
    </row>
    <row r="69" ht="26.25" customHeight="1">
      <c r="A69" s="41" t="s">
        <v>20</v>
      </c>
      <c r="B69" s="41" t="s">
        <v>126</v>
      </c>
      <c r="C69" s="41" t="s">
        <v>204</v>
      </c>
      <c r="D69" s="41">
        <v>29.0</v>
      </c>
      <c r="E69" s="41" t="s">
        <v>457</v>
      </c>
      <c r="F69" s="44"/>
      <c r="G69" s="62" t="str">
        <f t="shared" si="1"/>
        <v>Tablet/Remote Display: Numeric Code</v>
      </c>
    </row>
    <row r="70" ht="26.25" customHeight="1">
      <c r="A70" s="39" t="s">
        <v>20</v>
      </c>
      <c r="B70" s="39" t="s">
        <v>207</v>
      </c>
      <c r="C70" s="39" t="s">
        <v>206</v>
      </c>
      <c r="D70" s="43">
        <f>COUNTIF('Error Code Log'!$B:$B, C70)</f>
        <v>0</v>
      </c>
      <c r="E70" s="39" t="s">
        <v>458</v>
      </c>
      <c r="F70" s="39" t="s">
        <v>459</v>
      </c>
      <c r="G70" s="46" t="str">
        <f t="shared" si="1"/>
        <v/>
      </c>
    </row>
    <row r="71" ht="26.25" customHeight="1">
      <c r="A71" s="41" t="s">
        <v>20</v>
      </c>
      <c r="B71" s="41" t="s">
        <v>210</v>
      </c>
      <c r="C71" s="41" t="s">
        <v>209</v>
      </c>
      <c r="D71" s="41">
        <v>18.0</v>
      </c>
      <c r="E71" s="41" t="s">
        <v>460</v>
      </c>
      <c r="F71" s="41" t="s">
        <v>478</v>
      </c>
      <c r="G71" s="45" t="str">
        <f t="shared" si="1"/>
        <v>User Prompted (Entry Method)</v>
      </c>
    </row>
    <row r="72" ht="26.25" customHeight="1">
      <c r="A72" s="58" t="s">
        <v>20</v>
      </c>
      <c r="B72" s="58" t="s">
        <v>213</v>
      </c>
      <c r="C72" s="58" t="s">
        <v>212</v>
      </c>
      <c r="D72" s="58">
        <f>COUNTIF('Error Code Log'!$B:$B, C72)</f>
        <v>0</v>
      </c>
      <c r="E72" s="59" t="s">
        <v>458</v>
      </c>
      <c r="F72" s="59" t="s">
        <v>463</v>
      </c>
      <c r="G72" s="60" t="str">
        <f t="shared" si="1"/>
        <v/>
      </c>
    </row>
    <row r="73" ht="26.25" customHeight="1">
      <c r="A73" s="41" t="s">
        <v>26</v>
      </c>
      <c r="B73" s="41" t="s">
        <v>27</v>
      </c>
      <c r="C73" s="41" t="s">
        <v>214</v>
      </c>
      <c r="D73" s="41">
        <v>0.0</v>
      </c>
      <c r="E73" s="41" t="s">
        <v>458</v>
      </c>
      <c r="F73" s="41" t="s">
        <v>459</v>
      </c>
      <c r="G73" s="42" t="str">
        <f t="shared" si="1"/>
        <v/>
      </c>
    </row>
    <row r="74" ht="26.25" customHeight="1">
      <c r="A74" s="54" t="s">
        <v>26</v>
      </c>
      <c r="B74" s="54" t="s">
        <v>27</v>
      </c>
      <c r="C74" s="54" t="s">
        <v>216</v>
      </c>
      <c r="D74" s="54">
        <f>COUNTIF('Error Code Log'!$B:$B, C74)</f>
        <v>0</v>
      </c>
      <c r="E74" s="55" t="s">
        <v>458</v>
      </c>
      <c r="F74" s="55" t="s">
        <v>459</v>
      </c>
      <c r="G74" s="57" t="str">
        <f t="shared" si="1"/>
        <v/>
      </c>
    </row>
    <row r="75" ht="26.25" customHeight="1">
      <c r="A75" s="47" t="s">
        <v>30</v>
      </c>
      <c r="B75" s="47" t="s">
        <v>27</v>
      </c>
      <c r="C75" s="47" t="s">
        <v>217</v>
      </c>
      <c r="D75" s="47">
        <v>0.0</v>
      </c>
      <c r="E75" s="48" t="s">
        <v>458</v>
      </c>
      <c r="F75" s="48" t="s">
        <v>459</v>
      </c>
      <c r="G75" s="49" t="str">
        <f t="shared" si="1"/>
        <v/>
      </c>
    </row>
    <row r="76" ht="26.25" customHeight="1">
      <c r="A76" s="54" t="s">
        <v>30</v>
      </c>
      <c r="B76" s="54" t="s">
        <v>27</v>
      </c>
      <c r="C76" s="54" t="s">
        <v>218</v>
      </c>
      <c r="D76" s="54">
        <v>0.0</v>
      </c>
      <c r="E76" s="55" t="s">
        <v>458</v>
      </c>
      <c r="F76" s="55" t="s">
        <v>459</v>
      </c>
      <c r="G76" s="57" t="str">
        <f t="shared" si="1"/>
        <v/>
      </c>
    </row>
    <row r="77" ht="26.25" customHeight="1">
      <c r="A77" s="58" t="s">
        <v>30</v>
      </c>
      <c r="B77" s="58" t="s">
        <v>220</v>
      </c>
      <c r="C77" s="58" t="s">
        <v>219</v>
      </c>
      <c r="D77" s="58">
        <f>COUNTIF('Error Code Log'!$B:$B, C77)</f>
        <v>0</v>
      </c>
      <c r="E77" s="59" t="s">
        <v>458</v>
      </c>
      <c r="F77" s="59" t="s">
        <v>463</v>
      </c>
      <c r="G77" s="60" t="str">
        <f t="shared" si="1"/>
        <v/>
      </c>
    </row>
    <row r="78" ht="26.25" customHeight="1">
      <c r="A78" s="54" t="s">
        <v>34</v>
      </c>
      <c r="B78" s="54" t="s">
        <v>222</v>
      </c>
      <c r="C78" s="54" t="s">
        <v>221</v>
      </c>
      <c r="D78" s="54">
        <v>37.0</v>
      </c>
      <c r="E78" s="55" t="s">
        <v>457</v>
      </c>
      <c r="F78" s="55"/>
      <c r="G78" s="57" t="str">
        <f t="shared" si="1"/>
        <v>Tablet/Remote Display: Numeric Code</v>
      </c>
    </row>
    <row r="79" ht="26.25" customHeight="1">
      <c r="A79" s="47" t="s">
        <v>37</v>
      </c>
      <c r="B79" s="47" t="s">
        <v>223</v>
      </c>
      <c r="C79" s="47">
        <v>8400.0</v>
      </c>
      <c r="D79" s="47">
        <f>COUNTIF('Error Code Log'!B:B, C79)</f>
        <v>3</v>
      </c>
      <c r="E79" s="48" t="s">
        <v>457</v>
      </c>
      <c r="F79" s="63"/>
      <c r="G79" s="49" t="str">
        <f t="shared" si="1"/>
        <v>Tablet/Remote Display: Numeric Code</v>
      </c>
    </row>
    <row r="80" ht="26.25" customHeight="1">
      <c r="A80" s="39" t="s">
        <v>37</v>
      </c>
      <c r="B80" s="39" t="s">
        <v>225</v>
      </c>
      <c r="C80" s="39" t="s">
        <v>224</v>
      </c>
      <c r="D80" s="43">
        <f>IF(C80&lt;&gt;"", COUNTIF('Error Code Log'!B:B, C80), IF(A80&lt;&gt;"", COUNTIF('Error Code Log'!A:A, A80), ""))</f>
        <v>15</v>
      </c>
      <c r="E80" s="39" t="s">
        <v>460</v>
      </c>
      <c r="F80" s="39" t="s">
        <v>479</v>
      </c>
      <c r="G80" s="46" t="str">
        <f t="shared" si="1"/>
        <v>User Prompted (Entry Method)</v>
      </c>
    </row>
    <row r="81" ht="26.25" customHeight="1">
      <c r="A81" s="47" t="s">
        <v>37</v>
      </c>
      <c r="B81" s="66" t="s">
        <v>223</v>
      </c>
      <c r="C81" s="67" t="s">
        <v>227</v>
      </c>
      <c r="D81" s="47">
        <f>IF(C81&lt;&gt;"", COUNTIF('Error Code Log'!B:B, C81), IF(A81&lt;&gt;"", COUNTIF('Error Code Log'!A:A, A81), ""))</f>
        <v>3</v>
      </c>
      <c r="E81" s="48" t="s">
        <v>457</v>
      </c>
      <c r="F81" s="63"/>
      <c r="G81" s="49" t="str">
        <f t="shared" si="1"/>
        <v>Tablet/Remote Display: Numeric Code</v>
      </c>
    </row>
    <row r="82" ht="26.25" customHeight="1">
      <c r="A82" s="39" t="s">
        <v>37</v>
      </c>
      <c r="B82" s="39" t="s">
        <v>229</v>
      </c>
      <c r="C82" s="39" t="s">
        <v>228</v>
      </c>
      <c r="D82" s="43">
        <f>IF(C82&lt;&gt;"", COUNTIF('Error Code Log'!B:B, C82), IF(A82&lt;&gt;"", COUNTIF('Error Code Log'!A:A, A82), ""))</f>
        <v>15</v>
      </c>
      <c r="E82" s="39" t="s">
        <v>460</v>
      </c>
      <c r="F82" s="39" t="s">
        <v>480</v>
      </c>
      <c r="G82" s="46" t="str">
        <f t="shared" si="1"/>
        <v>User Prompted (Entry Method)</v>
      </c>
    </row>
    <row r="83" ht="26.25" customHeight="1">
      <c r="A83" s="41" t="s">
        <v>37</v>
      </c>
      <c r="B83" s="41" t="s">
        <v>232</v>
      </c>
      <c r="C83" s="41" t="s">
        <v>231</v>
      </c>
      <c r="D83" s="41">
        <v>33.0</v>
      </c>
      <c r="E83" s="41" t="s">
        <v>460</v>
      </c>
      <c r="F83" s="41" t="s">
        <v>481</v>
      </c>
      <c r="G83" s="45" t="str">
        <f t="shared" si="1"/>
        <v>User Prompted (Entry Method)</v>
      </c>
    </row>
    <row r="84" ht="26.25" customHeight="1">
      <c r="A84" s="39" t="s">
        <v>37</v>
      </c>
      <c r="B84" s="39" t="s">
        <v>223</v>
      </c>
      <c r="C84" s="39" t="s">
        <v>234</v>
      </c>
      <c r="D84" s="43">
        <f>IF(C84&lt;&gt;"", COUNTIF('Error Code Log'!B:B, C84), IF(A84&lt;&gt;"", COUNTIF('Error Code Log'!A:A, A84), ""))</f>
        <v>3</v>
      </c>
      <c r="E84" s="39" t="s">
        <v>457</v>
      </c>
      <c r="F84" s="39"/>
      <c r="G84" s="46" t="str">
        <f t="shared" si="1"/>
        <v>Tablet/Remote Display: Numeric Code</v>
      </c>
    </row>
    <row r="85" ht="26.25" customHeight="1">
      <c r="A85" s="41" t="s">
        <v>37</v>
      </c>
      <c r="B85" s="41" t="s">
        <v>27</v>
      </c>
      <c r="C85" s="41" t="s">
        <v>236</v>
      </c>
      <c r="D85" s="44">
        <f>IF(C85&lt;&gt;"", COUNTIF('Error Code Log'!B:B, C85), IF(A85&lt;&gt;"", COUNTIF('Error Code Log'!A:A, A85), ""))</f>
        <v>12</v>
      </c>
      <c r="E85" s="41" t="s">
        <v>457</v>
      </c>
      <c r="F85" s="41"/>
      <c r="G85" s="45" t="str">
        <f t="shared" si="1"/>
        <v>Tablet/Remote Display: Numeric Code</v>
      </c>
    </row>
    <row r="86" ht="26.25" customHeight="1">
      <c r="A86" s="58" t="s">
        <v>37</v>
      </c>
      <c r="B86" s="58" t="s">
        <v>239</v>
      </c>
      <c r="C86" s="58" t="s">
        <v>238</v>
      </c>
      <c r="D86" s="58">
        <f>COUNTIF('Error Code Log'!$B:$B, C86)</f>
        <v>0</v>
      </c>
      <c r="E86" s="59" t="s">
        <v>458</v>
      </c>
      <c r="F86" s="59" t="s">
        <v>463</v>
      </c>
      <c r="G86" s="60" t="str">
        <f t="shared" si="1"/>
        <v/>
      </c>
    </row>
    <row r="87" ht="26.25" customHeight="1">
      <c r="A87" s="41" t="s">
        <v>37</v>
      </c>
      <c r="B87" s="41" t="s">
        <v>241</v>
      </c>
      <c r="C87" s="41" t="s">
        <v>240</v>
      </c>
      <c r="D87" s="41">
        <v>13.0</v>
      </c>
      <c r="E87" s="41" t="s">
        <v>457</v>
      </c>
      <c r="F87" s="41"/>
      <c r="G87" s="45" t="str">
        <f t="shared" si="1"/>
        <v>Tablet/Remote Display: Numeric Code</v>
      </c>
    </row>
    <row r="88" ht="26.25" customHeight="1">
      <c r="A88" s="39" t="s">
        <v>37</v>
      </c>
      <c r="B88" s="39" t="s">
        <v>244</v>
      </c>
      <c r="C88" s="39" t="s">
        <v>243</v>
      </c>
      <c r="D88" s="43">
        <f>IF(C88&lt;&gt;"", COUNTIF('Error Code Log'!B:B, C88), IF(A88&lt;&gt;"", COUNTIF('Error Code Log'!A:A, A88), ""))</f>
        <v>0</v>
      </c>
      <c r="E88" s="39" t="s">
        <v>458</v>
      </c>
      <c r="F88" s="39" t="s">
        <v>459</v>
      </c>
      <c r="G88" s="46" t="str">
        <f t="shared" si="1"/>
        <v/>
      </c>
    </row>
    <row r="89" ht="26.25" customHeight="1">
      <c r="A89" s="41" t="s">
        <v>37</v>
      </c>
      <c r="B89" s="41" t="s">
        <v>247</v>
      </c>
      <c r="C89" s="41" t="s">
        <v>246</v>
      </c>
      <c r="D89" s="44">
        <f>IF(C89&lt;&gt;"", COUNTIF('Error Code Log'!B:B, C89), IF(A89&lt;&gt;"", COUNTIF('Error Code Log'!A:A, A89), ""))</f>
        <v>0</v>
      </c>
      <c r="E89" s="41" t="s">
        <v>458</v>
      </c>
      <c r="F89" s="41" t="s">
        <v>459</v>
      </c>
      <c r="G89" s="45" t="str">
        <f t="shared" si="1"/>
        <v/>
      </c>
    </row>
    <row r="90" ht="26.25" customHeight="1">
      <c r="A90" s="39" t="s">
        <v>37</v>
      </c>
      <c r="B90" s="39" t="s">
        <v>482</v>
      </c>
      <c r="C90" s="39" t="s">
        <v>249</v>
      </c>
      <c r="D90" s="39">
        <v>15.0</v>
      </c>
      <c r="E90" s="39" t="s">
        <v>460</v>
      </c>
      <c r="F90" s="39" t="s">
        <v>480</v>
      </c>
      <c r="G90" s="46" t="str">
        <f t="shared" si="1"/>
        <v>User Prompted (Entry Method)</v>
      </c>
    </row>
    <row r="91" ht="26.25" customHeight="1">
      <c r="A91" s="41" t="s">
        <v>37</v>
      </c>
      <c r="B91" s="41" t="s">
        <v>483</v>
      </c>
      <c r="C91" s="41" t="s">
        <v>251</v>
      </c>
      <c r="D91" s="41">
        <v>33.0</v>
      </c>
      <c r="E91" s="41" t="s">
        <v>460</v>
      </c>
      <c r="F91" s="41" t="s">
        <v>484</v>
      </c>
      <c r="G91" s="45" t="str">
        <f t="shared" si="1"/>
        <v>User Prompted (Entry Method)</v>
      </c>
    </row>
    <row r="92" ht="26.25" customHeight="1">
      <c r="A92" s="39" t="s">
        <v>37</v>
      </c>
      <c r="B92" s="39" t="s">
        <v>485</v>
      </c>
      <c r="C92" s="39" t="s">
        <v>254</v>
      </c>
      <c r="D92" s="39">
        <v>33.0</v>
      </c>
      <c r="E92" s="39" t="s">
        <v>460</v>
      </c>
      <c r="F92" s="39" t="s">
        <v>484</v>
      </c>
      <c r="G92" s="46" t="str">
        <f t="shared" si="1"/>
        <v>User Prompted (Entry Method)</v>
      </c>
    </row>
    <row r="93" ht="26.25" customHeight="1">
      <c r="A93" s="58" t="s">
        <v>37</v>
      </c>
      <c r="B93" s="58" t="s">
        <v>257</v>
      </c>
      <c r="C93" s="58" t="s">
        <v>256</v>
      </c>
      <c r="D93" s="58">
        <f>COUNTIF('Error Code Log'!$B:$B, C93)</f>
        <v>0</v>
      </c>
      <c r="E93" s="59" t="s">
        <v>458</v>
      </c>
      <c r="F93" s="59" t="s">
        <v>463</v>
      </c>
      <c r="G93" s="60" t="str">
        <f t="shared" si="1"/>
        <v/>
      </c>
    </row>
    <row r="94" ht="26.25" customHeight="1">
      <c r="A94" s="39" t="s">
        <v>37</v>
      </c>
      <c r="B94" s="39" t="s">
        <v>27</v>
      </c>
      <c r="C94" s="39" t="s">
        <v>258</v>
      </c>
      <c r="D94" s="39">
        <v>33.0</v>
      </c>
      <c r="E94" s="39" t="s">
        <v>460</v>
      </c>
      <c r="F94" s="39" t="s">
        <v>486</v>
      </c>
      <c r="G94" s="46" t="str">
        <f t="shared" si="1"/>
        <v>User Prompted (Entry Method)</v>
      </c>
    </row>
    <row r="95" ht="26.25" customHeight="1">
      <c r="A95" s="41" t="s">
        <v>37</v>
      </c>
      <c r="B95" s="41" t="s">
        <v>261</v>
      </c>
      <c r="C95" s="41" t="s">
        <v>260</v>
      </c>
      <c r="D95" s="41">
        <v>19.0</v>
      </c>
      <c r="E95" s="41" t="s">
        <v>460</v>
      </c>
      <c r="F95" s="41" t="s">
        <v>487</v>
      </c>
      <c r="G95" s="45" t="str">
        <f t="shared" si="1"/>
        <v>User Prompted (Entry Method)</v>
      </c>
    </row>
    <row r="96" ht="26.25" customHeight="1">
      <c r="A96" s="39" t="s">
        <v>37</v>
      </c>
      <c r="B96" s="39" t="s">
        <v>264</v>
      </c>
      <c r="C96" s="39" t="s">
        <v>263</v>
      </c>
      <c r="D96" s="43">
        <f>IF(C96&lt;&gt;"", COUNTIF('Error Code Log'!B:B, C96), IF(A96&lt;&gt;"", COUNTIF('Error Code Log'!A:A, A96), ""))</f>
        <v>34</v>
      </c>
      <c r="E96" s="39" t="s">
        <v>457</v>
      </c>
      <c r="F96" s="43"/>
      <c r="G96" s="40" t="str">
        <f t="shared" si="1"/>
        <v>Tablet/Remote Display: Numeric Code</v>
      </c>
    </row>
    <row r="97" ht="26.25" customHeight="1">
      <c r="A97" s="58" t="s">
        <v>37</v>
      </c>
      <c r="B97" s="58" t="s">
        <v>267</v>
      </c>
      <c r="C97" s="58" t="s">
        <v>266</v>
      </c>
      <c r="D97" s="58">
        <f>COUNTIF('Error Code Log'!$B:$B, C97)</f>
        <v>0</v>
      </c>
      <c r="E97" s="59" t="s">
        <v>458</v>
      </c>
      <c r="F97" s="59" t="s">
        <v>463</v>
      </c>
      <c r="G97" s="60" t="str">
        <f t="shared" si="1"/>
        <v/>
      </c>
    </row>
    <row r="98" ht="26.25" customHeight="1">
      <c r="A98" s="39" t="s">
        <v>37</v>
      </c>
      <c r="B98" s="39" t="s">
        <v>269</v>
      </c>
      <c r="C98" s="39" t="s">
        <v>268</v>
      </c>
      <c r="D98" s="43">
        <f>IF(C98&lt;&gt;"", COUNTIF('Error Code Log'!B:B, C98), IF(A98&lt;&gt;"", COUNTIF('Error Code Log'!A:A, A98), ""))</f>
        <v>0</v>
      </c>
      <c r="E98" s="39" t="s">
        <v>458</v>
      </c>
      <c r="F98" s="39" t="s">
        <v>459</v>
      </c>
      <c r="G98" s="46" t="str">
        <f t="shared" si="1"/>
        <v/>
      </c>
    </row>
    <row r="99" ht="26.25" customHeight="1">
      <c r="A99" s="41" t="s">
        <v>37</v>
      </c>
      <c r="B99" s="41" t="s">
        <v>232</v>
      </c>
      <c r="C99" s="41" t="s">
        <v>271</v>
      </c>
      <c r="D99" s="41">
        <v>33.0</v>
      </c>
      <c r="E99" s="41" t="s">
        <v>460</v>
      </c>
      <c r="F99" s="41" t="s">
        <v>481</v>
      </c>
      <c r="G99" s="45" t="str">
        <f t="shared" si="1"/>
        <v>User Prompted (Entry Method)</v>
      </c>
    </row>
    <row r="100" ht="26.25" customHeight="1">
      <c r="A100" s="39" t="s">
        <v>37</v>
      </c>
      <c r="B100" s="39" t="s">
        <v>488</v>
      </c>
      <c r="C100" s="39" t="s">
        <v>273</v>
      </c>
      <c r="D100" s="39">
        <v>23.0</v>
      </c>
      <c r="E100" s="39" t="s">
        <v>460</v>
      </c>
      <c r="F100" s="39" t="s">
        <v>489</v>
      </c>
      <c r="G100" s="46" t="str">
        <f t="shared" si="1"/>
        <v>User Prompted (Entry Method)</v>
      </c>
    </row>
    <row r="101" ht="26.25" customHeight="1">
      <c r="A101" s="41" t="s">
        <v>37</v>
      </c>
      <c r="B101" s="41" t="s">
        <v>490</v>
      </c>
      <c r="C101" s="41" t="s">
        <v>276</v>
      </c>
      <c r="D101" s="41">
        <v>15.0</v>
      </c>
      <c r="E101" s="41" t="s">
        <v>460</v>
      </c>
      <c r="F101" s="41" t="s">
        <v>480</v>
      </c>
      <c r="G101" s="45" t="str">
        <f t="shared" si="1"/>
        <v>User Prompted (Entry Method)</v>
      </c>
    </row>
    <row r="102" ht="26.25" customHeight="1">
      <c r="A102" s="39" t="s">
        <v>37</v>
      </c>
      <c r="B102" s="39" t="s">
        <v>279</v>
      </c>
      <c r="C102" s="39" t="s">
        <v>278</v>
      </c>
      <c r="D102" s="43">
        <f>COUNTIF('Error Code Log'!B:B, C102)</f>
        <v>15</v>
      </c>
      <c r="E102" s="39" t="s">
        <v>460</v>
      </c>
      <c r="F102" s="39" t="s">
        <v>491</v>
      </c>
      <c r="G102" s="46" t="str">
        <f t="shared" si="1"/>
        <v>User Prompted (Entry Method)</v>
      </c>
    </row>
    <row r="103" ht="26.25" customHeight="1">
      <c r="A103" s="41" t="s">
        <v>37</v>
      </c>
      <c r="B103" s="41" t="s">
        <v>282</v>
      </c>
      <c r="C103" s="41" t="s">
        <v>281</v>
      </c>
      <c r="D103" s="41">
        <v>15.0</v>
      </c>
      <c r="E103" s="41" t="s">
        <v>460</v>
      </c>
      <c r="F103" s="41" t="s">
        <v>492</v>
      </c>
      <c r="G103" s="45" t="str">
        <f t="shared" si="1"/>
        <v>User Prompted (Entry Method)</v>
      </c>
    </row>
    <row r="104" ht="26.25" customHeight="1">
      <c r="A104" s="58" t="s">
        <v>37</v>
      </c>
      <c r="B104" s="58" t="s">
        <v>285</v>
      </c>
      <c r="C104" s="58" t="s">
        <v>284</v>
      </c>
      <c r="D104" s="58">
        <v>0.0</v>
      </c>
      <c r="E104" s="59" t="s">
        <v>458</v>
      </c>
      <c r="F104" s="59" t="s">
        <v>463</v>
      </c>
      <c r="G104" s="60" t="str">
        <f t="shared" si="1"/>
        <v/>
      </c>
    </row>
    <row r="105" ht="26.25" customHeight="1">
      <c r="A105" s="41" t="s">
        <v>37</v>
      </c>
      <c r="B105" s="41" t="s">
        <v>379</v>
      </c>
      <c r="C105" s="41" t="s">
        <v>286</v>
      </c>
      <c r="D105" s="41">
        <v>15.0</v>
      </c>
      <c r="E105" s="41" t="s">
        <v>460</v>
      </c>
      <c r="F105" s="41" t="s">
        <v>493</v>
      </c>
      <c r="G105" s="45" t="str">
        <f t="shared" si="1"/>
        <v>User Prompted (Entry Method)</v>
      </c>
    </row>
    <row r="106" ht="26.25" customHeight="1">
      <c r="A106" s="39" t="s">
        <v>37</v>
      </c>
      <c r="B106" s="39" t="s">
        <v>225</v>
      </c>
      <c r="C106" s="39" t="s">
        <v>289</v>
      </c>
      <c r="D106" s="43">
        <v>15.0</v>
      </c>
      <c r="E106" s="43" t="s">
        <v>460</v>
      </c>
      <c r="F106" s="43" t="s">
        <v>494</v>
      </c>
      <c r="G106" s="46" t="str">
        <f t="shared" si="1"/>
        <v>User Prompted (Entry Method)</v>
      </c>
    </row>
    <row r="107" ht="26.25" customHeight="1">
      <c r="A107" s="41" t="s">
        <v>37</v>
      </c>
      <c r="B107" s="41" t="s">
        <v>292</v>
      </c>
      <c r="C107" s="41" t="s">
        <v>291</v>
      </c>
      <c r="D107" s="41">
        <v>13.0</v>
      </c>
      <c r="E107" s="41" t="s">
        <v>460</v>
      </c>
      <c r="F107" s="41" t="s">
        <v>495</v>
      </c>
      <c r="G107" s="45" t="str">
        <f t="shared" si="1"/>
        <v>User Prompted (Entry Method)</v>
      </c>
    </row>
    <row r="108" ht="26.25" customHeight="1">
      <c r="A108" s="39" t="s">
        <v>37</v>
      </c>
      <c r="B108" s="39" t="s">
        <v>488</v>
      </c>
      <c r="C108" s="39" t="s">
        <v>294</v>
      </c>
      <c r="D108" s="39">
        <v>23.0</v>
      </c>
      <c r="E108" s="39" t="s">
        <v>460</v>
      </c>
      <c r="F108" s="39" t="s">
        <v>489</v>
      </c>
      <c r="G108" s="46" t="str">
        <f t="shared" si="1"/>
        <v>User Prompted (Entry Method)</v>
      </c>
    </row>
    <row r="109" ht="26.25" customHeight="1">
      <c r="A109" s="41" t="s">
        <v>37</v>
      </c>
      <c r="B109" s="41" t="s">
        <v>241</v>
      </c>
      <c r="C109" s="41" t="s">
        <v>296</v>
      </c>
      <c r="D109" s="41">
        <v>13.0</v>
      </c>
      <c r="E109" s="41" t="s">
        <v>457</v>
      </c>
      <c r="F109" s="41"/>
      <c r="G109" s="45" t="str">
        <f t="shared" si="1"/>
        <v>Tablet/Remote Display: Numeric Code</v>
      </c>
    </row>
    <row r="110" ht="26.25" customHeight="1">
      <c r="A110" s="58" t="s">
        <v>37</v>
      </c>
      <c r="B110" s="58" t="s">
        <v>27</v>
      </c>
      <c r="C110" s="58" t="s">
        <v>298</v>
      </c>
      <c r="D110" s="58">
        <v>0.0</v>
      </c>
      <c r="E110" s="59" t="s">
        <v>458</v>
      </c>
      <c r="F110" s="59" t="s">
        <v>463</v>
      </c>
      <c r="G110" s="60" t="str">
        <f t="shared" si="1"/>
        <v/>
      </c>
    </row>
    <row r="111" ht="26.25" customHeight="1">
      <c r="A111" s="41" t="s">
        <v>37</v>
      </c>
      <c r="B111" s="41" t="s">
        <v>232</v>
      </c>
      <c r="C111" s="41" t="s">
        <v>299</v>
      </c>
      <c r="D111" s="41">
        <v>33.0</v>
      </c>
      <c r="E111" s="41" t="s">
        <v>460</v>
      </c>
      <c r="F111" s="41" t="s">
        <v>481</v>
      </c>
      <c r="G111" s="45" t="str">
        <f t="shared" si="1"/>
        <v>User Prompted (Entry Method)</v>
      </c>
    </row>
    <row r="112" ht="26.25" customHeight="1">
      <c r="A112" s="51" t="s">
        <v>37</v>
      </c>
      <c r="B112" s="51" t="s">
        <v>302</v>
      </c>
      <c r="C112" s="51" t="s">
        <v>301</v>
      </c>
      <c r="D112" s="52">
        <f>IF(C112&lt;&gt;"", COUNTIF('Error Code Log'!B:B, C112), IF(A112&lt;&gt;"", COUNTIF('Error Code Log'!A:A, A112), ""))</f>
        <v>0</v>
      </c>
      <c r="E112" s="51" t="s">
        <v>458</v>
      </c>
      <c r="F112" s="51" t="s">
        <v>463</v>
      </c>
      <c r="G112" s="53" t="str">
        <f t="shared" si="1"/>
        <v/>
      </c>
    </row>
    <row r="113" ht="26.25" customHeight="1">
      <c r="A113" s="41" t="s">
        <v>37</v>
      </c>
      <c r="B113" s="41" t="s">
        <v>282</v>
      </c>
      <c r="C113" s="41" t="s">
        <v>304</v>
      </c>
      <c r="D113" s="41">
        <v>15.0</v>
      </c>
      <c r="E113" s="41" t="s">
        <v>460</v>
      </c>
      <c r="F113" s="41" t="s">
        <v>492</v>
      </c>
      <c r="G113" s="45" t="str">
        <f t="shared" si="1"/>
        <v>User Prompted (Entry Method)</v>
      </c>
    </row>
    <row r="114" ht="26.25" customHeight="1">
      <c r="A114" s="58" t="s">
        <v>37</v>
      </c>
      <c r="B114" s="58" t="s">
        <v>307</v>
      </c>
      <c r="C114" s="58" t="s">
        <v>306</v>
      </c>
      <c r="D114" s="58">
        <v>0.0</v>
      </c>
      <c r="E114" s="59" t="s">
        <v>458</v>
      </c>
      <c r="F114" s="59" t="s">
        <v>463</v>
      </c>
      <c r="G114" s="60" t="str">
        <f t="shared" si="1"/>
        <v/>
      </c>
    </row>
    <row r="115" ht="26.25" customHeight="1">
      <c r="A115" s="58" t="s">
        <v>37</v>
      </c>
      <c r="B115" s="58" t="s">
        <v>309</v>
      </c>
      <c r="C115" s="58" t="s">
        <v>308</v>
      </c>
      <c r="D115" s="58">
        <v>0.0</v>
      </c>
      <c r="E115" s="59" t="s">
        <v>458</v>
      </c>
      <c r="F115" s="59" t="s">
        <v>463</v>
      </c>
      <c r="G115" s="68" t="str">
        <f t="shared" si="1"/>
        <v/>
      </c>
    </row>
    <row r="116" ht="26.25" customHeight="1">
      <c r="A116" s="54" t="s">
        <v>41</v>
      </c>
      <c r="B116" s="54" t="s">
        <v>311</v>
      </c>
      <c r="C116" s="54" t="s">
        <v>310</v>
      </c>
      <c r="D116" s="54">
        <v>0.0</v>
      </c>
      <c r="E116" s="55" t="s">
        <v>458</v>
      </c>
      <c r="F116" s="55" t="s">
        <v>459</v>
      </c>
      <c r="G116" s="57" t="str">
        <f t="shared" si="1"/>
        <v/>
      </c>
    </row>
    <row r="117" ht="26.25" customHeight="1">
      <c r="A117" s="58" t="s">
        <v>41</v>
      </c>
      <c r="B117" s="58" t="s">
        <v>313</v>
      </c>
      <c r="C117" s="58" t="s">
        <v>312</v>
      </c>
      <c r="D117" s="58">
        <f>COUNTIF('Error Code Log'!$B:$B, C117)</f>
        <v>0</v>
      </c>
      <c r="E117" s="59" t="s">
        <v>458</v>
      </c>
      <c r="F117" s="59" t="s">
        <v>463</v>
      </c>
      <c r="G117" s="60" t="str">
        <f t="shared" si="1"/>
        <v/>
      </c>
    </row>
    <row r="118" ht="26.25" customHeight="1">
      <c r="A118" s="39" t="s">
        <v>41</v>
      </c>
      <c r="B118" s="39" t="s">
        <v>315</v>
      </c>
      <c r="C118" s="65" t="s">
        <v>314</v>
      </c>
      <c r="D118" s="43">
        <f>COUNTIF('Error Code Log'!B:B, C118)</f>
        <v>0</v>
      </c>
      <c r="E118" s="39" t="s">
        <v>458</v>
      </c>
      <c r="F118" s="39" t="s">
        <v>459</v>
      </c>
      <c r="G118" s="46" t="str">
        <f t="shared" si="1"/>
        <v/>
      </c>
    </row>
    <row r="119" ht="26.25" customHeight="1">
      <c r="A119" s="41" t="s">
        <v>41</v>
      </c>
      <c r="B119" s="41" t="s">
        <v>318</v>
      </c>
      <c r="C119" s="50" t="s">
        <v>317</v>
      </c>
      <c r="D119" s="41">
        <v>0.0</v>
      </c>
      <c r="E119" s="41" t="s">
        <v>458</v>
      </c>
      <c r="F119" s="41" t="s">
        <v>459</v>
      </c>
      <c r="G119" s="45" t="str">
        <f t="shared" si="1"/>
        <v/>
      </c>
    </row>
    <row r="120" ht="26.25" customHeight="1">
      <c r="A120" s="54" t="s">
        <v>41</v>
      </c>
      <c r="B120" s="54" t="s">
        <v>321</v>
      </c>
      <c r="C120" s="54" t="s">
        <v>320</v>
      </c>
      <c r="D120" s="54">
        <f>COUNTIF('Error Code Log'!$B:$B, C120)</f>
        <v>0</v>
      </c>
      <c r="E120" s="55" t="s">
        <v>458</v>
      </c>
      <c r="F120" s="55" t="s">
        <v>459</v>
      </c>
      <c r="G120" s="57" t="str">
        <f t="shared" si="1"/>
        <v/>
      </c>
    </row>
    <row r="121" ht="26.25" customHeight="1">
      <c r="A121" s="41" t="s">
        <v>41</v>
      </c>
      <c r="B121" s="41" t="s">
        <v>323</v>
      </c>
      <c r="C121" s="50" t="s">
        <v>322</v>
      </c>
      <c r="D121" s="44">
        <f>COUNTIF('Error Code Log'!B:B, C121)</f>
        <v>0</v>
      </c>
      <c r="E121" s="41" t="s">
        <v>458</v>
      </c>
      <c r="F121" s="41" t="s">
        <v>459</v>
      </c>
      <c r="G121" s="45" t="str">
        <f t="shared" si="1"/>
        <v/>
      </c>
    </row>
    <row r="122" ht="26.25" customHeight="1">
      <c r="A122" s="39" t="s">
        <v>41</v>
      </c>
      <c r="B122" s="39" t="s">
        <v>326</v>
      </c>
      <c r="C122" s="39" t="s">
        <v>325</v>
      </c>
      <c r="D122" s="39">
        <v>0.0</v>
      </c>
      <c r="E122" s="39" t="s">
        <v>458</v>
      </c>
      <c r="F122" s="39" t="s">
        <v>459</v>
      </c>
      <c r="G122" s="46" t="str">
        <f t="shared" si="1"/>
        <v/>
      </c>
    </row>
    <row r="123" ht="26.25" customHeight="1">
      <c r="A123" s="41" t="s">
        <v>41</v>
      </c>
      <c r="B123" s="41" t="s">
        <v>329</v>
      </c>
      <c r="C123" s="50" t="s">
        <v>328</v>
      </c>
      <c r="D123" s="44">
        <f>COUNTIF('Error Code Log'!B:B, C123)</f>
        <v>0</v>
      </c>
      <c r="E123" s="41" t="s">
        <v>458</v>
      </c>
      <c r="F123" s="41" t="s">
        <v>459</v>
      </c>
      <c r="G123" s="45" t="str">
        <f t="shared" si="1"/>
        <v/>
      </c>
    </row>
    <row r="124" ht="26.25" customHeight="1">
      <c r="A124" s="58" t="s">
        <v>41</v>
      </c>
      <c r="B124" s="58" t="s">
        <v>332</v>
      </c>
      <c r="C124" s="58" t="s">
        <v>331</v>
      </c>
      <c r="D124" s="58">
        <f>COUNTIF('Error Code Log'!$B:$B, C124)</f>
        <v>0</v>
      </c>
      <c r="E124" s="59" t="s">
        <v>458</v>
      </c>
      <c r="F124" s="59" t="s">
        <v>463</v>
      </c>
      <c r="G124" s="60" t="str">
        <f t="shared" si="1"/>
        <v/>
      </c>
    </row>
    <row r="125" ht="26.25" customHeight="1">
      <c r="A125" s="41" t="s">
        <v>41</v>
      </c>
      <c r="B125" s="41" t="s">
        <v>326</v>
      </c>
      <c r="C125" s="41" t="s">
        <v>333</v>
      </c>
      <c r="D125" s="41">
        <v>0.0</v>
      </c>
      <c r="E125" s="41" t="s">
        <v>458</v>
      </c>
      <c r="F125" s="41" t="s">
        <v>459</v>
      </c>
      <c r="G125" s="45" t="str">
        <f t="shared" si="1"/>
        <v/>
      </c>
    </row>
    <row r="126" ht="26.25" customHeight="1">
      <c r="A126" s="58" t="s">
        <v>41</v>
      </c>
      <c r="B126" s="58" t="s">
        <v>335</v>
      </c>
      <c r="C126" s="58" t="s">
        <v>334</v>
      </c>
      <c r="D126" s="58">
        <f>COUNTIF('Error Code Log'!$B:$B, C126)</f>
        <v>0</v>
      </c>
      <c r="E126" s="59" t="s">
        <v>458</v>
      </c>
      <c r="F126" s="59" t="s">
        <v>463</v>
      </c>
      <c r="G126" s="60" t="str">
        <f t="shared" si="1"/>
        <v/>
      </c>
    </row>
    <row r="127" ht="26.25" customHeight="1">
      <c r="A127" s="58" t="s">
        <v>41</v>
      </c>
      <c r="B127" s="58" t="s">
        <v>27</v>
      </c>
      <c r="C127" s="58" t="s">
        <v>336</v>
      </c>
      <c r="D127" s="58">
        <f>COUNTIF('Error Code Log'!$B:$B, C127)</f>
        <v>0</v>
      </c>
      <c r="E127" s="59" t="s">
        <v>458</v>
      </c>
      <c r="F127" s="59" t="s">
        <v>463</v>
      </c>
      <c r="G127" s="60" t="str">
        <f t="shared" si="1"/>
        <v/>
      </c>
    </row>
    <row r="128" ht="26.25" customHeight="1">
      <c r="A128" s="39" t="s">
        <v>41</v>
      </c>
      <c r="B128" s="39" t="s">
        <v>338</v>
      </c>
      <c r="C128" s="65" t="s">
        <v>337</v>
      </c>
      <c r="D128" s="43">
        <f>COUNTIF('Error Code Log'!B:B, C128)</f>
        <v>0</v>
      </c>
      <c r="E128" s="39" t="s">
        <v>458</v>
      </c>
      <c r="F128" s="39" t="s">
        <v>459</v>
      </c>
      <c r="G128" s="46" t="str">
        <f t="shared" si="1"/>
        <v/>
      </c>
    </row>
    <row r="129" ht="26.25" customHeight="1">
      <c r="A129" s="47" t="s">
        <v>41</v>
      </c>
      <c r="B129" s="47" t="s">
        <v>341</v>
      </c>
      <c r="C129" s="47" t="s">
        <v>340</v>
      </c>
      <c r="D129" s="47">
        <f>COUNTIF('Error Code Log'!$B:$B, C129)</f>
        <v>0</v>
      </c>
      <c r="E129" s="48" t="s">
        <v>458</v>
      </c>
      <c r="F129" s="48" t="s">
        <v>459</v>
      </c>
      <c r="G129" s="49" t="str">
        <f t="shared" si="1"/>
        <v/>
      </c>
    </row>
    <row r="130" ht="26.25" customHeight="1">
      <c r="A130" s="39" t="s">
        <v>41</v>
      </c>
      <c r="B130" s="39" t="s">
        <v>326</v>
      </c>
      <c r="C130" s="39" t="s">
        <v>342</v>
      </c>
      <c r="D130" s="39">
        <v>0.0</v>
      </c>
      <c r="E130" s="39" t="s">
        <v>458</v>
      </c>
      <c r="F130" s="39" t="s">
        <v>459</v>
      </c>
      <c r="G130" s="46" t="str">
        <f t="shared" si="1"/>
        <v/>
      </c>
    </row>
    <row r="131" ht="26.25" customHeight="1">
      <c r="A131" s="47" t="s">
        <v>41</v>
      </c>
      <c r="B131" s="47" t="s">
        <v>345</v>
      </c>
      <c r="C131" s="47" t="s">
        <v>344</v>
      </c>
      <c r="D131" s="47">
        <v>0.0</v>
      </c>
      <c r="E131" s="48" t="s">
        <v>458</v>
      </c>
      <c r="F131" s="48" t="s">
        <v>459</v>
      </c>
      <c r="G131" s="49" t="str">
        <f t="shared" si="1"/>
        <v/>
      </c>
    </row>
    <row r="132" ht="26.25" customHeight="1">
      <c r="A132" s="58" t="s">
        <v>41</v>
      </c>
      <c r="B132" s="58" t="s">
        <v>335</v>
      </c>
      <c r="C132" s="58" t="s">
        <v>346</v>
      </c>
      <c r="D132" s="58">
        <f>COUNTIF('Error Code Log'!$B:$B, C132)</f>
        <v>0</v>
      </c>
      <c r="E132" s="59" t="s">
        <v>458</v>
      </c>
      <c r="F132" s="59" t="s">
        <v>463</v>
      </c>
      <c r="G132" s="60" t="str">
        <f t="shared" si="1"/>
        <v/>
      </c>
    </row>
    <row r="133" ht="26.25" customHeight="1">
      <c r="A133" s="41" t="s">
        <v>41</v>
      </c>
      <c r="B133" s="41" t="s">
        <v>348</v>
      </c>
      <c r="C133" s="50" t="s">
        <v>347</v>
      </c>
      <c r="D133" s="44">
        <f>COUNTIF('Error Code Log'!B:B, C133)</f>
        <v>0</v>
      </c>
      <c r="E133" s="41" t="s">
        <v>458</v>
      </c>
      <c r="F133" s="41" t="s">
        <v>459</v>
      </c>
      <c r="G133" s="45" t="str">
        <f t="shared" si="1"/>
        <v/>
      </c>
    </row>
    <row r="134" ht="26.25" customHeight="1">
      <c r="A134" s="39" t="s">
        <v>41</v>
      </c>
      <c r="B134" s="39" t="s">
        <v>351</v>
      </c>
      <c r="C134" s="65" t="s">
        <v>350</v>
      </c>
      <c r="D134" s="43">
        <f>COUNTIF('Error Code Log'!B:B, C134)</f>
        <v>0</v>
      </c>
      <c r="E134" s="39" t="s">
        <v>458</v>
      </c>
      <c r="F134" s="39" t="s">
        <v>459</v>
      </c>
      <c r="G134" s="46" t="str">
        <f t="shared" si="1"/>
        <v/>
      </c>
    </row>
    <row r="135" ht="26.25" customHeight="1">
      <c r="A135" s="47" t="s">
        <v>41</v>
      </c>
      <c r="B135" s="47" t="s">
        <v>354</v>
      </c>
      <c r="C135" s="47" t="s">
        <v>353</v>
      </c>
      <c r="D135" s="47">
        <f>COUNTIF('Error Code Log'!$B:$B, C135)</f>
        <v>0</v>
      </c>
      <c r="E135" s="48" t="s">
        <v>458</v>
      </c>
      <c r="F135" s="48" t="s">
        <v>459</v>
      </c>
      <c r="G135" s="49" t="str">
        <f t="shared" si="1"/>
        <v/>
      </c>
    </row>
    <row r="136" ht="26.25" customHeight="1">
      <c r="A136" s="54" t="s">
        <v>41</v>
      </c>
      <c r="B136" s="54" t="s">
        <v>356</v>
      </c>
      <c r="C136" s="54" t="s">
        <v>355</v>
      </c>
      <c r="D136" s="54">
        <f>COUNTIF('Error Code Log'!$B:$B, C136)</f>
        <v>0</v>
      </c>
      <c r="E136" s="55" t="s">
        <v>458</v>
      </c>
      <c r="F136" s="55" t="s">
        <v>459</v>
      </c>
      <c r="G136" s="57" t="str">
        <f t="shared" si="1"/>
        <v/>
      </c>
    </row>
    <row r="137" ht="26.25" customHeight="1">
      <c r="A137" s="47" t="s">
        <v>41</v>
      </c>
      <c r="B137" s="47" t="s">
        <v>354</v>
      </c>
      <c r="C137" s="47" t="s">
        <v>357</v>
      </c>
      <c r="D137" s="47">
        <v>0.0</v>
      </c>
      <c r="E137" s="48" t="s">
        <v>458</v>
      </c>
      <c r="F137" s="48" t="s">
        <v>459</v>
      </c>
      <c r="G137" s="49" t="str">
        <f t="shared" si="1"/>
        <v/>
      </c>
    </row>
    <row r="138" ht="26.25" customHeight="1">
      <c r="A138" s="54" t="s">
        <v>45</v>
      </c>
      <c r="B138" s="54" t="s">
        <v>27</v>
      </c>
      <c r="C138" s="54" t="s">
        <v>359</v>
      </c>
      <c r="D138" s="54">
        <v>0.0</v>
      </c>
      <c r="E138" s="55" t="s">
        <v>458</v>
      </c>
      <c r="F138" s="55" t="s">
        <v>459</v>
      </c>
      <c r="G138" s="57" t="str">
        <f t="shared" si="1"/>
        <v/>
      </c>
    </row>
    <row r="139" ht="26.25" customHeight="1">
      <c r="A139" s="41" t="s">
        <v>49</v>
      </c>
      <c r="B139" s="41" t="s">
        <v>496</v>
      </c>
      <c r="C139" s="41" t="s">
        <v>360</v>
      </c>
      <c r="D139" s="41">
        <v>0.0</v>
      </c>
      <c r="E139" s="41" t="s">
        <v>458</v>
      </c>
      <c r="F139" s="41" t="s">
        <v>459</v>
      </c>
      <c r="G139" s="42" t="str">
        <f t="shared" si="1"/>
        <v/>
      </c>
    </row>
    <row r="140" ht="26.25" customHeight="1">
      <c r="A140" s="39" t="s">
        <v>49</v>
      </c>
      <c r="B140" s="39" t="s">
        <v>361</v>
      </c>
      <c r="C140" s="39" t="s">
        <v>363</v>
      </c>
      <c r="D140" s="39">
        <v>0.0</v>
      </c>
      <c r="E140" s="39" t="s">
        <v>458</v>
      </c>
      <c r="F140" s="39" t="s">
        <v>459</v>
      </c>
      <c r="G140" s="61" t="str">
        <f t="shared" si="1"/>
        <v/>
      </c>
    </row>
    <row r="141" ht="26.25" customHeight="1">
      <c r="A141" s="41" t="s">
        <v>49</v>
      </c>
      <c r="B141" s="41" t="s">
        <v>497</v>
      </c>
      <c r="C141" s="41" t="s">
        <v>365</v>
      </c>
      <c r="D141" s="41">
        <v>0.0</v>
      </c>
      <c r="E141" s="41" t="s">
        <v>458</v>
      </c>
      <c r="F141" s="41" t="s">
        <v>459</v>
      </c>
      <c r="G141" s="42" t="str">
        <f t="shared" si="1"/>
        <v/>
      </c>
    </row>
    <row r="142" ht="26.25" customHeight="1">
      <c r="A142" s="58" t="s">
        <v>49</v>
      </c>
      <c r="B142" s="58" t="s">
        <v>369</v>
      </c>
      <c r="C142" s="58" t="s">
        <v>368</v>
      </c>
      <c r="D142" s="58">
        <v>0.0</v>
      </c>
      <c r="E142" s="59" t="s">
        <v>458</v>
      </c>
      <c r="F142" s="59" t="s">
        <v>463</v>
      </c>
      <c r="G142" s="60" t="str">
        <f t="shared" si="1"/>
        <v/>
      </c>
    </row>
    <row r="143" ht="26.25" customHeight="1">
      <c r="A143" s="41" t="s">
        <v>49</v>
      </c>
      <c r="B143" s="41" t="s">
        <v>371</v>
      </c>
      <c r="C143" s="41" t="s">
        <v>370</v>
      </c>
      <c r="D143" s="41">
        <v>0.0</v>
      </c>
      <c r="E143" s="41" t="s">
        <v>458</v>
      </c>
      <c r="F143" s="41" t="s">
        <v>459</v>
      </c>
      <c r="G143" s="42" t="str">
        <f t="shared" si="1"/>
        <v/>
      </c>
    </row>
    <row r="144" ht="26.25" customHeight="1">
      <c r="A144" s="39" t="s">
        <v>49</v>
      </c>
      <c r="B144" s="39" t="s">
        <v>374</v>
      </c>
      <c r="C144" s="39" t="s">
        <v>373</v>
      </c>
      <c r="D144" s="39">
        <v>0.0</v>
      </c>
      <c r="E144" s="39" t="s">
        <v>458</v>
      </c>
      <c r="F144" s="39" t="s">
        <v>459</v>
      </c>
      <c r="G144" s="61" t="str">
        <f t="shared" si="1"/>
        <v/>
      </c>
    </row>
    <row r="145" ht="26.25" customHeight="1">
      <c r="A145" s="58" t="s">
        <v>49</v>
      </c>
      <c r="B145" s="58" t="s">
        <v>377</v>
      </c>
      <c r="C145" s="58" t="s">
        <v>376</v>
      </c>
      <c r="D145" s="58">
        <v>0.0</v>
      </c>
      <c r="E145" s="59" t="s">
        <v>458</v>
      </c>
      <c r="F145" s="59" t="s">
        <v>463</v>
      </c>
      <c r="G145" s="60" t="str">
        <f t="shared" si="1"/>
        <v/>
      </c>
    </row>
    <row r="146" ht="26.25" customHeight="1">
      <c r="A146" s="39" t="s">
        <v>49</v>
      </c>
      <c r="B146" s="39" t="s">
        <v>379</v>
      </c>
      <c r="C146" s="39" t="s">
        <v>378</v>
      </c>
      <c r="D146" s="39">
        <v>15.0</v>
      </c>
      <c r="E146" s="39" t="s">
        <v>460</v>
      </c>
      <c r="F146" s="39" t="s">
        <v>493</v>
      </c>
      <c r="G146" s="61" t="str">
        <f t="shared" si="1"/>
        <v>User Prompted (Entry Method)</v>
      </c>
    </row>
    <row r="147" ht="26.25" customHeight="1">
      <c r="A147" s="51" t="s">
        <v>49</v>
      </c>
      <c r="B147" s="51" t="s">
        <v>173</v>
      </c>
      <c r="C147" s="51" t="s">
        <v>381</v>
      </c>
      <c r="D147" s="51">
        <f>COUNTIF('Error Code Log'!$B:$B, C147)</f>
        <v>0</v>
      </c>
      <c r="E147" s="51" t="s">
        <v>458</v>
      </c>
      <c r="F147" s="51" t="s">
        <v>463</v>
      </c>
      <c r="G147" s="69" t="str">
        <f t="shared" si="1"/>
        <v/>
      </c>
    </row>
    <row r="148" ht="26.25" customHeight="1">
      <c r="A148" s="39" t="s">
        <v>49</v>
      </c>
      <c r="B148" s="39" t="s">
        <v>406</v>
      </c>
      <c r="C148" s="39" t="s">
        <v>498</v>
      </c>
      <c r="D148" s="39">
        <v>0.0</v>
      </c>
      <c r="E148" s="39" t="s">
        <v>458</v>
      </c>
      <c r="F148" s="39" t="s">
        <v>459</v>
      </c>
      <c r="G148" s="61" t="str">
        <f t="shared" si="1"/>
        <v/>
      </c>
    </row>
    <row r="149" ht="26.25" customHeight="1">
      <c r="A149" s="41" t="s">
        <v>49</v>
      </c>
      <c r="B149" s="41" t="s">
        <v>366</v>
      </c>
      <c r="C149" s="41" t="s">
        <v>382</v>
      </c>
      <c r="D149" s="41">
        <v>0.0</v>
      </c>
      <c r="E149" s="41" t="s">
        <v>458</v>
      </c>
      <c r="F149" s="41" t="s">
        <v>459</v>
      </c>
      <c r="G149" s="42" t="str">
        <f t="shared" si="1"/>
        <v/>
      </c>
    </row>
    <row r="150" ht="26.25" customHeight="1">
      <c r="A150" s="39" t="s">
        <v>49</v>
      </c>
      <c r="B150" s="39" t="s">
        <v>385</v>
      </c>
      <c r="C150" s="39" t="s">
        <v>384</v>
      </c>
      <c r="D150" s="39">
        <v>0.0</v>
      </c>
      <c r="E150" s="39" t="s">
        <v>458</v>
      </c>
      <c r="F150" s="39" t="s">
        <v>459</v>
      </c>
      <c r="G150" s="61" t="str">
        <f t="shared" si="1"/>
        <v/>
      </c>
    </row>
    <row r="151" ht="26.25" customHeight="1">
      <c r="A151" s="41" t="s">
        <v>49</v>
      </c>
      <c r="B151" s="41" t="s">
        <v>385</v>
      </c>
      <c r="C151" s="41" t="s">
        <v>387</v>
      </c>
      <c r="D151" s="41">
        <v>0.0</v>
      </c>
      <c r="E151" s="41" t="s">
        <v>458</v>
      </c>
      <c r="F151" s="41" t="s">
        <v>459</v>
      </c>
      <c r="G151" s="42" t="str">
        <f t="shared" si="1"/>
        <v/>
      </c>
    </row>
    <row r="152" ht="26.25" customHeight="1">
      <c r="A152" s="39" t="s">
        <v>49</v>
      </c>
      <c r="B152" s="39" t="s">
        <v>390</v>
      </c>
      <c r="C152" s="39" t="s">
        <v>389</v>
      </c>
      <c r="D152" s="39">
        <v>0.0</v>
      </c>
      <c r="E152" s="39" t="s">
        <v>458</v>
      </c>
      <c r="F152" s="39" t="s">
        <v>459</v>
      </c>
      <c r="G152" s="61" t="str">
        <f t="shared" si="1"/>
        <v/>
      </c>
    </row>
    <row r="153" ht="26.25" customHeight="1">
      <c r="A153" s="41" t="s">
        <v>49</v>
      </c>
      <c r="B153" s="41" t="s">
        <v>393</v>
      </c>
      <c r="C153" s="41" t="s">
        <v>392</v>
      </c>
      <c r="D153" s="41">
        <v>0.0</v>
      </c>
      <c r="E153" s="41" t="s">
        <v>458</v>
      </c>
      <c r="F153" s="41" t="s">
        <v>459</v>
      </c>
      <c r="G153" s="42" t="str">
        <f t="shared" si="1"/>
        <v/>
      </c>
    </row>
    <row r="154" ht="26.25" customHeight="1">
      <c r="A154" s="58" t="s">
        <v>49</v>
      </c>
      <c r="B154" s="58" t="s">
        <v>27</v>
      </c>
      <c r="C154" s="58" t="s">
        <v>395</v>
      </c>
      <c r="D154" s="58">
        <f>COUNTIF('Error Code Log'!$B:$B, C154)</f>
        <v>0</v>
      </c>
      <c r="E154" s="59" t="s">
        <v>458</v>
      </c>
      <c r="F154" s="59" t="s">
        <v>463</v>
      </c>
      <c r="G154" s="60" t="str">
        <f t="shared" si="1"/>
        <v/>
      </c>
    </row>
    <row r="155" ht="26.25" customHeight="1">
      <c r="A155" s="47" t="s">
        <v>49</v>
      </c>
      <c r="B155" s="47" t="s">
        <v>397</v>
      </c>
      <c r="C155" s="47" t="s">
        <v>396</v>
      </c>
      <c r="D155" s="47">
        <v>0.0</v>
      </c>
      <c r="E155" s="48" t="s">
        <v>458</v>
      </c>
      <c r="F155" s="48" t="s">
        <v>459</v>
      </c>
      <c r="G155" s="49" t="str">
        <f t="shared" si="1"/>
        <v/>
      </c>
    </row>
    <row r="156" ht="26.25" customHeight="1">
      <c r="A156" s="58" t="s">
        <v>49</v>
      </c>
      <c r="B156" s="58" t="s">
        <v>399</v>
      </c>
      <c r="C156" s="58" t="s">
        <v>398</v>
      </c>
      <c r="D156" s="58">
        <f>COUNTIF('Error Code Log'!B:B, "Ion")</f>
        <v>0</v>
      </c>
      <c r="E156" s="59" t="s">
        <v>458</v>
      </c>
      <c r="F156" s="59" t="s">
        <v>463</v>
      </c>
      <c r="G156" s="60" t="str">
        <f t="shared" si="1"/>
        <v/>
      </c>
    </row>
    <row r="157" ht="26.25" customHeight="1">
      <c r="A157" s="58" t="s">
        <v>49</v>
      </c>
      <c r="B157" s="58" t="s">
        <v>401</v>
      </c>
      <c r="C157" s="58" t="s">
        <v>400</v>
      </c>
      <c r="D157" s="58">
        <f>COUNTIF('Error Code Log'!$B:$B, C157)</f>
        <v>0</v>
      </c>
      <c r="E157" s="59" t="s">
        <v>458</v>
      </c>
      <c r="F157" s="59" t="s">
        <v>463</v>
      </c>
      <c r="G157" s="60" t="str">
        <f t="shared" si="1"/>
        <v/>
      </c>
    </row>
    <row r="158" ht="26.25" customHeight="1">
      <c r="A158" s="39" t="s">
        <v>49</v>
      </c>
      <c r="B158" s="39" t="s">
        <v>369</v>
      </c>
      <c r="C158" s="39" t="s">
        <v>402</v>
      </c>
      <c r="D158" s="39">
        <v>0.0</v>
      </c>
      <c r="E158" s="39" t="s">
        <v>458</v>
      </c>
      <c r="F158" s="39" t="s">
        <v>459</v>
      </c>
      <c r="G158" s="61" t="str">
        <f t="shared" si="1"/>
        <v/>
      </c>
    </row>
    <row r="159" ht="26.25" customHeight="1">
      <c r="A159" s="58" t="s">
        <v>49</v>
      </c>
      <c r="B159" s="58" t="s">
        <v>27</v>
      </c>
      <c r="C159" s="58" t="s">
        <v>404</v>
      </c>
      <c r="D159" s="58">
        <f>COUNTIF('Error Code Log'!$B:$B, C159)</f>
        <v>0</v>
      </c>
      <c r="E159" s="59" t="s">
        <v>458</v>
      </c>
      <c r="F159" s="59" t="s">
        <v>463</v>
      </c>
      <c r="G159" s="60" t="str">
        <f t="shared" si="1"/>
        <v/>
      </c>
    </row>
    <row r="160" ht="26.25" customHeight="1">
      <c r="A160" s="39" t="s">
        <v>49</v>
      </c>
      <c r="B160" s="39" t="s">
        <v>406</v>
      </c>
      <c r="C160" s="39" t="s">
        <v>405</v>
      </c>
      <c r="D160" s="39">
        <v>0.0</v>
      </c>
      <c r="E160" s="39" t="s">
        <v>458</v>
      </c>
      <c r="F160" s="39" t="s">
        <v>459</v>
      </c>
      <c r="G160" s="61" t="str">
        <f t="shared" si="1"/>
        <v/>
      </c>
    </row>
    <row r="161" ht="26.25" customHeight="1">
      <c r="A161" s="41" t="s">
        <v>49</v>
      </c>
      <c r="B161" s="41" t="s">
        <v>409</v>
      </c>
      <c r="C161" s="41" t="s">
        <v>408</v>
      </c>
      <c r="D161" s="41">
        <v>0.0</v>
      </c>
      <c r="E161" s="41" t="s">
        <v>458</v>
      </c>
      <c r="F161" s="41" t="s">
        <v>459</v>
      </c>
      <c r="G161" s="42" t="str">
        <f t="shared" si="1"/>
        <v/>
      </c>
    </row>
    <row r="162" ht="26.25" customHeight="1">
      <c r="A162" s="39" t="s">
        <v>49</v>
      </c>
      <c r="B162" s="39" t="s">
        <v>409</v>
      </c>
      <c r="C162" s="39" t="s">
        <v>411</v>
      </c>
      <c r="D162" s="39">
        <v>0.0</v>
      </c>
      <c r="E162" s="39" t="s">
        <v>458</v>
      </c>
      <c r="F162" s="39" t="s">
        <v>459</v>
      </c>
      <c r="G162" s="61" t="str">
        <f t="shared" si="1"/>
        <v/>
      </c>
    </row>
    <row r="163" ht="26.25" customHeight="1">
      <c r="A163" s="41" t="s">
        <v>49</v>
      </c>
      <c r="B163" s="41" t="s">
        <v>409</v>
      </c>
      <c r="C163" s="41" t="s">
        <v>412</v>
      </c>
      <c r="D163" s="41">
        <v>0.0</v>
      </c>
      <c r="E163" s="41" t="s">
        <v>458</v>
      </c>
      <c r="F163" s="41" t="s">
        <v>459</v>
      </c>
      <c r="G163" s="42" t="str">
        <f t="shared" si="1"/>
        <v/>
      </c>
    </row>
    <row r="164" ht="26.25" customHeight="1">
      <c r="A164" s="39" t="s">
        <v>49</v>
      </c>
      <c r="B164" s="39" t="s">
        <v>406</v>
      </c>
      <c r="C164" s="39" t="s">
        <v>413</v>
      </c>
      <c r="D164" s="39">
        <v>0.0</v>
      </c>
      <c r="E164" s="39" t="s">
        <v>458</v>
      </c>
      <c r="F164" s="39" t="s">
        <v>459</v>
      </c>
      <c r="G164" s="61" t="str">
        <f t="shared" si="1"/>
        <v/>
      </c>
    </row>
    <row r="165" ht="26.25" customHeight="1">
      <c r="A165" s="41" t="s">
        <v>49</v>
      </c>
      <c r="B165" s="41" t="s">
        <v>416</v>
      </c>
      <c r="C165" s="41" t="s">
        <v>415</v>
      </c>
      <c r="D165" s="41">
        <v>0.0</v>
      </c>
      <c r="E165" s="41" t="s">
        <v>458</v>
      </c>
      <c r="F165" s="41" t="s">
        <v>459</v>
      </c>
      <c r="G165" s="42" t="str">
        <f t="shared" si="1"/>
        <v/>
      </c>
    </row>
    <row r="166" ht="26.25" customHeight="1">
      <c r="A166" s="39" t="s">
        <v>49</v>
      </c>
      <c r="B166" s="39" t="s">
        <v>366</v>
      </c>
      <c r="C166" s="39" t="s">
        <v>418</v>
      </c>
      <c r="D166" s="39">
        <v>0.0</v>
      </c>
      <c r="E166" s="39" t="s">
        <v>458</v>
      </c>
      <c r="F166" s="39" t="s">
        <v>459</v>
      </c>
      <c r="G166" s="61" t="str">
        <f t="shared" si="1"/>
        <v/>
      </c>
    </row>
    <row r="167" ht="26.25" customHeight="1">
      <c r="A167" s="41" t="s">
        <v>49</v>
      </c>
      <c r="B167" s="41" t="s">
        <v>421</v>
      </c>
      <c r="C167" s="41" t="s">
        <v>420</v>
      </c>
      <c r="D167" s="41">
        <v>0.0</v>
      </c>
      <c r="E167" s="41" t="s">
        <v>458</v>
      </c>
      <c r="F167" s="41" t="s">
        <v>459</v>
      </c>
      <c r="G167" s="42" t="str">
        <f t="shared" si="1"/>
        <v/>
      </c>
    </row>
    <row r="168" ht="26.25" customHeight="1">
      <c r="A168" s="58" t="s">
        <v>51</v>
      </c>
      <c r="B168" s="58" t="s">
        <v>27</v>
      </c>
      <c r="C168" s="58" t="s">
        <v>423</v>
      </c>
      <c r="D168" s="58">
        <v>0.0</v>
      </c>
      <c r="E168" s="59" t="s">
        <v>458</v>
      </c>
      <c r="F168" s="59" t="s">
        <v>463</v>
      </c>
      <c r="G168" s="60" t="str">
        <f t="shared" si="1"/>
        <v/>
      </c>
    </row>
    <row r="169" ht="26.25" customHeight="1">
      <c r="A169" s="51" t="s">
        <v>220</v>
      </c>
      <c r="B169" s="51" t="s">
        <v>220</v>
      </c>
      <c r="C169" s="51" t="s">
        <v>424</v>
      </c>
      <c r="D169" s="51">
        <f>COUNTIF('Error Code Log'!$B:$B, C169)</f>
        <v>0</v>
      </c>
      <c r="E169" s="51" t="s">
        <v>458</v>
      </c>
      <c r="F169" s="51" t="s">
        <v>463</v>
      </c>
      <c r="G169" s="69" t="str">
        <f t="shared" si="1"/>
        <v/>
      </c>
    </row>
    <row r="170" ht="26.25" customHeight="1">
      <c r="A170" s="58" t="s">
        <v>220</v>
      </c>
      <c r="B170" s="58" t="s">
        <v>220</v>
      </c>
      <c r="C170" s="58" t="s">
        <v>425</v>
      </c>
      <c r="D170" s="58">
        <f>COUNTIF('Error Code Log'!$B:$B, C170)</f>
        <v>0</v>
      </c>
      <c r="E170" s="59" t="s">
        <v>458</v>
      </c>
      <c r="F170" s="59" t="s">
        <v>463</v>
      </c>
      <c r="G170" s="60" t="str">
        <f t="shared" si="1"/>
        <v/>
      </c>
    </row>
    <row r="171" ht="26.25" customHeight="1">
      <c r="A171" s="70" t="s">
        <v>220</v>
      </c>
      <c r="B171" s="70" t="s">
        <v>220</v>
      </c>
      <c r="C171" s="70" t="s">
        <v>427</v>
      </c>
      <c r="D171" s="70">
        <f>COUNTIF('Error Code Log'!$B:$B, C171)</f>
        <v>0</v>
      </c>
      <c r="E171" s="70" t="s">
        <v>458</v>
      </c>
      <c r="F171" s="70" t="s">
        <v>463</v>
      </c>
      <c r="G171" s="70" t="str">
        <f t="shared" si="1"/>
        <v/>
      </c>
    </row>
    <row r="172" ht="26.25" customHeight="1">
      <c r="A172" s="51" t="s">
        <v>220</v>
      </c>
      <c r="B172" s="51" t="s">
        <v>220</v>
      </c>
      <c r="C172" s="51" t="s">
        <v>428</v>
      </c>
      <c r="D172" s="51">
        <f>COUNTIF('Error Code Log'!$B:$B, C172)</f>
        <v>0</v>
      </c>
      <c r="E172" s="51" t="s">
        <v>458</v>
      </c>
      <c r="F172" s="51" t="s">
        <v>463</v>
      </c>
      <c r="G172" s="69" t="str">
        <f t="shared" si="1"/>
        <v/>
      </c>
    </row>
    <row r="173" ht="26.25" customHeight="1">
      <c r="A173" s="58" t="s">
        <v>220</v>
      </c>
      <c r="B173" s="58" t="s">
        <v>220</v>
      </c>
      <c r="C173" s="58" t="s">
        <v>429</v>
      </c>
      <c r="D173" s="58">
        <f>COUNTIF('Error Code Log'!$B:$B, C173)</f>
        <v>0</v>
      </c>
      <c r="E173" s="59" t="s">
        <v>458</v>
      </c>
      <c r="F173" s="59" t="s">
        <v>463</v>
      </c>
      <c r="G173" s="60" t="str">
        <f t="shared" si="1"/>
        <v/>
      </c>
    </row>
    <row r="174" ht="26.25" customHeight="1">
      <c r="A174" s="58" t="s">
        <v>220</v>
      </c>
      <c r="B174" s="58" t="s">
        <v>220</v>
      </c>
      <c r="C174" s="58" t="s">
        <v>430</v>
      </c>
      <c r="D174" s="58">
        <f>COUNTIF('Error Code Log'!$B:$B, C174)</f>
        <v>0</v>
      </c>
      <c r="E174" s="59" t="s">
        <v>458</v>
      </c>
      <c r="F174" s="59" t="s">
        <v>463</v>
      </c>
      <c r="G174" s="60" t="str">
        <f t="shared" si="1"/>
        <v/>
      </c>
    </row>
    <row r="175" ht="26.25" customHeight="1">
      <c r="A175" s="58" t="s">
        <v>220</v>
      </c>
      <c r="B175" s="58" t="s">
        <v>220</v>
      </c>
      <c r="C175" s="58" t="s">
        <v>431</v>
      </c>
      <c r="D175" s="58">
        <f>COUNTIF('Error Code Log'!$B:$B, C175)</f>
        <v>0</v>
      </c>
      <c r="E175" s="59" t="s">
        <v>458</v>
      </c>
      <c r="F175" s="59" t="s">
        <v>463</v>
      </c>
      <c r="G175" s="60" t="str">
        <f t="shared" si="1"/>
        <v/>
      </c>
    </row>
    <row r="176" ht="26.25" customHeight="1">
      <c r="A176" s="51" t="s">
        <v>55</v>
      </c>
      <c r="B176" s="51" t="s">
        <v>27</v>
      </c>
      <c r="C176" s="51" t="s">
        <v>499</v>
      </c>
      <c r="D176" s="51">
        <v>0.0</v>
      </c>
      <c r="E176" s="51" t="s">
        <v>458</v>
      </c>
      <c r="F176" s="51" t="s">
        <v>463</v>
      </c>
      <c r="G176" s="69" t="str">
        <f t="shared" si="1"/>
        <v/>
      </c>
    </row>
    <row r="177" ht="26.25" customHeight="1">
      <c r="A177" s="41" t="s">
        <v>55</v>
      </c>
      <c r="B177" s="41" t="s">
        <v>433</v>
      </c>
      <c r="C177" s="41" t="s">
        <v>432</v>
      </c>
      <c r="D177" s="41">
        <v>0.0</v>
      </c>
      <c r="E177" s="41" t="s">
        <v>458</v>
      </c>
      <c r="F177" s="41" t="s">
        <v>459</v>
      </c>
      <c r="G177" s="42" t="str">
        <f t="shared" si="1"/>
        <v/>
      </c>
    </row>
    <row r="178" ht="26.25" customHeight="1">
      <c r="A178" s="54" t="s">
        <v>55</v>
      </c>
      <c r="B178" s="54" t="s">
        <v>436</v>
      </c>
      <c r="C178" s="54" t="s">
        <v>435</v>
      </c>
      <c r="D178" s="54">
        <f>COUNTIF('Error Code Log'!$B:$B, C178)</f>
        <v>0</v>
      </c>
      <c r="E178" s="55" t="s">
        <v>458</v>
      </c>
      <c r="F178" s="55" t="s">
        <v>459</v>
      </c>
      <c r="G178" s="57" t="str">
        <f t="shared" si="1"/>
        <v/>
      </c>
    </row>
    <row r="179" ht="26.25" customHeight="1">
      <c r="A179" s="47" t="s">
        <v>55</v>
      </c>
      <c r="B179" s="47" t="s">
        <v>53</v>
      </c>
      <c r="C179" s="47" t="s">
        <v>437</v>
      </c>
      <c r="D179" s="47">
        <f>IF(C179&lt;&gt;"", COUNTIF('Error Code Log'!B:B, C179), IF(A179&lt;&gt;"", COUNTIF('Error Code Log'!A:A, A179), ""))</f>
        <v>0</v>
      </c>
      <c r="E179" s="48" t="s">
        <v>458</v>
      </c>
      <c r="F179" s="48" t="s">
        <v>459</v>
      </c>
      <c r="G179" s="49" t="str">
        <f t="shared" si="1"/>
        <v/>
      </c>
    </row>
    <row r="180" ht="26.25" customHeight="1">
      <c r="A180" s="54" t="s">
        <v>55</v>
      </c>
      <c r="B180" s="54" t="s">
        <v>439</v>
      </c>
      <c r="C180" s="54" t="s">
        <v>438</v>
      </c>
      <c r="D180" s="54">
        <f>COUNTIF('Error Code Log'!$B:$B, C180)</f>
        <v>0</v>
      </c>
      <c r="E180" s="55" t="s">
        <v>458</v>
      </c>
      <c r="F180" s="55" t="s">
        <v>459</v>
      </c>
      <c r="G180" s="57" t="str">
        <f t="shared" si="1"/>
        <v/>
      </c>
    </row>
    <row r="181" ht="26.25" customHeight="1">
      <c r="A181" s="47" t="s">
        <v>55</v>
      </c>
      <c r="B181" s="47" t="s">
        <v>441</v>
      </c>
      <c r="C181" s="47" t="s">
        <v>440</v>
      </c>
      <c r="D181" s="47">
        <v>0.0</v>
      </c>
      <c r="E181" s="48" t="s">
        <v>458</v>
      </c>
      <c r="F181" s="48" t="s">
        <v>459</v>
      </c>
      <c r="G181" s="49" t="str">
        <f t="shared" si="1"/>
        <v/>
      </c>
    </row>
    <row r="182" ht="26.25" customHeight="1">
      <c r="A182" s="39" t="s">
        <v>58</v>
      </c>
      <c r="B182" s="39">
        <v>3200.0</v>
      </c>
      <c r="C182" s="39" t="s">
        <v>442</v>
      </c>
      <c r="D182" s="39">
        <v>2.0</v>
      </c>
      <c r="E182" s="39" t="s">
        <v>457</v>
      </c>
      <c r="F182" s="43"/>
      <c r="G182" s="40" t="str">
        <f t="shared" si="1"/>
        <v>Tablet/Remote Display: Numeric Code</v>
      </c>
    </row>
    <row r="183" ht="26.25" customHeight="1">
      <c r="A183" s="41" t="s">
        <v>58</v>
      </c>
      <c r="B183" s="41">
        <v>8601.0</v>
      </c>
      <c r="C183" s="41" t="s">
        <v>500</v>
      </c>
      <c r="D183" s="41">
        <v>0.0</v>
      </c>
      <c r="E183" s="41" t="s">
        <v>458</v>
      </c>
      <c r="F183" s="41" t="s">
        <v>459</v>
      </c>
      <c r="G183" s="42" t="str">
        <f t="shared" si="1"/>
        <v/>
      </c>
    </row>
    <row r="184" ht="26.25" customHeight="1">
      <c r="A184" s="54" t="s">
        <v>58</v>
      </c>
      <c r="B184" s="54">
        <v>5200.0</v>
      </c>
      <c r="C184" s="54" t="s">
        <v>444</v>
      </c>
      <c r="D184" s="54">
        <f>COUNTIF('Error Code Log'!$B:$B, C184)</f>
        <v>0</v>
      </c>
      <c r="E184" s="55" t="s">
        <v>458</v>
      </c>
      <c r="F184" s="55" t="s">
        <v>459</v>
      </c>
      <c r="G184" s="57" t="str">
        <f t="shared" si="1"/>
        <v/>
      </c>
    </row>
    <row r="185" ht="26.25" customHeight="1">
      <c r="A185" s="41" t="s">
        <v>58</v>
      </c>
      <c r="B185" s="41">
        <v>5300.0</v>
      </c>
      <c r="C185" s="41" t="s">
        <v>445</v>
      </c>
      <c r="D185" s="41">
        <v>0.0</v>
      </c>
      <c r="E185" s="41" t="s">
        <v>458</v>
      </c>
      <c r="F185" s="41" t="s">
        <v>459</v>
      </c>
      <c r="G185" s="42" t="str">
        <f t="shared" si="1"/>
        <v/>
      </c>
    </row>
    <row r="186" ht="26.25" customHeight="1">
      <c r="A186" s="54" t="s">
        <v>58</v>
      </c>
      <c r="B186" s="54">
        <v>3601.0</v>
      </c>
      <c r="C186" s="54" t="s">
        <v>447</v>
      </c>
      <c r="D186" s="54">
        <v>0.0</v>
      </c>
      <c r="E186" s="55" t="s">
        <v>458</v>
      </c>
      <c r="F186" s="55" t="s">
        <v>459</v>
      </c>
      <c r="G186" s="57" t="str">
        <f t="shared" si="1"/>
        <v/>
      </c>
    </row>
    <row r="187" ht="26.25" customHeight="1">
      <c r="A187" s="41" t="s">
        <v>58</v>
      </c>
      <c r="B187" s="41">
        <v>3100.0</v>
      </c>
      <c r="C187" s="41" t="s">
        <v>448</v>
      </c>
      <c r="D187" s="41">
        <v>2.0</v>
      </c>
      <c r="E187" s="41" t="s">
        <v>457</v>
      </c>
      <c r="F187" s="44"/>
      <c r="G187" s="62" t="str">
        <f t="shared" si="1"/>
        <v>Tablet/Remote Display: Numeric Code</v>
      </c>
    </row>
    <row r="188" ht="26.25" customHeight="1">
      <c r="A188" s="39" t="s">
        <v>58</v>
      </c>
      <c r="B188" s="39">
        <v>3211.0</v>
      </c>
      <c r="C188" s="39" t="s">
        <v>449</v>
      </c>
      <c r="D188" s="39">
        <v>2.0</v>
      </c>
      <c r="E188" s="39" t="s">
        <v>457</v>
      </c>
      <c r="F188" s="43"/>
      <c r="G188" s="40" t="str">
        <f t="shared" si="1"/>
        <v>Tablet/Remote Display: Numeric Code</v>
      </c>
    </row>
    <row r="189" ht="26.25" customHeight="1">
      <c r="A189" s="41" t="s">
        <v>58</v>
      </c>
      <c r="B189" s="41">
        <v>5300.0</v>
      </c>
      <c r="C189" s="41" t="s">
        <v>450</v>
      </c>
      <c r="D189" s="41">
        <v>0.0</v>
      </c>
      <c r="E189" s="41" t="s">
        <v>458</v>
      </c>
      <c r="F189" s="41" t="s">
        <v>459</v>
      </c>
      <c r="G189" s="42" t="str">
        <f t="shared" si="1"/>
        <v/>
      </c>
    </row>
    <row r="190" ht="26.25" customHeight="1">
      <c r="A190" s="54"/>
      <c r="B190" s="71"/>
      <c r="C190" s="71"/>
      <c r="D190" s="54"/>
      <c r="E190" s="56"/>
      <c r="F190" s="56"/>
      <c r="G190" s="57"/>
    </row>
    <row r="191" ht="26.25" customHeight="1">
      <c r="A191" s="47"/>
      <c r="B191" s="72"/>
      <c r="C191" s="72"/>
      <c r="D191" s="47"/>
      <c r="E191" s="63"/>
      <c r="F191" s="63"/>
      <c r="G191" s="49"/>
    </row>
    <row r="192">
      <c r="A192" s="73"/>
      <c r="B192" s="74"/>
      <c r="C192" s="74"/>
      <c r="D192" s="73"/>
      <c r="E192" s="75"/>
      <c r="F192" s="75"/>
      <c r="G192" s="76"/>
    </row>
    <row r="193">
      <c r="A193" s="73"/>
      <c r="B193" s="74"/>
      <c r="C193" s="74"/>
      <c r="D193" s="73"/>
      <c r="E193" s="75"/>
      <c r="F193" s="75"/>
      <c r="G193" s="76"/>
    </row>
    <row r="194">
      <c r="A194" s="73"/>
      <c r="B194" s="74"/>
      <c r="C194" s="74"/>
      <c r="D194" s="73"/>
      <c r="E194" s="75"/>
      <c r="F194" s="75"/>
      <c r="G194" s="76"/>
    </row>
    <row r="195">
      <c r="A195" s="73"/>
      <c r="B195" s="74"/>
      <c r="C195" s="74"/>
      <c r="D195" s="73"/>
      <c r="E195" s="75"/>
      <c r="F195" s="75"/>
      <c r="G195" s="76"/>
    </row>
    <row r="196">
      <c r="A196" s="73"/>
      <c r="B196" s="74"/>
      <c r="C196" s="74"/>
      <c r="D196" s="73"/>
      <c r="E196" s="75"/>
      <c r="F196" s="75"/>
      <c r="G196" s="76"/>
    </row>
    <row r="197">
      <c r="A197" s="73"/>
      <c r="B197" s="74"/>
      <c r="C197" s="74"/>
      <c r="D197" s="73"/>
      <c r="E197" s="75"/>
      <c r="F197" s="75"/>
      <c r="G197" s="76"/>
    </row>
    <row r="198">
      <c r="A198" s="73"/>
      <c r="B198" s="74"/>
      <c r="C198" s="74"/>
      <c r="D198" s="73"/>
      <c r="E198" s="75"/>
      <c r="F198" s="75"/>
      <c r="G198" s="76"/>
    </row>
    <row r="199">
      <c r="A199" s="73"/>
      <c r="B199" s="74"/>
      <c r="C199" s="74"/>
      <c r="D199" s="73"/>
      <c r="E199" s="75"/>
      <c r="F199" s="75"/>
      <c r="G199" s="76"/>
    </row>
    <row r="200">
      <c r="A200" s="73"/>
      <c r="B200" s="74"/>
      <c r="C200" s="74"/>
      <c r="D200" s="73"/>
      <c r="E200" s="75"/>
      <c r="F200" s="75"/>
      <c r="G200" s="76"/>
    </row>
    <row r="201">
      <c r="A201" s="73"/>
      <c r="B201" s="74"/>
      <c r="C201" s="74"/>
      <c r="D201" s="73"/>
      <c r="E201" s="75"/>
      <c r="F201" s="75"/>
      <c r="G201" s="76"/>
    </row>
    <row r="202">
      <c r="A202" s="73"/>
      <c r="B202" s="74"/>
      <c r="C202" s="74"/>
      <c r="D202" s="73"/>
      <c r="E202" s="75"/>
      <c r="F202" s="75"/>
      <c r="G202" s="76"/>
    </row>
    <row r="203">
      <c r="A203" s="73"/>
      <c r="B203" s="74"/>
      <c r="C203" s="74"/>
      <c r="D203" s="73"/>
      <c r="E203" s="75"/>
      <c r="F203" s="75"/>
      <c r="G203" s="76"/>
    </row>
    <row r="204">
      <c r="A204" s="73"/>
      <c r="B204" s="74"/>
      <c r="C204" s="74"/>
      <c r="D204" s="73"/>
      <c r="E204" s="75"/>
      <c r="F204" s="75"/>
      <c r="G204" s="76"/>
    </row>
    <row r="205">
      <c r="A205" s="73"/>
      <c r="B205" s="74"/>
      <c r="C205" s="74"/>
      <c r="D205" s="73"/>
      <c r="E205" s="75"/>
      <c r="F205" s="75"/>
      <c r="G205" s="76"/>
    </row>
    <row r="206">
      <c r="A206" s="73"/>
      <c r="B206" s="74"/>
      <c r="C206" s="74"/>
      <c r="D206" s="73"/>
      <c r="E206" s="75"/>
      <c r="F206" s="75"/>
      <c r="G206" s="76"/>
    </row>
    <row r="207">
      <c r="A207" s="73"/>
      <c r="B207" s="74"/>
      <c r="C207" s="74"/>
      <c r="D207" s="73"/>
      <c r="E207" s="75"/>
      <c r="F207" s="75"/>
      <c r="G207" s="76"/>
    </row>
    <row r="208">
      <c r="A208" s="73"/>
      <c r="B208" s="74"/>
      <c r="C208" s="74"/>
      <c r="D208" s="73"/>
      <c r="E208" s="75"/>
      <c r="F208" s="75"/>
      <c r="G208" s="76"/>
    </row>
    <row r="209">
      <c r="A209" s="73"/>
      <c r="B209" s="74"/>
      <c r="C209" s="74"/>
      <c r="D209" s="73"/>
      <c r="E209" s="75"/>
      <c r="F209" s="75"/>
      <c r="G209" s="76"/>
    </row>
    <row r="210">
      <c r="A210" s="73"/>
      <c r="B210" s="74"/>
      <c r="C210" s="74"/>
      <c r="D210" s="73"/>
      <c r="E210" s="75"/>
      <c r="F210" s="75"/>
      <c r="G210" s="76"/>
    </row>
    <row r="211">
      <c r="A211" s="73"/>
      <c r="B211" s="74"/>
      <c r="C211" s="74"/>
      <c r="D211" s="73"/>
      <c r="E211" s="75"/>
      <c r="F211" s="75"/>
      <c r="G211" s="76"/>
    </row>
    <row r="212">
      <c r="A212" s="73"/>
      <c r="B212" s="74"/>
      <c r="C212" s="74"/>
      <c r="D212" s="73"/>
      <c r="E212" s="75"/>
      <c r="F212" s="75"/>
      <c r="G212" s="76"/>
    </row>
    <row r="213">
      <c r="A213" s="73"/>
      <c r="B213" s="74"/>
      <c r="C213" s="74"/>
      <c r="D213" s="73"/>
      <c r="E213" s="75"/>
      <c r="F213" s="75"/>
      <c r="G213" s="76"/>
    </row>
    <row r="214">
      <c r="A214" s="73"/>
      <c r="B214" s="74"/>
      <c r="C214" s="74"/>
      <c r="D214" s="73"/>
      <c r="E214" s="75"/>
      <c r="F214" s="75"/>
      <c r="G214" s="76"/>
    </row>
    <row r="215">
      <c r="A215" s="73"/>
      <c r="B215" s="74"/>
      <c r="C215" s="74"/>
      <c r="D215" s="73"/>
      <c r="E215" s="75"/>
      <c r="F215" s="75"/>
      <c r="G215" s="76"/>
    </row>
    <row r="216">
      <c r="A216" s="73"/>
      <c r="B216" s="74"/>
      <c r="C216" s="74"/>
      <c r="D216" s="73"/>
      <c r="E216" s="75"/>
      <c r="F216" s="75"/>
      <c r="G216" s="76"/>
    </row>
    <row r="217">
      <c r="A217" s="73"/>
      <c r="B217" s="74"/>
      <c r="C217" s="74"/>
      <c r="D217" s="73"/>
      <c r="E217" s="75"/>
      <c r="F217" s="75"/>
      <c r="G217" s="76"/>
    </row>
    <row r="218">
      <c r="A218" s="73"/>
      <c r="B218" s="74"/>
      <c r="C218" s="74"/>
      <c r="D218" s="73"/>
      <c r="E218" s="75"/>
      <c r="F218" s="75"/>
      <c r="G218" s="76"/>
    </row>
    <row r="219">
      <c r="A219" s="73"/>
      <c r="B219" s="74"/>
      <c r="C219" s="74"/>
      <c r="D219" s="73"/>
      <c r="E219" s="75"/>
      <c r="F219" s="75"/>
      <c r="G219" s="76"/>
    </row>
    <row r="220">
      <c r="A220" s="73"/>
      <c r="B220" s="74"/>
      <c r="C220" s="74"/>
      <c r="D220" s="73"/>
      <c r="E220" s="75"/>
      <c r="F220" s="75"/>
      <c r="G220" s="76"/>
    </row>
    <row r="221">
      <c r="A221" s="73"/>
      <c r="B221" s="74"/>
      <c r="C221" s="74"/>
      <c r="D221" s="73"/>
      <c r="E221" s="75"/>
      <c r="F221" s="75"/>
      <c r="G221" s="76"/>
    </row>
    <row r="222">
      <c r="A222" s="73"/>
      <c r="B222" s="74"/>
      <c r="C222" s="74"/>
      <c r="D222" s="73"/>
      <c r="E222" s="75"/>
      <c r="F222" s="75"/>
      <c r="G222" s="76"/>
    </row>
    <row r="223">
      <c r="A223" s="73"/>
      <c r="B223" s="74"/>
      <c r="C223" s="74"/>
      <c r="D223" s="73"/>
      <c r="E223" s="75"/>
      <c r="F223" s="75"/>
      <c r="G223" s="76"/>
    </row>
    <row r="224">
      <c r="A224" s="73"/>
      <c r="B224" s="74"/>
      <c r="C224" s="74"/>
      <c r="D224" s="73"/>
      <c r="E224" s="75"/>
      <c r="F224" s="75"/>
      <c r="G224" s="76"/>
    </row>
    <row r="225">
      <c r="A225" s="73"/>
      <c r="B225" s="74"/>
      <c r="C225" s="74"/>
      <c r="D225" s="73"/>
      <c r="E225" s="75"/>
      <c r="F225" s="75"/>
      <c r="G225" s="76"/>
    </row>
    <row r="226">
      <c r="A226" s="73"/>
      <c r="B226" s="74"/>
      <c r="C226" s="74"/>
      <c r="D226" s="73"/>
      <c r="E226" s="75"/>
      <c r="F226" s="75"/>
      <c r="G226" s="76"/>
    </row>
    <row r="227">
      <c r="A227" s="73"/>
      <c r="B227" s="74"/>
      <c r="C227" s="74"/>
      <c r="D227" s="73"/>
      <c r="E227" s="75"/>
      <c r="F227" s="75"/>
      <c r="G227" s="76"/>
    </row>
    <row r="228">
      <c r="A228" s="73"/>
      <c r="B228" s="74"/>
      <c r="C228" s="74"/>
      <c r="D228" s="73"/>
      <c r="E228" s="75"/>
      <c r="F228" s="75"/>
      <c r="G228" s="76"/>
    </row>
    <row r="229">
      <c r="A229" s="73"/>
      <c r="B229" s="74"/>
      <c r="C229" s="74"/>
      <c r="D229" s="73"/>
      <c r="E229" s="75"/>
      <c r="F229" s="75"/>
      <c r="G229" s="76"/>
    </row>
    <row r="230">
      <c r="A230" s="73"/>
      <c r="B230" s="74"/>
      <c r="C230" s="74"/>
      <c r="D230" s="73"/>
      <c r="E230" s="75"/>
      <c r="F230" s="75"/>
      <c r="G230" s="76"/>
    </row>
    <row r="231">
      <c r="A231" s="73"/>
      <c r="B231" s="74"/>
      <c r="C231" s="74"/>
      <c r="D231" s="73"/>
      <c r="E231" s="75"/>
      <c r="F231" s="75"/>
      <c r="G231" s="76"/>
    </row>
    <row r="232">
      <c r="A232" s="73"/>
      <c r="B232" s="74"/>
      <c r="C232" s="74"/>
      <c r="D232" s="73"/>
      <c r="E232" s="75"/>
      <c r="F232" s="75"/>
      <c r="G232" s="76"/>
    </row>
    <row r="233">
      <c r="A233" s="73"/>
      <c r="B233" s="74"/>
      <c r="C233" s="74"/>
      <c r="D233" s="73"/>
      <c r="E233" s="75"/>
      <c r="F233" s="75"/>
      <c r="G233" s="76"/>
    </row>
    <row r="234">
      <c r="A234" s="73"/>
      <c r="B234" s="74"/>
      <c r="C234" s="74"/>
      <c r="D234" s="73"/>
      <c r="E234" s="75"/>
      <c r="F234" s="75"/>
      <c r="G234" s="76"/>
    </row>
    <row r="235">
      <c r="A235" s="73"/>
      <c r="B235" s="74"/>
      <c r="C235" s="74"/>
      <c r="D235" s="73"/>
      <c r="E235" s="75"/>
      <c r="F235" s="75"/>
      <c r="G235" s="76"/>
    </row>
    <row r="236">
      <c r="A236" s="73"/>
      <c r="B236" s="74"/>
      <c r="C236" s="74"/>
      <c r="D236" s="73"/>
      <c r="E236" s="75"/>
      <c r="F236" s="75"/>
      <c r="G236" s="76"/>
    </row>
    <row r="237">
      <c r="A237" s="73"/>
      <c r="B237" s="74"/>
      <c r="C237" s="74"/>
      <c r="D237" s="73"/>
      <c r="E237" s="75"/>
      <c r="F237" s="75"/>
      <c r="G237" s="76"/>
    </row>
    <row r="238">
      <c r="A238" s="73"/>
      <c r="B238" s="74"/>
      <c r="C238" s="74"/>
      <c r="D238" s="73"/>
      <c r="E238" s="75"/>
      <c r="F238" s="75"/>
      <c r="G238" s="76"/>
    </row>
    <row r="239">
      <c r="A239" s="73"/>
      <c r="B239" s="74"/>
      <c r="C239" s="74"/>
      <c r="D239" s="73"/>
      <c r="E239" s="75"/>
      <c r="F239" s="75"/>
      <c r="G239" s="76"/>
    </row>
    <row r="240">
      <c r="A240" s="73"/>
      <c r="B240" s="74"/>
      <c r="C240" s="74"/>
      <c r="D240" s="73"/>
      <c r="E240" s="75"/>
      <c r="F240" s="75"/>
      <c r="G240" s="76"/>
    </row>
    <row r="241">
      <c r="A241" s="73"/>
      <c r="B241" s="74"/>
      <c r="C241" s="74"/>
      <c r="D241" s="73"/>
      <c r="E241" s="75"/>
      <c r="F241" s="75"/>
      <c r="G241" s="76"/>
    </row>
    <row r="242">
      <c r="A242" s="73"/>
      <c r="B242" s="74"/>
      <c r="C242" s="74"/>
      <c r="D242" s="73"/>
      <c r="E242" s="75"/>
      <c r="F242" s="75"/>
      <c r="G242" s="76"/>
    </row>
    <row r="243">
      <c r="A243" s="73"/>
      <c r="B243" s="74"/>
      <c r="C243" s="74"/>
      <c r="D243" s="73"/>
      <c r="E243" s="75"/>
      <c r="F243" s="75"/>
      <c r="G243" s="76"/>
    </row>
    <row r="244">
      <c r="A244" s="73"/>
      <c r="B244" s="74"/>
      <c r="C244" s="74"/>
      <c r="D244" s="73"/>
      <c r="E244" s="75"/>
      <c r="F244" s="75"/>
      <c r="G244" s="76"/>
    </row>
    <row r="245">
      <c r="A245" s="73"/>
      <c r="B245" s="74"/>
      <c r="C245" s="74"/>
      <c r="D245" s="73"/>
      <c r="E245" s="75"/>
      <c r="F245" s="75"/>
      <c r="G245" s="76"/>
    </row>
    <row r="246">
      <c r="A246" s="73"/>
      <c r="B246" s="74"/>
      <c r="C246" s="74"/>
      <c r="D246" s="73"/>
      <c r="E246" s="75"/>
      <c r="F246" s="75"/>
      <c r="G246" s="76"/>
    </row>
    <row r="247">
      <c r="A247" s="73"/>
      <c r="B247" s="74"/>
      <c r="C247" s="74"/>
      <c r="D247" s="73"/>
      <c r="E247" s="75"/>
      <c r="F247" s="75"/>
      <c r="G247" s="76"/>
    </row>
    <row r="248">
      <c r="A248" s="73"/>
      <c r="B248" s="74"/>
      <c r="C248" s="74"/>
      <c r="D248" s="73"/>
      <c r="E248" s="75"/>
      <c r="F248" s="75"/>
      <c r="G248" s="76"/>
    </row>
    <row r="249">
      <c r="A249" s="73"/>
      <c r="B249" s="74"/>
      <c r="C249" s="74"/>
      <c r="D249" s="73"/>
      <c r="E249" s="75"/>
      <c r="F249" s="75"/>
      <c r="G249" s="76"/>
    </row>
    <row r="250">
      <c r="A250" s="73"/>
      <c r="B250" s="74"/>
      <c r="C250" s="74"/>
      <c r="D250" s="73"/>
      <c r="E250" s="75"/>
      <c r="F250" s="75"/>
      <c r="G250" s="76"/>
    </row>
    <row r="251">
      <c r="A251" s="73"/>
      <c r="B251" s="74"/>
      <c r="C251" s="74"/>
      <c r="D251" s="73"/>
      <c r="E251" s="75"/>
      <c r="F251" s="75"/>
      <c r="G251" s="76"/>
    </row>
    <row r="252">
      <c r="A252" s="73"/>
      <c r="B252" s="74"/>
      <c r="C252" s="74"/>
      <c r="D252" s="73"/>
      <c r="E252" s="75"/>
      <c r="F252" s="75"/>
      <c r="G252" s="76"/>
    </row>
    <row r="253">
      <c r="A253" s="73"/>
      <c r="B253" s="74"/>
      <c r="C253" s="74"/>
      <c r="D253" s="73"/>
      <c r="E253" s="75"/>
      <c r="F253" s="75"/>
      <c r="G253" s="76"/>
    </row>
    <row r="254">
      <c r="A254" s="73"/>
      <c r="B254" s="74"/>
      <c r="C254" s="74"/>
      <c r="D254" s="73"/>
      <c r="E254" s="75"/>
      <c r="F254" s="75"/>
      <c r="G254" s="76"/>
    </row>
    <row r="255">
      <c r="A255" s="73"/>
      <c r="B255" s="74"/>
      <c r="C255" s="74"/>
      <c r="D255" s="73"/>
      <c r="E255" s="75"/>
      <c r="F255" s="75"/>
      <c r="G255" s="76"/>
    </row>
    <row r="256">
      <c r="A256" s="73"/>
      <c r="B256" s="74"/>
      <c r="C256" s="74"/>
      <c r="D256" s="73"/>
      <c r="E256" s="75"/>
      <c r="F256" s="75"/>
      <c r="G256" s="76"/>
    </row>
    <row r="257">
      <c r="A257" s="73"/>
      <c r="B257" s="74"/>
      <c r="C257" s="74"/>
      <c r="D257" s="73"/>
      <c r="E257" s="75"/>
      <c r="F257" s="75"/>
      <c r="G257" s="76"/>
    </row>
    <row r="258">
      <c r="A258" s="73"/>
      <c r="B258" s="74"/>
      <c r="C258" s="74"/>
      <c r="D258" s="73"/>
      <c r="E258" s="75"/>
      <c r="F258" s="75"/>
      <c r="G258" s="76"/>
    </row>
    <row r="259">
      <c r="A259" s="73"/>
      <c r="B259" s="74"/>
      <c r="C259" s="74"/>
      <c r="D259" s="73"/>
      <c r="E259" s="75"/>
      <c r="F259" s="75"/>
      <c r="G259" s="76"/>
    </row>
    <row r="260">
      <c r="A260" s="73"/>
      <c r="B260" s="74"/>
      <c r="C260" s="74"/>
      <c r="D260" s="73"/>
      <c r="E260" s="75"/>
      <c r="F260" s="75"/>
      <c r="G260" s="76"/>
    </row>
    <row r="261">
      <c r="A261" s="73"/>
      <c r="B261" s="74"/>
      <c r="C261" s="74"/>
      <c r="D261" s="73"/>
      <c r="E261" s="75"/>
      <c r="F261" s="75"/>
      <c r="G261" s="76"/>
    </row>
    <row r="262">
      <c r="A262" s="73"/>
      <c r="B262" s="74"/>
      <c r="C262" s="74"/>
      <c r="D262" s="73"/>
      <c r="E262" s="75"/>
      <c r="F262" s="75"/>
      <c r="G262" s="76"/>
    </row>
    <row r="263">
      <c r="A263" s="73"/>
      <c r="B263" s="74"/>
      <c r="C263" s="74"/>
      <c r="D263" s="73"/>
      <c r="E263" s="75"/>
      <c r="F263" s="75"/>
      <c r="G263" s="76"/>
    </row>
    <row r="264">
      <c r="A264" s="73"/>
      <c r="B264" s="74"/>
      <c r="C264" s="74"/>
      <c r="D264" s="73"/>
      <c r="E264" s="75"/>
      <c r="F264" s="75"/>
      <c r="G264" s="76"/>
    </row>
    <row r="265">
      <c r="A265" s="73"/>
      <c r="B265" s="74"/>
      <c r="C265" s="74"/>
      <c r="D265" s="73"/>
      <c r="E265" s="75"/>
      <c r="F265" s="75"/>
      <c r="G265" s="76"/>
    </row>
    <row r="266">
      <c r="A266" s="73"/>
      <c r="B266" s="74"/>
      <c r="C266" s="74"/>
      <c r="D266" s="73"/>
      <c r="E266" s="75"/>
      <c r="F266" s="75"/>
      <c r="G266" s="76"/>
    </row>
    <row r="267">
      <c r="A267" s="73"/>
      <c r="B267" s="74"/>
      <c r="C267" s="74"/>
      <c r="D267" s="73"/>
      <c r="E267" s="75"/>
      <c r="F267" s="75"/>
      <c r="G267" s="76"/>
    </row>
    <row r="268">
      <c r="A268" s="73"/>
      <c r="B268" s="74"/>
      <c r="C268" s="74"/>
      <c r="D268" s="73"/>
      <c r="E268" s="75"/>
      <c r="F268" s="75"/>
      <c r="G268" s="76"/>
    </row>
    <row r="269">
      <c r="A269" s="73"/>
      <c r="B269" s="74"/>
      <c r="C269" s="74"/>
      <c r="D269" s="73"/>
      <c r="E269" s="75"/>
      <c r="F269" s="75"/>
      <c r="G269" s="76"/>
    </row>
    <row r="270">
      <c r="A270" s="73"/>
      <c r="B270" s="74"/>
      <c r="C270" s="74"/>
      <c r="D270" s="73"/>
      <c r="E270" s="75"/>
      <c r="F270" s="75"/>
      <c r="G270" s="76"/>
    </row>
    <row r="271">
      <c r="A271" s="73"/>
      <c r="B271" s="74"/>
      <c r="C271" s="74"/>
      <c r="D271" s="73"/>
      <c r="E271" s="75"/>
      <c r="F271" s="75"/>
      <c r="G271" s="76"/>
    </row>
    <row r="272">
      <c r="A272" s="73"/>
      <c r="B272" s="74"/>
      <c r="C272" s="74"/>
      <c r="D272" s="73"/>
      <c r="E272" s="75"/>
      <c r="F272" s="75"/>
      <c r="G272" s="76"/>
    </row>
    <row r="273">
      <c r="A273" s="73"/>
      <c r="B273" s="74"/>
      <c r="C273" s="74"/>
      <c r="D273" s="73"/>
      <c r="E273" s="75"/>
      <c r="F273" s="75"/>
      <c r="G273" s="76"/>
    </row>
    <row r="274">
      <c r="A274" s="73"/>
      <c r="B274" s="74"/>
      <c r="C274" s="74"/>
      <c r="D274" s="73"/>
      <c r="E274" s="75"/>
      <c r="F274" s="75"/>
      <c r="G274" s="76"/>
    </row>
    <row r="275">
      <c r="A275" s="73"/>
      <c r="B275" s="74"/>
      <c r="C275" s="74"/>
      <c r="D275" s="73"/>
      <c r="E275" s="75"/>
      <c r="F275" s="75"/>
      <c r="G275" s="76"/>
    </row>
    <row r="276">
      <c r="A276" s="73"/>
      <c r="B276" s="74"/>
      <c r="C276" s="74"/>
      <c r="D276" s="73"/>
      <c r="E276" s="75"/>
      <c r="F276" s="75"/>
      <c r="G276" s="76"/>
    </row>
    <row r="277">
      <c r="A277" s="73"/>
      <c r="B277" s="74"/>
      <c r="C277" s="74"/>
      <c r="D277" s="73"/>
      <c r="E277" s="75"/>
      <c r="F277" s="75"/>
      <c r="G277" s="76"/>
    </row>
    <row r="278">
      <c r="A278" s="73"/>
      <c r="B278" s="74"/>
      <c r="C278" s="74"/>
      <c r="D278" s="73"/>
      <c r="E278" s="75"/>
      <c r="F278" s="75"/>
      <c r="G278" s="76"/>
    </row>
    <row r="279">
      <c r="A279" s="73"/>
      <c r="B279" s="74"/>
      <c r="C279" s="74"/>
      <c r="D279" s="73"/>
      <c r="E279" s="75"/>
      <c r="F279" s="75"/>
      <c r="G279" s="76"/>
    </row>
    <row r="280">
      <c r="A280" s="73"/>
      <c r="B280" s="74"/>
      <c r="C280" s="74"/>
      <c r="D280" s="73"/>
      <c r="E280" s="75"/>
      <c r="F280" s="75"/>
      <c r="G280" s="76"/>
    </row>
    <row r="281">
      <c r="A281" s="73"/>
      <c r="B281" s="74"/>
      <c r="C281" s="74"/>
      <c r="D281" s="73"/>
      <c r="E281" s="75"/>
      <c r="F281" s="75"/>
      <c r="G281" s="76"/>
    </row>
    <row r="282">
      <c r="A282" s="73"/>
      <c r="B282" s="74"/>
      <c r="C282" s="74"/>
      <c r="D282" s="73"/>
      <c r="E282" s="75"/>
      <c r="F282" s="75"/>
      <c r="G282" s="76"/>
    </row>
    <row r="283">
      <c r="A283" s="73"/>
      <c r="B283" s="74"/>
      <c r="C283" s="74"/>
      <c r="D283" s="73"/>
      <c r="E283" s="75"/>
      <c r="F283" s="75"/>
      <c r="G283" s="76"/>
    </row>
    <row r="284">
      <c r="A284" s="73"/>
      <c r="B284" s="74"/>
      <c r="C284" s="74"/>
      <c r="D284" s="73"/>
      <c r="E284" s="75"/>
      <c r="F284" s="75"/>
      <c r="G284" s="76"/>
    </row>
    <row r="285">
      <c r="A285" s="73"/>
      <c r="B285" s="74"/>
      <c r="C285" s="74"/>
      <c r="D285" s="73"/>
      <c r="E285" s="75"/>
      <c r="F285" s="75"/>
      <c r="G285" s="76"/>
    </row>
    <row r="286">
      <c r="A286" s="73"/>
      <c r="B286" s="74"/>
      <c r="C286" s="74"/>
      <c r="D286" s="73"/>
      <c r="E286" s="75"/>
      <c r="F286" s="75"/>
      <c r="G286" s="76"/>
    </row>
    <row r="287">
      <c r="A287" s="73"/>
      <c r="B287" s="74"/>
      <c r="C287" s="74"/>
      <c r="D287" s="73"/>
      <c r="E287" s="75"/>
      <c r="F287" s="75"/>
      <c r="G287" s="76"/>
    </row>
    <row r="288">
      <c r="A288" s="73"/>
      <c r="B288" s="74"/>
      <c r="C288" s="74"/>
      <c r="D288" s="73"/>
      <c r="E288" s="75"/>
      <c r="F288" s="75"/>
      <c r="G288" s="76"/>
    </row>
    <row r="289">
      <c r="A289" s="73"/>
      <c r="B289" s="74"/>
      <c r="C289" s="74"/>
      <c r="D289" s="73"/>
      <c r="E289" s="75"/>
      <c r="F289" s="75"/>
      <c r="G289" s="76"/>
    </row>
    <row r="290">
      <c r="A290" s="73"/>
      <c r="B290" s="74"/>
      <c r="C290" s="74"/>
      <c r="D290" s="73"/>
      <c r="E290" s="75"/>
      <c r="F290" s="75"/>
      <c r="G290" s="76"/>
    </row>
    <row r="291">
      <c r="A291" s="73"/>
      <c r="B291" s="74"/>
      <c r="C291" s="74"/>
      <c r="D291" s="73"/>
      <c r="E291" s="75"/>
      <c r="F291" s="75"/>
      <c r="G291" s="76"/>
    </row>
    <row r="292">
      <c r="A292" s="73"/>
      <c r="B292" s="74"/>
      <c r="C292" s="74"/>
      <c r="D292" s="73"/>
      <c r="E292" s="75"/>
      <c r="F292" s="75"/>
      <c r="G292" s="76"/>
    </row>
    <row r="293">
      <c r="A293" s="73"/>
      <c r="B293" s="74"/>
      <c r="C293" s="74"/>
      <c r="D293" s="73"/>
      <c r="E293" s="75"/>
      <c r="F293" s="75"/>
      <c r="G293" s="76"/>
    </row>
    <row r="294">
      <c r="A294" s="73"/>
      <c r="B294" s="74"/>
      <c r="C294" s="74"/>
      <c r="D294" s="73"/>
      <c r="E294" s="75"/>
      <c r="F294" s="75"/>
      <c r="G294" s="76"/>
    </row>
    <row r="295">
      <c r="A295" s="73"/>
      <c r="B295" s="74"/>
      <c r="C295" s="74"/>
      <c r="D295" s="73"/>
      <c r="E295" s="75"/>
      <c r="F295" s="75"/>
      <c r="G295" s="76"/>
    </row>
    <row r="296">
      <c r="A296" s="73"/>
      <c r="B296" s="74"/>
      <c r="C296" s="74"/>
      <c r="D296" s="73"/>
      <c r="E296" s="75"/>
      <c r="F296" s="75"/>
      <c r="G296" s="76"/>
    </row>
    <row r="297">
      <c r="A297" s="73"/>
      <c r="B297" s="74"/>
      <c r="C297" s="74"/>
      <c r="D297" s="73"/>
      <c r="E297" s="75"/>
      <c r="F297" s="75"/>
      <c r="G297" s="76"/>
    </row>
    <row r="298">
      <c r="A298" s="73"/>
      <c r="B298" s="74"/>
      <c r="C298" s="74"/>
      <c r="D298" s="73"/>
      <c r="E298" s="75"/>
      <c r="F298" s="75"/>
      <c r="G298" s="76"/>
    </row>
    <row r="299">
      <c r="A299" s="73"/>
      <c r="B299" s="74"/>
      <c r="C299" s="74"/>
      <c r="D299" s="73"/>
      <c r="E299" s="75"/>
      <c r="F299" s="75"/>
      <c r="G299" s="76"/>
    </row>
    <row r="300">
      <c r="A300" s="73"/>
      <c r="B300" s="74"/>
      <c r="C300" s="74"/>
      <c r="D300" s="73"/>
      <c r="E300" s="75"/>
      <c r="F300" s="75"/>
      <c r="G300" s="76"/>
    </row>
    <row r="301">
      <c r="A301" s="73"/>
      <c r="B301" s="74"/>
      <c r="C301" s="74"/>
      <c r="D301" s="73"/>
      <c r="E301" s="75"/>
      <c r="F301" s="75"/>
      <c r="G301" s="76"/>
    </row>
    <row r="302">
      <c r="A302" s="73"/>
      <c r="B302" s="74"/>
      <c r="C302" s="74"/>
      <c r="D302" s="73"/>
      <c r="E302" s="75"/>
      <c r="F302" s="75"/>
      <c r="G302" s="76"/>
    </row>
    <row r="303">
      <c r="A303" s="73"/>
      <c r="B303" s="74"/>
      <c r="C303" s="74"/>
      <c r="D303" s="73"/>
      <c r="E303" s="75"/>
      <c r="F303" s="75"/>
      <c r="G303" s="76"/>
    </row>
    <row r="304">
      <c r="A304" s="73"/>
      <c r="B304" s="74"/>
      <c r="C304" s="74"/>
      <c r="D304" s="73"/>
      <c r="E304" s="75"/>
      <c r="F304" s="75"/>
      <c r="G304" s="76"/>
    </row>
    <row r="305">
      <c r="A305" s="73"/>
      <c r="B305" s="74"/>
      <c r="C305" s="74"/>
      <c r="D305" s="73"/>
      <c r="E305" s="75"/>
      <c r="F305" s="75"/>
      <c r="G305" s="76"/>
    </row>
    <row r="306">
      <c r="A306" s="73"/>
      <c r="B306" s="74"/>
      <c r="C306" s="74"/>
      <c r="D306" s="73"/>
      <c r="E306" s="75"/>
      <c r="F306" s="75"/>
      <c r="G306" s="76"/>
    </row>
    <row r="307">
      <c r="A307" s="73"/>
      <c r="B307" s="74"/>
      <c r="C307" s="74"/>
      <c r="D307" s="73"/>
      <c r="E307" s="75"/>
      <c r="F307" s="75"/>
      <c r="G307" s="76"/>
    </row>
    <row r="308">
      <c r="A308" s="73"/>
      <c r="B308" s="74"/>
      <c r="C308" s="74"/>
      <c r="D308" s="73"/>
      <c r="E308" s="75"/>
      <c r="F308" s="75"/>
      <c r="G308" s="76"/>
    </row>
    <row r="309">
      <c r="A309" s="73"/>
      <c r="B309" s="74"/>
      <c r="C309" s="74"/>
      <c r="D309" s="73"/>
      <c r="E309" s="75"/>
      <c r="F309" s="75"/>
      <c r="G309" s="76"/>
    </row>
    <row r="310">
      <c r="A310" s="73"/>
      <c r="B310" s="74"/>
      <c r="C310" s="74"/>
      <c r="D310" s="73"/>
      <c r="E310" s="75"/>
      <c r="F310" s="75"/>
      <c r="G310" s="76"/>
    </row>
    <row r="311">
      <c r="A311" s="73"/>
      <c r="B311" s="74"/>
      <c r="C311" s="74"/>
      <c r="D311" s="73"/>
      <c r="E311" s="75"/>
      <c r="F311" s="75"/>
      <c r="G311" s="76"/>
    </row>
    <row r="312">
      <c r="A312" s="73"/>
      <c r="B312" s="74"/>
      <c r="C312" s="74"/>
      <c r="D312" s="73"/>
      <c r="E312" s="75"/>
      <c r="F312" s="75"/>
      <c r="G312" s="76"/>
    </row>
    <row r="313">
      <c r="A313" s="73"/>
      <c r="B313" s="74"/>
      <c r="C313" s="74"/>
      <c r="D313" s="73"/>
      <c r="E313" s="75"/>
      <c r="F313" s="75"/>
      <c r="G313" s="76"/>
    </row>
    <row r="314">
      <c r="A314" s="73"/>
      <c r="B314" s="74"/>
      <c r="C314" s="74"/>
      <c r="D314" s="73"/>
      <c r="E314" s="75"/>
      <c r="F314" s="75"/>
      <c r="G314" s="76"/>
    </row>
    <row r="315">
      <c r="A315" s="73"/>
      <c r="B315" s="74"/>
      <c r="C315" s="74"/>
      <c r="D315" s="73"/>
      <c r="E315" s="75"/>
      <c r="F315" s="75"/>
      <c r="G315" s="76"/>
    </row>
    <row r="316">
      <c r="A316" s="73"/>
      <c r="B316" s="74"/>
      <c r="C316" s="74"/>
      <c r="D316" s="73"/>
      <c r="E316" s="75"/>
      <c r="F316" s="75"/>
      <c r="G316" s="76"/>
    </row>
    <row r="317">
      <c r="A317" s="73"/>
      <c r="B317" s="74"/>
      <c r="C317" s="74"/>
      <c r="D317" s="73"/>
      <c r="E317" s="75"/>
      <c r="F317" s="75"/>
      <c r="G317" s="76"/>
    </row>
    <row r="318">
      <c r="A318" s="73"/>
      <c r="B318" s="74"/>
      <c r="C318" s="74"/>
      <c r="D318" s="73"/>
      <c r="E318" s="75"/>
      <c r="F318" s="75"/>
      <c r="G318" s="76"/>
    </row>
    <row r="319">
      <c r="A319" s="73"/>
      <c r="B319" s="74"/>
      <c r="C319" s="74"/>
      <c r="D319" s="73"/>
      <c r="E319" s="75"/>
      <c r="F319" s="75"/>
      <c r="G319" s="76"/>
    </row>
    <row r="320">
      <c r="A320" s="73"/>
      <c r="B320" s="74"/>
      <c r="C320" s="74"/>
      <c r="D320" s="73"/>
      <c r="E320" s="75"/>
      <c r="F320" s="75"/>
      <c r="G320" s="76"/>
    </row>
    <row r="321">
      <c r="A321" s="73"/>
      <c r="B321" s="74"/>
      <c r="C321" s="74"/>
      <c r="D321" s="73"/>
      <c r="E321" s="75"/>
      <c r="F321" s="75"/>
      <c r="G321" s="76"/>
    </row>
    <row r="322">
      <c r="A322" s="73"/>
      <c r="B322" s="74"/>
      <c r="C322" s="74"/>
      <c r="D322" s="73"/>
      <c r="E322" s="75"/>
      <c r="F322" s="75"/>
      <c r="G322" s="76"/>
    </row>
    <row r="323">
      <c r="A323" s="73"/>
      <c r="B323" s="74"/>
      <c r="C323" s="74"/>
      <c r="D323" s="73"/>
      <c r="E323" s="75"/>
      <c r="F323" s="75"/>
      <c r="G323" s="76"/>
    </row>
    <row r="324">
      <c r="A324" s="73"/>
      <c r="B324" s="74"/>
      <c r="C324" s="74"/>
      <c r="D324" s="73"/>
      <c r="E324" s="75"/>
      <c r="F324" s="75"/>
      <c r="G324" s="76"/>
    </row>
    <row r="325">
      <c r="A325" s="73"/>
      <c r="B325" s="74"/>
      <c r="C325" s="74"/>
      <c r="D325" s="73"/>
      <c r="E325" s="75"/>
      <c r="F325" s="75"/>
      <c r="G325" s="76"/>
    </row>
    <row r="326">
      <c r="A326" s="73"/>
      <c r="B326" s="74"/>
      <c r="C326" s="74"/>
      <c r="D326" s="73"/>
      <c r="E326" s="75"/>
      <c r="F326" s="75"/>
      <c r="G326" s="76"/>
    </row>
    <row r="327">
      <c r="A327" s="73"/>
      <c r="B327" s="74"/>
      <c r="C327" s="74"/>
      <c r="D327" s="73"/>
      <c r="E327" s="75"/>
      <c r="F327" s="75"/>
      <c r="G327" s="76"/>
    </row>
    <row r="328">
      <c r="A328" s="73"/>
      <c r="B328" s="74"/>
      <c r="C328" s="74"/>
      <c r="D328" s="73"/>
      <c r="E328" s="75"/>
      <c r="F328" s="75"/>
      <c r="G328" s="76"/>
    </row>
    <row r="329">
      <c r="A329" s="73"/>
      <c r="B329" s="74"/>
      <c r="C329" s="74"/>
      <c r="D329" s="73"/>
      <c r="E329" s="75"/>
      <c r="F329" s="75"/>
      <c r="G329" s="76"/>
    </row>
    <row r="330">
      <c r="A330" s="73"/>
      <c r="B330" s="74"/>
      <c r="C330" s="74"/>
      <c r="D330" s="73"/>
      <c r="E330" s="75"/>
      <c r="F330" s="75"/>
      <c r="G330" s="76"/>
    </row>
    <row r="331">
      <c r="A331" s="73"/>
      <c r="B331" s="74"/>
      <c r="C331" s="74"/>
      <c r="D331" s="73"/>
      <c r="E331" s="75"/>
      <c r="F331" s="75"/>
      <c r="G331" s="76"/>
    </row>
    <row r="332">
      <c r="A332" s="73"/>
      <c r="B332" s="74"/>
      <c r="C332" s="74"/>
      <c r="D332" s="73"/>
      <c r="E332" s="75"/>
      <c r="F332" s="75"/>
      <c r="G332" s="76"/>
    </row>
    <row r="333">
      <c r="A333" s="73"/>
      <c r="B333" s="74"/>
      <c r="C333" s="74"/>
      <c r="D333" s="73"/>
      <c r="E333" s="75"/>
      <c r="F333" s="75"/>
      <c r="G333" s="76"/>
    </row>
    <row r="334">
      <c r="A334" s="73"/>
      <c r="B334" s="74"/>
      <c r="C334" s="74"/>
      <c r="D334" s="73"/>
      <c r="E334" s="75"/>
      <c r="F334" s="75"/>
      <c r="G334" s="76"/>
    </row>
    <row r="335">
      <c r="A335" s="73"/>
      <c r="B335" s="74"/>
      <c r="C335" s="74"/>
      <c r="D335" s="73"/>
      <c r="E335" s="75"/>
      <c r="F335" s="75"/>
      <c r="G335" s="76"/>
    </row>
    <row r="336">
      <c r="A336" s="73"/>
      <c r="B336" s="74"/>
      <c r="C336" s="74"/>
      <c r="D336" s="73"/>
      <c r="E336" s="75"/>
      <c r="F336" s="75"/>
      <c r="G336" s="76"/>
    </row>
    <row r="337">
      <c r="A337" s="73"/>
      <c r="B337" s="74"/>
      <c r="C337" s="74"/>
      <c r="D337" s="73"/>
      <c r="E337" s="75"/>
      <c r="F337" s="75"/>
      <c r="G337" s="76"/>
    </row>
    <row r="338">
      <c r="A338" s="73"/>
      <c r="B338" s="74"/>
      <c r="C338" s="74"/>
      <c r="D338" s="73"/>
      <c r="E338" s="75"/>
      <c r="F338" s="75"/>
      <c r="G338" s="76"/>
    </row>
    <row r="339">
      <c r="A339" s="73"/>
      <c r="B339" s="74"/>
      <c r="C339" s="74"/>
      <c r="D339" s="73"/>
      <c r="E339" s="75"/>
      <c r="F339" s="75"/>
      <c r="G339" s="76"/>
    </row>
    <row r="340">
      <c r="A340" s="73"/>
      <c r="B340" s="74"/>
      <c r="C340" s="74"/>
      <c r="D340" s="73"/>
      <c r="E340" s="75"/>
      <c r="F340" s="75"/>
      <c r="G340" s="76"/>
    </row>
    <row r="341">
      <c r="A341" s="73"/>
      <c r="B341" s="74"/>
      <c r="C341" s="74"/>
      <c r="D341" s="73"/>
      <c r="E341" s="75"/>
      <c r="F341" s="75"/>
      <c r="G341" s="76"/>
    </row>
    <row r="342">
      <c r="A342" s="73"/>
      <c r="B342" s="74"/>
      <c r="C342" s="74"/>
      <c r="D342" s="73"/>
      <c r="E342" s="75"/>
      <c r="F342" s="75"/>
      <c r="G342" s="76"/>
    </row>
    <row r="343">
      <c r="A343" s="73"/>
      <c r="B343" s="74"/>
      <c r="C343" s="74"/>
      <c r="D343" s="73"/>
      <c r="E343" s="75"/>
      <c r="F343" s="75"/>
      <c r="G343" s="76"/>
    </row>
    <row r="344">
      <c r="A344" s="73"/>
      <c r="B344" s="74"/>
      <c r="C344" s="74"/>
      <c r="D344" s="73"/>
      <c r="E344" s="75"/>
      <c r="F344" s="75"/>
      <c r="G344" s="76"/>
    </row>
    <row r="345">
      <c r="A345" s="73"/>
      <c r="B345" s="74"/>
      <c r="C345" s="74"/>
      <c r="D345" s="73"/>
      <c r="E345" s="75"/>
      <c r="F345" s="75"/>
      <c r="G345" s="76"/>
    </row>
    <row r="346">
      <c r="A346" s="73"/>
      <c r="B346" s="74"/>
      <c r="C346" s="74"/>
      <c r="D346" s="73"/>
      <c r="E346" s="75"/>
      <c r="F346" s="75"/>
      <c r="G346" s="76"/>
    </row>
    <row r="347">
      <c r="A347" s="73"/>
      <c r="B347" s="74"/>
      <c r="C347" s="74"/>
      <c r="D347" s="73"/>
      <c r="E347" s="75"/>
      <c r="F347" s="75"/>
      <c r="G347" s="76"/>
    </row>
    <row r="348">
      <c r="A348" s="73"/>
      <c r="B348" s="74"/>
      <c r="C348" s="74"/>
      <c r="D348" s="73"/>
      <c r="E348" s="75"/>
      <c r="F348" s="75"/>
      <c r="G348" s="76"/>
    </row>
    <row r="349">
      <c r="A349" s="73"/>
      <c r="B349" s="74"/>
      <c r="C349" s="74"/>
      <c r="D349" s="73"/>
      <c r="E349" s="75"/>
      <c r="F349" s="75"/>
      <c r="G349" s="76"/>
    </row>
    <row r="350">
      <c r="A350" s="73"/>
      <c r="B350" s="74"/>
      <c r="C350" s="74"/>
      <c r="D350" s="73"/>
      <c r="E350" s="75"/>
      <c r="F350" s="75"/>
      <c r="G350" s="76"/>
    </row>
    <row r="351">
      <c r="A351" s="73"/>
      <c r="B351" s="74"/>
      <c r="C351" s="74"/>
      <c r="D351" s="73"/>
      <c r="E351" s="75"/>
      <c r="F351" s="75"/>
      <c r="G351" s="76"/>
    </row>
    <row r="352">
      <c r="A352" s="73"/>
      <c r="B352" s="74"/>
      <c r="C352" s="74"/>
      <c r="D352" s="73"/>
      <c r="E352" s="75"/>
      <c r="F352" s="75"/>
      <c r="G352" s="76"/>
    </row>
    <row r="353">
      <c r="A353" s="73"/>
      <c r="B353" s="74"/>
      <c r="C353" s="74"/>
      <c r="D353" s="73"/>
      <c r="E353" s="75"/>
      <c r="F353" s="75"/>
      <c r="G353" s="76"/>
    </row>
    <row r="354">
      <c r="A354" s="73"/>
      <c r="B354" s="74"/>
      <c r="C354" s="74"/>
      <c r="D354" s="73"/>
      <c r="E354" s="75"/>
      <c r="F354" s="75"/>
      <c r="G354" s="76"/>
    </row>
    <row r="355">
      <c r="A355" s="73"/>
      <c r="B355" s="74"/>
      <c r="C355" s="74"/>
      <c r="D355" s="73"/>
      <c r="E355" s="75"/>
      <c r="F355" s="75"/>
      <c r="G355" s="76"/>
    </row>
    <row r="356">
      <c r="A356" s="73"/>
      <c r="B356" s="74"/>
      <c r="C356" s="74"/>
      <c r="D356" s="73"/>
      <c r="E356" s="75"/>
      <c r="F356" s="75"/>
      <c r="G356" s="76"/>
    </row>
    <row r="357">
      <c r="A357" s="73"/>
      <c r="B357" s="74"/>
      <c r="C357" s="74"/>
      <c r="D357" s="73"/>
      <c r="E357" s="75"/>
      <c r="F357" s="75"/>
      <c r="G357" s="76"/>
    </row>
    <row r="358">
      <c r="A358" s="73"/>
      <c r="B358" s="74"/>
      <c r="C358" s="74"/>
      <c r="D358" s="73"/>
      <c r="E358" s="75"/>
      <c r="F358" s="75"/>
      <c r="G358" s="76"/>
    </row>
    <row r="359">
      <c r="A359" s="73"/>
      <c r="B359" s="74"/>
      <c r="C359" s="74"/>
      <c r="D359" s="73"/>
      <c r="E359" s="75"/>
      <c r="F359" s="75"/>
      <c r="G359" s="76"/>
    </row>
    <row r="360">
      <c r="A360" s="73"/>
      <c r="B360" s="74"/>
      <c r="C360" s="74"/>
      <c r="D360" s="73"/>
      <c r="E360" s="75"/>
      <c r="F360" s="75"/>
      <c r="G360" s="76"/>
    </row>
    <row r="361">
      <c r="A361" s="73"/>
      <c r="B361" s="74"/>
      <c r="C361" s="74"/>
      <c r="D361" s="73"/>
      <c r="E361" s="75"/>
      <c r="F361" s="75"/>
      <c r="G361" s="76"/>
    </row>
    <row r="362">
      <c r="A362" s="73"/>
      <c r="B362" s="74"/>
      <c r="C362" s="74"/>
      <c r="D362" s="73"/>
      <c r="E362" s="75"/>
      <c r="F362" s="75"/>
      <c r="G362" s="76"/>
    </row>
    <row r="363">
      <c r="A363" s="73"/>
      <c r="B363" s="74"/>
      <c r="C363" s="74"/>
      <c r="D363" s="73"/>
      <c r="E363" s="75"/>
      <c r="F363" s="75"/>
      <c r="G363" s="76"/>
    </row>
    <row r="364">
      <c r="A364" s="73"/>
      <c r="B364" s="74"/>
      <c r="C364" s="74"/>
      <c r="D364" s="73"/>
      <c r="E364" s="75"/>
      <c r="F364" s="75"/>
      <c r="G364" s="76"/>
    </row>
    <row r="365">
      <c r="A365" s="73"/>
      <c r="B365" s="74"/>
      <c r="C365" s="74"/>
      <c r="D365" s="73"/>
      <c r="E365" s="75"/>
      <c r="F365" s="75"/>
      <c r="G365" s="76"/>
    </row>
    <row r="366">
      <c r="A366" s="73"/>
      <c r="B366" s="74"/>
      <c r="C366" s="74"/>
      <c r="D366" s="73"/>
      <c r="E366" s="75"/>
      <c r="F366" s="75"/>
      <c r="G366" s="76"/>
    </row>
    <row r="367">
      <c r="A367" s="73"/>
      <c r="B367" s="74"/>
      <c r="C367" s="74"/>
      <c r="D367" s="73"/>
      <c r="E367" s="75"/>
      <c r="F367" s="75"/>
      <c r="G367" s="76"/>
    </row>
    <row r="368">
      <c r="A368" s="73"/>
      <c r="B368" s="74"/>
      <c r="C368" s="74"/>
      <c r="D368" s="73"/>
      <c r="E368" s="75"/>
      <c r="F368" s="75"/>
      <c r="G368" s="76"/>
    </row>
    <row r="369">
      <c r="A369" s="73"/>
      <c r="B369" s="74"/>
      <c r="C369" s="74"/>
      <c r="D369" s="73"/>
      <c r="E369" s="75"/>
      <c r="F369" s="75"/>
      <c r="G369" s="76"/>
    </row>
    <row r="370">
      <c r="A370" s="73"/>
      <c r="B370" s="74"/>
      <c r="C370" s="74"/>
      <c r="D370" s="73"/>
      <c r="E370" s="75"/>
      <c r="F370" s="75"/>
      <c r="G370" s="76"/>
    </row>
    <row r="371">
      <c r="A371" s="73"/>
      <c r="B371" s="74"/>
      <c r="C371" s="74"/>
      <c r="D371" s="73"/>
      <c r="E371" s="75"/>
      <c r="F371" s="75"/>
      <c r="G371" s="76"/>
    </row>
    <row r="372">
      <c r="A372" s="73"/>
      <c r="B372" s="74"/>
      <c r="C372" s="74"/>
      <c r="D372" s="73"/>
      <c r="E372" s="75"/>
      <c r="F372" s="75"/>
      <c r="G372" s="76"/>
    </row>
    <row r="373">
      <c r="A373" s="73"/>
      <c r="B373" s="74"/>
      <c r="C373" s="74"/>
      <c r="D373" s="73"/>
      <c r="E373" s="75"/>
      <c r="F373" s="75"/>
      <c r="G373" s="76"/>
    </row>
    <row r="374">
      <c r="A374" s="73"/>
      <c r="B374" s="74"/>
      <c r="C374" s="74"/>
      <c r="D374" s="73"/>
      <c r="E374" s="75"/>
      <c r="F374" s="75"/>
      <c r="G374" s="76"/>
    </row>
    <row r="375">
      <c r="A375" s="73"/>
      <c r="B375" s="74"/>
      <c r="C375" s="74"/>
      <c r="D375" s="73"/>
      <c r="E375" s="75"/>
      <c r="F375" s="75"/>
      <c r="G375" s="76"/>
    </row>
    <row r="376">
      <c r="A376" s="73"/>
      <c r="B376" s="74"/>
      <c r="C376" s="74"/>
      <c r="D376" s="73"/>
      <c r="E376" s="75"/>
      <c r="F376" s="75"/>
      <c r="G376" s="76"/>
    </row>
    <row r="377">
      <c r="A377" s="73"/>
      <c r="B377" s="74"/>
      <c r="C377" s="74"/>
      <c r="D377" s="73"/>
      <c r="E377" s="75"/>
      <c r="F377" s="75"/>
      <c r="G377" s="76"/>
    </row>
    <row r="378">
      <c r="A378" s="73"/>
      <c r="B378" s="74"/>
      <c r="C378" s="74"/>
      <c r="D378" s="73"/>
      <c r="E378" s="75"/>
      <c r="F378" s="75"/>
      <c r="G378" s="76"/>
    </row>
    <row r="379">
      <c r="A379" s="73"/>
      <c r="B379" s="74"/>
      <c r="C379" s="74"/>
      <c r="D379" s="73"/>
      <c r="E379" s="75"/>
      <c r="F379" s="75"/>
      <c r="G379" s="76"/>
    </row>
    <row r="380">
      <c r="A380" s="73"/>
      <c r="B380" s="74"/>
      <c r="C380" s="74"/>
      <c r="D380" s="73"/>
      <c r="E380" s="75"/>
      <c r="F380" s="75"/>
      <c r="G380" s="76"/>
    </row>
    <row r="381">
      <c r="A381" s="73"/>
      <c r="B381" s="74"/>
      <c r="C381" s="74"/>
      <c r="D381" s="73"/>
      <c r="E381" s="75"/>
      <c r="F381" s="75"/>
      <c r="G381" s="76"/>
    </row>
    <row r="382">
      <c r="A382" s="73"/>
      <c r="B382" s="74"/>
      <c r="C382" s="74"/>
      <c r="D382" s="73"/>
      <c r="E382" s="75"/>
      <c r="F382" s="75"/>
      <c r="G382" s="76"/>
    </row>
    <row r="383">
      <c r="A383" s="73"/>
      <c r="B383" s="74"/>
      <c r="C383" s="74"/>
      <c r="D383" s="73"/>
      <c r="E383" s="75"/>
      <c r="F383" s="75"/>
      <c r="G383" s="76"/>
    </row>
    <row r="384">
      <c r="A384" s="73"/>
      <c r="B384" s="74"/>
      <c r="C384" s="74"/>
      <c r="D384" s="73"/>
      <c r="E384" s="75"/>
      <c r="F384" s="75"/>
      <c r="G384" s="76"/>
    </row>
    <row r="385">
      <c r="A385" s="73"/>
      <c r="B385" s="74"/>
      <c r="C385" s="74"/>
      <c r="D385" s="73"/>
      <c r="E385" s="75"/>
      <c r="F385" s="75"/>
      <c r="G385" s="76"/>
    </row>
    <row r="386">
      <c r="A386" s="73"/>
      <c r="B386" s="74"/>
      <c r="C386" s="74"/>
      <c r="D386" s="73"/>
      <c r="E386" s="75"/>
      <c r="F386" s="75"/>
      <c r="G386" s="76"/>
    </row>
    <row r="387">
      <c r="A387" s="73"/>
      <c r="B387" s="74"/>
      <c r="C387" s="74"/>
      <c r="D387" s="73"/>
      <c r="E387" s="75"/>
      <c r="F387" s="75"/>
      <c r="G387" s="76"/>
    </row>
    <row r="388">
      <c r="A388" s="73"/>
      <c r="B388" s="74"/>
      <c r="C388" s="74"/>
      <c r="D388" s="73"/>
      <c r="E388" s="75"/>
      <c r="F388" s="75"/>
      <c r="G388" s="76"/>
    </row>
    <row r="389">
      <c r="A389" s="73"/>
      <c r="B389" s="74"/>
      <c r="C389" s="74"/>
      <c r="D389" s="73"/>
      <c r="E389" s="75"/>
      <c r="F389" s="75"/>
      <c r="G389" s="76"/>
    </row>
    <row r="390">
      <c r="A390" s="73"/>
      <c r="B390" s="74"/>
      <c r="C390" s="74"/>
      <c r="D390" s="73"/>
      <c r="E390" s="75"/>
      <c r="F390" s="75"/>
      <c r="G390" s="76"/>
    </row>
    <row r="391">
      <c r="A391" s="73"/>
      <c r="B391" s="74"/>
      <c r="C391" s="74"/>
      <c r="D391" s="73"/>
      <c r="E391" s="75"/>
      <c r="F391" s="75"/>
      <c r="G391" s="76"/>
    </row>
    <row r="392">
      <c r="A392" s="73"/>
      <c r="B392" s="74"/>
      <c r="C392" s="74"/>
      <c r="D392" s="73"/>
      <c r="E392" s="75"/>
      <c r="F392" s="75"/>
      <c r="G392" s="76"/>
    </row>
    <row r="393">
      <c r="A393" s="73"/>
      <c r="B393" s="74"/>
      <c r="C393" s="74"/>
      <c r="D393" s="73"/>
      <c r="E393" s="75"/>
      <c r="F393" s="75"/>
      <c r="G393" s="76"/>
    </row>
    <row r="394">
      <c r="A394" s="73"/>
      <c r="B394" s="74"/>
      <c r="C394" s="74"/>
      <c r="D394" s="73"/>
      <c r="E394" s="75"/>
      <c r="F394" s="75"/>
      <c r="G394" s="76"/>
    </row>
    <row r="395">
      <c r="A395" s="73"/>
      <c r="B395" s="74"/>
      <c r="C395" s="74"/>
      <c r="D395" s="73"/>
      <c r="E395" s="75"/>
      <c r="F395" s="75"/>
      <c r="G395" s="76"/>
    </row>
    <row r="396">
      <c r="A396" s="73"/>
      <c r="B396" s="74"/>
      <c r="C396" s="74"/>
      <c r="D396" s="73"/>
      <c r="E396" s="75"/>
      <c r="F396" s="75"/>
      <c r="G396" s="76"/>
    </row>
    <row r="397">
      <c r="A397" s="73"/>
      <c r="B397" s="74"/>
      <c r="C397" s="74"/>
      <c r="D397" s="73"/>
      <c r="E397" s="75"/>
      <c r="F397" s="75"/>
      <c r="G397" s="76"/>
    </row>
    <row r="398">
      <c r="A398" s="73"/>
      <c r="B398" s="74"/>
      <c r="C398" s="74"/>
      <c r="D398" s="73"/>
      <c r="E398" s="75"/>
      <c r="F398" s="75"/>
      <c r="G398" s="76"/>
    </row>
    <row r="399">
      <c r="A399" s="73"/>
      <c r="B399" s="74"/>
      <c r="C399" s="74"/>
      <c r="D399" s="73"/>
      <c r="E399" s="75"/>
      <c r="F399" s="75"/>
      <c r="G399" s="76"/>
    </row>
    <row r="400">
      <c r="A400" s="73"/>
      <c r="B400" s="74"/>
      <c r="C400" s="74"/>
      <c r="D400" s="73"/>
      <c r="E400" s="75"/>
      <c r="F400" s="75"/>
      <c r="G400" s="76"/>
    </row>
    <row r="401">
      <c r="A401" s="73"/>
      <c r="B401" s="74"/>
      <c r="C401" s="74"/>
      <c r="D401" s="73"/>
      <c r="E401" s="75"/>
      <c r="F401" s="75"/>
      <c r="G401" s="76"/>
    </row>
    <row r="402">
      <c r="A402" s="73"/>
      <c r="B402" s="74"/>
      <c r="C402" s="74"/>
      <c r="D402" s="73"/>
      <c r="E402" s="75"/>
      <c r="F402" s="75"/>
      <c r="G402" s="76"/>
    </row>
    <row r="403">
      <c r="A403" s="73"/>
      <c r="B403" s="74"/>
      <c r="C403" s="74"/>
      <c r="D403" s="73"/>
      <c r="E403" s="75"/>
      <c r="F403" s="75"/>
      <c r="G403" s="76"/>
    </row>
    <row r="404">
      <c r="A404" s="73"/>
      <c r="B404" s="74"/>
      <c r="C404" s="74"/>
      <c r="D404" s="73"/>
      <c r="E404" s="75"/>
      <c r="F404" s="75"/>
      <c r="G404" s="76"/>
    </row>
    <row r="405">
      <c r="A405" s="73"/>
      <c r="B405" s="74"/>
      <c r="C405" s="74"/>
      <c r="D405" s="73"/>
      <c r="E405" s="75"/>
      <c r="F405" s="75"/>
      <c r="G405" s="76"/>
    </row>
    <row r="406">
      <c r="A406" s="73"/>
      <c r="B406" s="74"/>
      <c r="C406" s="74"/>
      <c r="D406" s="73"/>
      <c r="E406" s="75"/>
      <c r="F406" s="75"/>
      <c r="G406" s="76"/>
    </row>
    <row r="407">
      <c r="A407" s="73"/>
      <c r="B407" s="74"/>
      <c r="C407" s="74"/>
      <c r="D407" s="73"/>
      <c r="E407" s="75"/>
      <c r="F407" s="75"/>
      <c r="G407" s="76"/>
    </row>
    <row r="408">
      <c r="A408" s="73"/>
      <c r="B408" s="74"/>
      <c r="C408" s="74"/>
      <c r="D408" s="73"/>
      <c r="E408" s="75"/>
      <c r="F408" s="75"/>
      <c r="G408" s="76"/>
    </row>
    <row r="409">
      <c r="A409" s="73"/>
      <c r="B409" s="74"/>
      <c r="C409" s="74"/>
      <c r="D409" s="73"/>
      <c r="E409" s="75"/>
      <c r="F409" s="75"/>
      <c r="G409" s="76"/>
    </row>
    <row r="410">
      <c r="A410" s="73"/>
      <c r="B410" s="74"/>
      <c r="C410" s="74"/>
      <c r="D410" s="73"/>
      <c r="E410" s="75"/>
      <c r="F410" s="75"/>
      <c r="G410" s="76"/>
    </row>
    <row r="411">
      <c r="A411" s="73"/>
      <c r="B411" s="74"/>
      <c r="C411" s="74"/>
      <c r="D411" s="73"/>
      <c r="E411" s="75"/>
      <c r="F411" s="75"/>
      <c r="G411" s="76"/>
    </row>
    <row r="412">
      <c r="A412" s="73"/>
      <c r="B412" s="74"/>
      <c r="C412" s="74"/>
      <c r="D412" s="73"/>
      <c r="E412" s="75"/>
      <c r="F412" s="75"/>
      <c r="G412" s="76"/>
    </row>
    <row r="413">
      <c r="A413" s="73"/>
      <c r="B413" s="74"/>
      <c r="C413" s="74"/>
      <c r="D413" s="73"/>
      <c r="E413" s="75"/>
      <c r="F413" s="75"/>
      <c r="G413" s="76"/>
    </row>
    <row r="414">
      <c r="A414" s="73"/>
      <c r="B414" s="74"/>
      <c r="C414" s="74"/>
      <c r="D414" s="73"/>
      <c r="E414" s="75"/>
      <c r="F414" s="75"/>
      <c r="G414" s="76"/>
    </row>
    <row r="415">
      <c r="A415" s="73"/>
      <c r="B415" s="74"/>
      <c r="C415" s="74"/>
      <c r="D415" s="73"/>
      <c r="E415" s="75"/>
      <c r="F415" s="75"/>
      <c r="G415" s="76"/>
    </row>
    <row r="416">
      <c r="A416" s="73"/>
      <c r="B416" s="74"/>
      <c r="C416" s="74"/>
      <c r="D416" s="73"/>
      <c r="E416" s="75"/>
      <c r="F416" s="75"/>
      <c r="G416" s="76"/>
    </row>
    <row r="417">
      <c r="A417" s="73"/>
      <c r="B417" s="74"/>
      <c r="C417" s="74"/>
      <c r="D417" s="73"/>
      <c r="E417" s="75"/>
      <c r="F417" s="75"/>
      <c r="G417" s="76"/>
    </row>
    <row r="418">
      <c r="A418" s="73"/>
      <c r="B418" s="74"/>
      <c r="C418" s="74"/>
      <c r="D418" s="73"/>
      <c r="E418" s="75"/>
      <c r="F418" s="75"/>
      <c r="G418" s="76"/>
    </row>
    <row r="419">
      <c r="A419" s="73"/>
      <c r="B419" s="74"/>
      <c r="C419" s="74"/>
      <c r="D419" s="73"/>
      <c r="E419" s="75"/>
      <c r="F419" s="75"/>
      <c r="G419" s="76"/>
    </row>
    <row r="420">
      <c r="A420" s="73"/>
      <c r="B420" s="74"/>
      <c r="C420" s="74"/>
      <c r="D420" s="73"/>
      <c r="E420" s="75"/>
      <c r="F420" s="75"/>
      <c r="G420" s="76"/>
    </row>
    <row r="421">
      <c r="A421" s="73"/>
      <c r="B421" s="74"/>
      <c r="C421" s="74"/>
      <c r="D421" s="73"/>
      <c r="E421" s="75"/>
      <c r="F421" s="75"/>
      <c r="G421" s="76"/>
    </row>
    <row r="422">
      <c r="A422" s="73"/>
      <c r="B422" s="74"/>
      <c r="C422" s="74"/>
      <c r="D422" s="73"/>
      <c r="E422" s="75"/>
      <c r="F422" s="75"/>
      <c r="G422" s="76"/>
    </row>
    <row r="423">
      <c r="A423" s="73"/>
      <c r="B423" s="74"/>
      <c r="C423" s="74"/>
      <c r="D423" s="73"/>
      <c r="E423" s="75"/>
      <c r="F423" s="75"/>
      <c r="G423" s="76"/>
    </row>
    <row r="424">
      <c r="A424" s="73"/>
      <c r="B424" s="74"/>
      <c r="C424" s="74"/>
      <c r="D424" s="73"/>
      <c r="E424" s="75"/>
      <c r="F424" s="75"/>
      <c r="G424" s="76"/>
    </row>
    <row r="425">
      <c r="A425" s="73"/>
      <c r="B425" s="74"/>
      <c r="C425" s="74"/>
      <c r="D425" s="73"/>
      <c r="E425" s="75"/>
      <c r="F425" s="75"/>
      <c r="G425" s="76"/>
    </row>
    <row r="426">
      <c r="A426" s="73"/>
      <c r="B426" s="74"/>
      <c r="C426" s="74"/>
      <c r="D426" s="73"/>
      <c r="E426" s="75"/>
      <c r="F426" s="75"/>
      <c r="G426" s="76"/>
    </row>
    <row r="427">
      <c r="A427" s="73"/>
      <c r="B427" s="74"/>
      <c r="C427" s="74"/>
      <c r="D427" s="73"/>
      <c r="E427" s="75"/>
      <c r="F427" s="75"/>
      <c r="G427" s="76"/>
    </row>
    <row r="428">
      <c r="A428" s="73"/>
      <c r="B428" s="74"/>
      <c r="C428" s="74"/>
      <c r="D428" s="73"/>
      <c r="E428" s="75"/>
      <c r="F428" s="75"/>
      <c r="G428" s="76"/>
    </row>
    <row r="429">
      <c r="A429" s="73"/>
      <c r="B429" s="74"/>
      <c r="C429" s="74"/>
      <c r="D429" s="73"/>
      <c r="E429" s="75"/>
      <c r="F429" s="75"/>
      <c r="G429" s="76"/>
    </row>
    <row r="430">
      <c r="A430" s="73"/>
      <c r="B430" s="74"/>
      <c r="C430" s="74"/>
      <c r="D430" s="73"/>
      <c r="E430" s="75"/>
      <c r="F430" s="75"/>
      <c r="G430" s="76"/>
    </row>
    <row r="431">
      <c r="A431" s="73"/>
      <c r="B431" s="74"/>
      <c r="C431" s="74"/>
      <c r="D431" s="73"/>
      <c r="E431" s="75"/>
      <c r="F431" s="75"/>
      <c r="G431" s="76"/>
    </row>
    <row r="432">
      <c r="A432" s="73"/>
      <c r="B432" s="74"/>
      <c r="C432" s="74"/>
      <c r="D432" s="73"/>
      <c r="E432" s="75"/>
      <c r="F432" s="75"/>
      <c r="G432" s="76"/>
    </row>
    <row r="433">
      <c r="A433" s="73"/>
      <c r="B433" s="74"/>
      <c r="C433" s="74"/>
      <c r="D433" s="73"/>
      <c r="E433" s="75"/>
      <c r="F433" s="75"/>
      <c r="G433" s="76"/>
    </row>
    <row r="434">
      <c r="A434" s="73"/>
      <c r="B434" s="74"/>
      <c r="C434" s="74"/>
      <c r="D434" s="73"/>
      <c r="E434" s="75"/>
      <c r="F434" s="75"/>
      <c r="G434" s="76"/>
    </row>
    <row r="435">
      <c r="A435" s="73"/>
      <c r="B435" s="74"/>
      <c r="C435" s="74"/>
      <c r="D435" s="73"/>
      <c r="E435" s="75"/>
      <c r="F435" s="75"/>
      <c r="G435" s="76"/>
    </row>
    <row r="436">
      <c r="A436" s="73"/>
      <c r="B436" s="74"/>
      <c r="C436" s="74"/>
      <c r="D436" s="73"/>
      <c r="E436" s="75"/>
      <c r="F436" s="75"/>
      <c r="G436" s="76"/>
    </row>
    <row r="437">
      <c r="A437" s="73"/>
      <c r="B437" s="74"/>
      <c r="C437" s="74"/>
      <c r="D437" s="73"/>
      <c r="E437" s="75"/>
      <c r="F437" s="75"/>
      <c r="G437" s="76"/>
    </row>
    <row r="438">
      <c r="A438" s="73"/>
      <c r="B438" s="74"/>
      <c r="C438" s="74"/>
      <c r="D438" s="73"/>
      <c r="E438" s="75"/>
      <c r="F438" s="75"/>
      <c r="G438" s="76"/>
    </row>
    <row r="439">
      <c r="A439" s="73"/>
      <c r="B439" s="74"/>
      <c r="C439" s="74"/>
      <c r="D439" s="73"/>
      <c r="E439" s="75"/>
      <c r="F439" s="75"/>
      <c r="G439" s="76"/>
    </row>
    <row r="440">
      <c r="A440" s="73"/>
      <c r="B440" s="74"/>
      <c r="C440" s="74"/>
      <c r="D440" s="73"/>
      <c r="E440" s="75"/>
      <c r="F440" s="75"/>
      <c r="G440" s="76"/>
    </row>
    <row r="441">
      <c r="A441" s="73"/>
      <c r="B441" s="74"/>
      <c r="C441" s="74"/>
      <c r="D441" s="73"/>
      <c r="E441" s="75"/>
      <c r="F441" s="75"/>
      <c r="G441" s="76"/>
    </row>
    <row r="442">
      <c r="A442" s="73"/>
      <c r="B442" s="74"/>
      <c r="C442" s="74"/>
      <c r="D442" s="73"/>
      <c r="E442" s="75"/>
      <c r="F442" s="75"/>
      <c r="G442" s="76"/>
    </row>
    <row r="443">
      <c r="A443" s="73"/>
      <c r="B443" s="74"/>
      <c r="C443" s="74"/>
      <c r="D443" s="73"/>
      <c r="E443" s="75"/>
      <c r="F443" s="75"/>
      <c r="G443" s="76"/>
    </row>
    <row r="444">
      <c r="A444" s="73"/>
      <c r="B444" s="74"/>
      <c r="C444" s="74"/>
      <c r="D444" s="73"/>
      <c r="E444" s="75"/>
      <c r="F444" s="75"/>
      <c r="G444" s="76"/>
    </row>
    <row r="445">
      <c r="A445" s="73"/>
      <c r="B445" s="74"/>
      <c r="C445" s="74"/>
      <c r="D445" s="73"/>
      <c r="E445" s="75"/>
      <c r="F445" s="75"/>
      <c r="G445" s="76"/>
    </row>
    <row r="446">
      <c r="A446" s="73"/>
      <c r="B446" s="74"/>
      <c r="C446" s="74"/>
      <c r="D446" s="73"/>
      <c r="E446" s="75"/>
      <c r="F446" s="75"/>
      <c r="G446" s="76"/>
    </row>
    <row r="447">
      <c r="A447" s="73"/>
      <c r="B447" s="74"/>
      <c r="C447" s="74"/>
      <c r="D447" s="73"/>
      <c r="E447" s="75"/>
      <c r="F447" s="75"/>
      <c r="G447" s="76"/>
    </row>
    <row r="448">
      <c r="A448" s="73"/>
      <c r="B448" s="74"/>
      <c r="C448" s="74"/>
      <c r="D448" s="73"/>
      <c r="E448" s="75"/>
      <c r="F448" s="75"/>
      <c r="G448" s="76"/>
    </row>
    <row r="449">
      <c r="A449" s="73"/>
      <c r="B449" s="74"/>
      <c r="C449" s="74"/>
      <c r="D449" s="73"/>
      <c r="E449" s="75"/>
      <c r="F449" s="75"/>
      <c r="G449" s="76"/>
    </row>
    <row r="450">
      <c r="A450" s="73"/>
      <c r="B450" s="74"/>
      <c r="C450" s="74"/>
      <c r="D450" s="73"/>
      <c r="E450" s="75"/>
      <c r="F450" s="75"/>
      <c r="G450" s="76"/>
    </row>
    <row r="451">
      <c r="A451" s="73"/>
      <c r="B451" s="74"/>
      <c r="C451" s="74"/>
      <c r="D451" s="73"/>
      <c r="E451" s="75"/>
      <c r="F451" s="75"/>
      <c r="G451" s="76"/>
    </row>
    <row r="452">
      <c r="A452" s="73"/>
      <c r="B452" s="74"/>
      <c r="C452" s="74"/>
      <c r="D452" s="73"/>
      <c r="E452" s="75"/>
      <c r="F452" s="75"/>
      <c r="G452" s="76"/>
    </row>
    <row r="453">
      <c r="A453" s="73"/>
      <c r="B453" s="74"/>
      <c r="C453" s="74"/>
      <c r="D453" s="73"/>
      <c r="E453" s="75"/>
      <c r="F453" s="75"/>
      <c r="G453" s="76"/>
    </row>
    <row r="454">
      <c r="A454" s="73"/>
      <c r="B454" s="74"/>
      <c r="C454" s="74"/>
      <c r="D454" s="73"/>
      <c r="E454" s="75"/>
      <c r="F454" s="75"/>
      <c r="G454" s="76"/>
    </row>
    <row r="455">
      <c r="A455" s="73"/>
      <c r="B455" s="74"/>
      <c r="C455" s="74"/>
      <c r="D455" s="73"/>
      <c r="E455" s="75"/>
      <c r="F455" s="75"/>
      <c r="G455" s="76"/>
    </row>
    <row r="456">
      <c r="A456" s="73"/>
      <c r="B456" s="74"/>
      <c r="C456" s="74"/>
      <c r="D456" s="73"/>
      <c r="E456" s="75"/>
      <c r="F456" s="75"/>
      <c r="G456" s="76"/>
    </row>
    <row r="457">
      <c r="A457" s="73"/>
      <c r="B457" s="74"/>
      <c r="C457" s="74"/>
      <c r="D457" s="73"/>
      <c r="E457" s="75"/>
      <c r="F457" s="75"/>
      <c r="G457" s="76"/>
    </row>
    <row r="458">
      <c r="A458" s="73"/>
      <c r="B458" s="74"/>
      <c r="C458" s="74"/>
      <c r="D458" s="73"/>
      <c r="E458" s="75"/>
      <c r="F458" s="75"/>
      <c r="G458" s="76"/>
    </row>
    <row r="459">
      <c r="A459" s="73"/>
      <c r="B459" s="74"/>
      <c r="C459" s="74"/>
      <c r="D459" s="73"/>
      <c r="E459" s="75"/>
      <c r="F459" s="75"/>
      <c r="G459" s="76"/>
    </row>
    <row r="460">
      <c r="A460" s="73"/>
      <c r="B460" s="74"/>
      <c r="C460" s="74"/>
      <c r="D460" s="73"/>
      <c r="E460" s="75"/>
      <c r="F460" s="75"/>
      <c r="G460" s="76"/>
    </row>
    <row r="461">
      <c r="A461" s="73"/>
      <c r="B461" s="74"/>
      <c r="C461" s="74"/>
      <c r="D461" s="73"/>
      <c r="E461" s="75"/>
      <c r="F461" s="75"/>
      <c r="G461" s="76"/>
    </row>
    <row r="462">
      <c r="A462" s="73"/>
      <c r="B462" s="74"/>
      <c r="C462" s="74"/>
      <c r="D462" s="73"/>
      <c r="E462" s="75"/>
      <c r="F462" s="75"/>
      <c r="G462" s="76"/>
    </row>
    <row r="463">
      <c r="A463" s="73"/>
      <c r="B463" s="74"/>
      <c r="C463" s="74"/>
      <c r="D463" s="73"/>
      <c r="E463" s="75"/>
      <c r="F463" s="75"/>
      <c r="G463" s="76"/>
    </row>
    <row r="464">
      <c r="A464" s="73"/>
      <c r="B464" s="74"/>
      <c r="C464" s="74"/>
      <c r="D464" s="73"/>
      <c r="E464" s="75"/>
      <c r="F464" s="75"/>
      <c r="G464" s="76"/>
    </row>
    <row r="465">
      <c r="A465" s="73"/>
      <c r="B465" s="74"/>
      <c r="C465" s="74"/>
      <c r="D465" s="73"/>
      <c r="E465" s="75"/>
      <c r="F465" s="75"/>
      <c r="G465" s="76"/>
    </row>
    <row r="466">
      <c r="A466" s="73"/>
      <c r="B466" s="74"/>
      <c r="C466" s="74"/>
      <c r="D466" s="73"/>
      <c r="E466" s="75"/>
      <c r="F466" s="75"/>
      <c r="G466" s="76"/>
    </row>
    <row r="467">
      <c r="A467" s="73"/>
      <c r="B467" s="74"/>
      <c r="C467" s="74"/>
      <c r="D467" s="73"/>
      <c r="E467" s="75"/>
      <c r="F467" s="75"/>
      <c r="G467" s="76"/>
    </row>
    <row r="468">
      <c r="A468" s="73"/>
      <c r="B468" s="74"/>
      <c r="C468" s="74"/>
      <c r="D468" s="73"/>
      <c r="E468" s="75"/>
      <c r="F468" s="75"/>
      <c r="G468" s="76"/>
    </row>
    <row r="469">
      <c r="A469" s="73"/>
      <c r="B469" s="74"/>
      <c r="C469" s="74"/>
      <c r="D469" s="73"/>
      <c r="E469" s="75"/>
      <c r="F469" s="75"/>
      <c r="G469" s="76"/>
    </row>
    <row r="470">
      <c r="A470" s="73"/>
      <c r="B470" s="74"/>
      <c r="C470" s="74"/>
      <c r="D470" s="73"/>
      <c r="E470" s="75"/>
      <c r="F470" s="75"/>
      <c r="G470" s="76"/>
    </row>
    <row r="471">
      <c r="A471" s="73"/>
      <c r="B471" s="74"/>
      <c r="C471" s="74"/>
      <c r="D471" s="73"/>
      <c r="E471" s="75"/>
      <c r="F471" s="75"/>
      <c r="G471" s="76"/>
    </row>
    <row r="472">
      <c r="A472" s="73"/>
      <c r="B472" s="74"/>
      <c r="C472" s="74"/>
      <c r="D472" s="73"/>
      <c r="E472" s="75"/>
      <c r="F472" s="75"/>
      <c r="G472" s="76"/>
    </row>
    <row r="473">
      <c r="A473" s="73"/>
      <c r="B473" s="74"/>
      <c r="C473" s="74"/>
      <c r="D473" s="73"/>
      <c r="E473" s="75"/>
      <c r="F473" s="75"/>
      <c r="G473" s="76"/>
    </row>
    <row r="474">
      <c r="A474" s="73"/>
      <c r="B474" s="74"/>
      <c r="C474" s="74"/>
      <c r="D474" s="73"/>
      <c r="E474" s="75"/>
      <c r="F474" s="75"/>
      <c r="G474" s="76"/>
    </row>
    <row r="475">
      <c r="A475" s="73"/>
      <c r="B475" s="74"/>
      <c r="C475" s="74"/>
      <c r="D475" s="73"/>
      <c r="E475" s="75"/>
      <c r="F475" s="75"/>
      <c r="G475" s="76"/>
    </row>
    <row r="476">
      <c r="A476" s="73"/>
      <c r="B476" s="74"/>
      <c r="C476" s="74"/>
      <c r="D476" s="73"/>
      <c r="E476" s="75"/>
      <c r="F476" s="75"/>
      <c r="G476" s="76"/>
    </row>
    <row r="477">
      <c r="A477" s="73"/>
      <c r="B477" s="74"/>
      <c r="C477" s="74"/>
      <c r="D477" s="73"/>
      <c r="E477" s="75"/>
      <c r="F477" s="75"/>
      <c r="G477" s="76"/>
    </row>
    <row r="478">
      <c r="A478" s="73"/>
      <c r="B478" s="74"/>
      <c r="C478" s="74"/>
      <c r="D478" s="73"/>
      <c r="E478" s="75"/>
      <c r="F478" s="75"/>
      <c r="G478" s="76"/>
    </row>
    <row r="479">
      <c r="A479" s="73"/>
      <c r="B479" s="74"/>
      <c r="C479" s="74"/>
      <c r="D479" s="73"/>
      <c r="E479" s="75"/>
      <c r="F479" s="75"/>
      <c r="G479" s="76"/>
    </row>
    <row r="480">
      <c r="A480" s="73"/>
      <c r="B480" s="74"/>
      <c r="C480" s="74"/>
      <c r="D480" s="73"/>
      <c r="E480" s="75"/>
      <c r="F480" s="75"/>
      <c r="G480" s="76"/>
    </row>
    <row r="481">
      <c r="A481" s="73"/>
      <c r="B481" s="74"/>
      <c r="C481" s="74"/>
      <c r="D481" s="73"/>
      <c r="E481" s="75"/>
      <c r="F481" s="75"/>
      <c r="G481" s="76"/>
    </row>
    <row r="482">
      <c r="A482" s="73"/>
      <c r="B482" s="74"/>
      <c r="C482" s="74"/>
      <c r="D482" s="73"/>
      <c r="E482" s="75"/>
      <c r="F482" s="75"/>
      <c r="G482" s="76"/>
    </row>
    <row r="483">
      <c r="A483" s="73"/>
      <c r="B483" s="74"/>
      <c r="C483" s="74"/>
      <c r="D483" s="73"/>
      <c r="E483" s="75"/>
      <c r="F483" s="75"/>
      <c r="G483" s="76"/>
    </row>
    <row r="484">
      <c r="A484" s="73"/>
      <c r="B484" s="74"/>
      <c r="C484" s="74"/>
      <c r="D484" s="73"/>
      <c r="E484" s="75"/>
      <c r="F484" s="75"/>
      <c r="G484" s="76"/>
    </row>
    <row r="485">
      <c r="A485" s="73"/>
      <c r="B485" s="74"/>
      <c r="C485" s="74"/>
      <c r="D485" s="73"/>
      <c r="E485" s="75"/>
      <c r="F485" s="75"/>
      <c r="G485" s="76"/>
    </row>
    <row r="486">
      <c r="A486" s="73"/>
      <c r="B486" s="74"/>
      <c r="C486" s="74"/>
      <c r="D486" s="73"/>
      <c r="E486" s="75"/>
      <c r="F486" s="75"/>
      <c r="G486" s="76"/>
    </row>
    <row r="487">
      <c r="A487" s="73"/>
      <c r="B487" s="74"/>
      <c r="C487" s="74"/>
      <c r="D487" s="73"/>
      <c r="E487" s="75"/>
      <c r="F487" s="75"/>
      <c r="G487" s="76"/>
    </row>
    <row r="488">
      <c r="A488" s="73"/>
      <c r="B488" s="74"/>
      <c r="C488" s="74"/>
      <c r="D488" s="73"/>
      <c r="E488" s="75"/>
      <c r="F488" s="75"/>
      <c r="G488" s="76"/>
    </row>
    <row r="489">
      <c r="A489" s="73"/>
      <c r="B489" s="74"/>
      <c r="C489" s="74"/>
      <c r="D489" s="73"/>
      <c r="E489" s="75"/>
      <c r="F489" s="75"/>
      <c r="G489" s="76"/>
    </row>
    <row r="490">
      <c r="A490" s="73"/>
      <c r="B490" s="74"/>
      <c r="C490" s="74"/>
      <c r="D490" s="73"/>
      <c r="E490" s="75"/>
      <c r="F490" s="75"/>
      <c r="G490" s="76"/>
    </row>
    <row r="491">
      <c r="A491" s="73"/>
      <c r="B491" s="74"/>
      <c r="C491" s="74"/>
      <c r="D491" s="73"/>
      <c r="E491" s="75"/>
      <c r="F491" s="75"/>
      <c r="G491" s="76"/>
    </row>
    <row r="492">
      <c r="A492" s="73"/>
      <c r="B492" s="74"/>
      <c r="C492" s="74"/>
      <c r="D492" s="73"/>
      <c r="E492" s="75"/>
      <c r="F492" s="75"/>
      <c r="G492" s="76"/>
    </row>
    <row r="493">
      <c r="A493" s="73"/>
      <c r="B493" s="74"/>
      <c r="C493" s="74"/>
      <c r="D493" s="73"/>
      <c r="E493" s="75"/>
      <c r="F493" s="75"/>
      <c r="G493" s="76"/>
    </row>
    <row r="494">
      <c r="A494" s="73"/>
      <c r="B494" s="74"/>
      <c r="C494" s="74"/>
      <c r="D494" s="73"/>
      <c r="E494" s="75"/>
      <c r="F494" s="75"/>
      <c r="G494" s="76"/>
    </row>
    <row r="495">
      <c r="A495" s="73"/>
      <c r="B495" s="74"/>
      <c r="C495" s="74"/>
      <c r="D495" s="73"/>
      <c r="E495" s="75"/>
      <c r="F495" s="75"/>
      <c r="G495" s="76"/>
    </row>
    <row r="496">
      <c r="A496" s="73"/>
      <c r="B496" s="74"/>
      <c r="C496" s="74"/>
      <c r="D496" s="73"/>
      <c r="E496" s="75"/>
      <c r="F496" s="75"/>
      <c r="G496" s="76"/>
    </row>
    <row r="497">
      <c r="A497" s="73"/>
      <c r="B497" s="74"/>
      <c r="C497" s="74"/>
      <c r="D497" s="73"/>
      <c r="E497" s="75"/>
      <c r="F497" s="75"/>
      <c r="G497" s="76"/>
    </row>
    <row r="498">
      <c r="A498" s="73"/>
      <c r="B498" s="74"/>
      <c r="C498" s="74"/>
      <c r="D498" s="73"/>
      <c r="E498" s="75"/>
      <c r="F498" s="75"/>
      <c r="G498" s="76"/>
    </row>
    <row r="499">
      <c r="A499" s="73"/>
      <c r="B499" s="74"/>
      <c r="C499" s="74"/>
      <c r="D499" s="73"/>
      <c r="E499" s="75"/>
      <c r="F499" s="75"/>
      <c r="G499" s="76"/>
    </row>
    <row r="500">
      <c r="A500" s="73"/>
      <c r="B500" s="74"/>
      <c r="C500" s="74"/>
      <c r="D500" s="73"/>
      <c r="E500" s="75"/>
      <c r="F500" s="75"/>
      <c r="G500" s="76"/>
    </row>
    <row r="501">
      <c r="A501" s="73"/>
      <c r="B501" s="74"/>
      <c r="C501" s="74"/>
      <c r="D501" s="73"/>
      <c r="E501" s="75"/>
      <c r="F501" s="75"/>
      <c r="G501" s="76"/>
    </row>
    <row r="502">
      <c r="A502" s="73"/>
      <c r="B502" s="74"/>
      <c r="C502" s="74"/>
      <c r="D502" s="73"/>
      <c r="E502" s="75"/>
      <c r="F502" s="75"/>
      <c r="G502" s="76"/>
    </row>
    <row r="503">
      <c r="A503" s="73"/>
      <c r="B503" s="74"/>
      <c r="C503" s="74"/>
      <c r="D503" s="73"/>
      <c r="E503" s="75"/>
      <c r="F503" s="75"/>
      <c r="G503" s="76"/>
    </row>
    <row r="504">
      <c r="A504" s="73"/>
      <c r="B504" s="74"/>
      <c r="C504" s="74"/>
      <c r="D504" s="73"/>
      <c r="E504" s="75"/>
      <c r="F504" s="75"/>
      <c r="G504" s="76"/>
    </row>
    <row r="505">
      <c r="A505" s="73"/>
      <c r="B505" s="74"/>
      <c r="C505" s="74"/>
      <c r="D505" s="73"/>
      <c r="E505" s="75"/>
      <c r="F505" s="75"/>
      <c r="G505" s="76"/>
    </row>
    <row r="506">
      <c r="A506" s="73"/>
      <c r="B506" s="74"/>
      <c r="C506" s="74"/>
      <c r="D506" s="73"/>
      <c r="E506" s="75"/>
      <c r="F506" s="75"/>
      <c r="G506" s="76"/>
    </row>
    <row r="507">
      <c r="A507" s="73"/>
      <c r="B507" s="74"/>
      <c r="C507" s="74"/>
      <c r="D507" s="73"/>
      <c r="E507" s="75"/>
      <c r="F507" s="75"/>
      <c r="G507" s="76"/>
    </row>
    <row r="508">
      <c r="A508" s="73"/>
      <c r="B508" s="74"/>
      <c r="C508" s="74"/>
      <c r="D508" s="73"/>
      <c r="E508" s="75"/>
      <c r="F508" s="75"/>
      <c r="G508" s="76"/>
    </row>
    <row r="509">
      <c r="A509" s="73"/>
      <c r="B509" s="74"/>
      <c r="C509" s="74"/>
      <c r="D509" s="73"/>
      <c r="E509" s="75"/>
      <c r="F509" s="75"/>
      <c r="G509" s="76"/>
    </row>
    <row r="510">
      <c r="A510" s="73"/>
      <c r="B510" s="74"/>
      <c r="C510" s="74"/>
      <c r="D510" s="73"/>
      <c r="E510" s="75"/>
      <c r="F510" s="75"/>
      <c r="G510" s="76"/>
    </row>
    <row r="511">
      <c r="A511" s="73"/>
      <c r="B511" s="74"/>
      <c r="C511" s="74"/>
      <c r="D511" s="73"/>
      <c r="E511" s="75"/>
      <c r="F511" s="75"/>
      <c r="G511" s="76"/>
    </row>
    <row r="512">
      <c r="A512" s="73"/>
      <c r="B512" s="74"/>
      <c r="C512" s="74"/>
      <c r="D512" s="73"/>
      <c r="E512" s="75"/>
      <c r="F512" s="75"/>
      <c r="G512" s="76"/>
    </row>
    <row r="513">
      <c r="A513" s="73"/>
      <c r="B513" s="74"/>
      <c r="C513" s="74"/>
      <c r="D513" s="73"/>
      <c r="E513" s="75"/>
      <c r="F513" s="75"/>
      <c r="G513" s="76"/>
    </row>
    <row r="514">
      <c r="A514" s="73"/>
      <c r="B514" s="74"/>
      <c r="C514" s="74"/>
      <c r="D514" s="73"/>
      <c r="E514" s="75"/>
      <c r="F514" s="75"/>
      <c r="G514" s="76"/>
    </row>
    <row r="515">
      <c r="A515" s="73"/>
      <c r="B515" s="74"/>
      <c r="C515" s="74"/>
      <c r="D515" s="73"/>
      <c r="E515" s="75"/>
      <c r="F515" s="75"/>
      <c r="G515" s="76"/>
    </row>
    <row r="516">
      <c r="A516" s="73"/>
      <c r="B516" s="74"/>
      <c r="C516" s="74"/>
      <c r="D516" s="73"/>
      <c r="E516" s="75"/>
      <c r="F516" s="75"/>
      <c r="G516" s="76"/>
    </row>
    <row r="517">
      <c r="A517" s="73"/>
      <c r="B517" s="74"/>
      <c r="C517" s="74"/>
      <c r="D517" s="73"/>
      <c r="E517" s="75"/>
      <c r="F517" s="75"/>
      <c r="G517" s="76"/>
    </row>
    <row r="518">
      <c r="A518" s="73"/>
      <c r="B518" s="74"/>
      <c r="C518" s="74"/>
      <c r="D518" s="73"/>
      <c r="E518" s="75"/>
      <c r="F518" s="75"/>
      <c r="G518" s="76"/>
    </row>
    <row r="519">
      <c r="A519" s="73"/>
      <c r="B519" s="74"/>
      <c r="C519" s="74"/>
      <c r="D519" s="73"/>
      <c r="E519" s="75"/>
      <c r="F519" s="75"/>
      <c r="G519" s="76"/>
    </row>
    <row r="520">
      <c r="A520" s="73"/>
      <c r="B520" s="74"/>
      <c r="C520" s="74"/>
      <c r="D520" s="73"/>
      <c r="E520" s="75"/>
      <c r="F520" s="75"/>
      <c r="G520" s="76"/>
    </row>
    <row r="521">
      <c r="A521" s="73"/>
      <c r="B521" s="74"/>
      <c r="C521" s="74"/>
      <c r="D521" s="73"/>
      <c r="E521" s="75"/>
      <c r="F521" s="75"/>
      <c r="G521" s="76"/>
    </row>
    <row r="522">
      <c r="A522" s="73"/>
      <c r="B522" s="74"/>
      <c r="C522" s="74"/>
      <c r="D522" s="73"/>
      <c r="E522" s="75"/>
      <c r="F522" s="75"/>
      <c r="G522" s="76"/>
    </row>
    <row r="523">
      <c r="A523" s="73"/>
      <c r="B523" s="74"/>
      <c r="C523" s="74"/>
      <c r="D523" s="73"/>
      <c r="E523" s="75"/>
      <c r="F523" s="75"/>
      <c r="G523" s="76"/>
    </row>
    <row r="524">
      <c r="A524" s="73"/>
      <c r="B524" s="74"/>
      <c r="C524" s="74"/>
      <c r="D524" s="73"/>
      <c r="E524" s="75"/>
      <c r="F524" s="75"/>
      <c r="G524" s="76"/>
    </row>
    <row r="525">
      <c r="A525" s="73"/>
      <c r="B525" s="74"/>
      <c r="C525" s="74"/>
      <c r="D525" s="73"/>
      <c r="E525" s="75"/>
      <c r="F525" s="75"/>
      <c r="G525" s="76"/>
    </row>
    <row r="526">
      <c r="A526" s="73"/>
      <c r="B526" s="74"/>
      <c r="C526" s="74"/>
      <c r="D526" s="73"/>
      <c r="E526" s="75"/>
      <c r="F526" s="75"/>
      <c r="G526" s="76"/>
    </row>
    <row r="527">
      <c r="A527" s="73"/>
      <c r="B527" s="74"/>
      <c r="C527" s="74"/>
      <c r="D527" s="73"/>
      <c r="E527" s="75"/>
      <c r="F527" s="75"/>
      <c r="G527" s="76"/>
    </row>
    <row r="528">
      <c r="A528" s="73"/>
      <c r="B528" s="74"/>
      <c r="C528" s="74"/>
      <c r="D528" s="73"/>
      <c r="E528" s="75"/>
      <c r="F528" s="75"/>
      <c r="G528" s="76"/>
    </row>
    <row r="529">
      <c r="A529" s="73"/>
      <c r="B529" s="74"/>
      <c r="C529" s="74"/>
      <c r="D529" s="73"/>
      <c r="E529" s="75"/>
      <c r="F529" s="75"/>
      <c r="G529" s="76"/>
    </row>
    <row r="530">
      <c r="A530" s="73"/>
      <c r="B530" s="74"/>
      <c r="C530" s="74"/>
      <c r="D530" s="73"/>
      <c r="E530" s="75"/>
      <c r="F530" s="75"/>
      <c r="G530" s="76"/>
    </row>
    <row r="531">
      <c r="A531" s="73"/>
      <c r="B531" s="74"/>
      <c r="C531" s="74"/>
      <c r="D531" s="73"/>
      <c r="E531" s="75"/>
      <c r="F531" s="75"/>
      <c r="G531" s="76"/>
    </row>
    <row r="532">
      <c r="A532" s="73"/>
      <c r="B532" s="74"/>
      <c r="C532" s="74"/>
      <c r="D532" s="73"/>
      <c r="E532" s="75"/>
      <c r="F532" s="75"/>
      <c r="G532" s="76"/>
    </row>
    <row r="533">
      <c r="A533" s="73"/>
      <c r="B533" s="74"/>
      <c r="C533" s="74"/>
      <c r="D533" s="73"/>
      <c r="E533" s="75"/>
      <c r="F533" s="75"/>
      <c r="G533" s="76"/>
    </row>
    <row r="534">
      <c r="A534" s="73"/>
      <c r="B534" s="74"/>
      <c r="C534" s="74"/>
      <c r="D534" s="73"/>
      <c r="E534" s="75"/>
      <c r="F534" s="75"/>
      <c r="G534" s="76"/>
    </row>
    <row r="535">
      <c r="A535" s="73"/>
      <c r="B535" s="74"/>
      <c r="C535" s="74"/>
      <c r="D535" s="73"/>
      <c r="E535" s="75"/>
      <c r="F535" s="75"/>
      <c r="G535" s="76"/>
    </row>
    <row r="536">
      <c r="A536" s="73"/>
      <c r="B536" s="74"/>
      <c r="C536" s="74"/>
      <c r="D536" s="73"/>
      <c r="E536" s="75"/>
      <c r="F536" s="75"/>
      <c r="G536" s="76"/>
    </row>
    <row r="537">
      <c r="A537" s="73"/>
      <c r="B537" s="74"/>
      <c r="C537" s="74"/>
      <c r="D537" s="73"/>
      <c r="E537" s="75"/>
      <c r="F537" s="75"/>
      <c r="G537" s="76"/>
    </row>
    <row r="538">
      <c r="A538" s="73"/>
      <c r="B538" s="74"/>
      <c r="C538" s="74"/>
      <c r="D538" s="73"/>
      <c r="E538" s="75"/>
      <c r="F538" s="75"/>
      <c r="G538" s="76"/>
    </row>
    <row r="539">
      <c r="A539" s="73"/>
      <c r="B539" s="74"/>
      <c r="C539" s="74"/>
      <c r="D539" s="73"/>
      <c r="E539" s="75"/>
      <c r="F539" s="75"/>
      <c r="G539" s="76"/>
    </row>
    <row r="540">
      <c r="A540" s="73"/>
      <c r="B540" s="74"/>
      <c r="C540" s="74"/>
      <c r="D540" s="73"/>
      <c r="E540" s="75"/>
      <c r="F540" s="75"/>
      <c r="G540" s="76"/>
    </row>
    <row r="541">
      <c r="A541" s="73"/>
      <c r="B541" s="74"/>
      <c r="C541" s="74"/>
      <c r="D541" s="73"/>
      <c r="E541" s="75"/>
      <c r="F541" s="75"/>
      <c r="G541" s="76"/>
    </row>
    <row r="542">
      <c r="A542" s="73"/>
      <c r="B542" s="74"/>
      <c r="C542" s="74"/>
      <c r="D542" s="73"/>
      <c r="E542" s="75"/>
      <c r="F542" s="75"/>
      <c r="G542" s="76"/>
    </row>
    <row r="543">
      <c r="A543" s="73"/>
      <c r="B543" s="74"/>
      <c r="C543" s="74"/>
      <c r="D543" s="73"/>
      <c r="E543" s="75"/>
      <c r="F543" s="75"/>
      <c r="G543" s="76"/>
    </row>
    <row r="544">
      <c r="A544" s="73"/>
      <c r="B544" s="74"/>
      <c r="C544" s="74"/>
      <c r="D544" s="73"/>
      <c r="E544" s="75"/>
      <c r="F544" s="75"/>
      <c r="G544" s="76"/>
    </row>
    <row r="545">
      <c r="A545" s="73"/>
      <c r="B545" s="74"/>
      <c r="C545" s="74"/>
      <c r="D545" s="73"/>
      <c r="E545" s="75"/>
      <c r="F545" s="75"/>
      <c r="G545" s="76"/>
    </row>
    <row r="546">
      <c r="A546" s="73"/>
      <c r="B546" s="74"/>
      <c r="C546" s="74"/>
      <c r="D546" s="73"/>
      <c r="E546" s="75"/>
      <c r="F546" s="75"/>
      <c r="G546" s="76"/>
    </row>
    <row r="547">
      <c r="A547" s="73"/>
      <c r="B547" s="74"/>
      <c r="C547" s="74"/>
      <c r="D547" s="73"/>
      <c r="E547" s="75"/>
      <c r="F547" s="75"/>
      <c r="G547" s="76"/>
    </row>
    <row r="548">
      <c r="A548" s="73"/>
      <c r="B548" s="74"/>
      <c r="C548" s="74"/>
      <c r="D548" s="73"/>
      <c r="E548" s="75"/>
      <c r="F548" s="75"/>
      <c r="G548" s="76"/>
    </row>
    <row r="549">
      <c r="A549" s="73"/>
      <c r="B549" s="74"/>
      <c r="C549" s="74"/>
      <c r="D549" s="73"/>
      <c r="E549" s="75"/>
      <c r="F549" s="75"/>
      <c r="G549" s="76"/>
    </row>
    <row r="550">
      <c r="A550" s="73"/>
      <c r="B550" s="74"/>
      <c r="C550" s="74"/>
      <c r="D550" s="73"/>
      <c r="E550" s="75"/>
      <c r="F550" s="75"/>
      <c r="G550" s="76"/>
    </row>
    <row r="551">
      <c r="A551" s="73"/>
      <c r="B551" s="74"/>
      <c r="C551" s="74"/>
      <c r="D551" s="73"/>
      <c r="E551" s="75"/>
      <c r="F551" s="75"/>
      <c r="G551" s="76"/>
    </row>
    <row r="552">
      <c r="A552" s="73"/>
      <c r="B552" s="74"/>
      <c r="C552" s="74"/>
      <c r="D552" s="73"/>
      <c r="E552" s="75"/>
      <c r="F552" s="75"/>
      <c r="G552" s="76"/>
    </row>
    <row r="553">
      <c r="A553" s="73"/>
      <c r="B553" s="74"/>
      <c r="C553" s="74"/>
      <c r="D553" s="73"/>
      <c r="E553" s="75"/>
      <c r="F553" s="75"/>
      <c r="G553" s="76"/>
    </row>
    <row r="554">
      <c r="A554" s="73"/>
      <c r="B554" s="74"/>
      <c r="C554" s="74"/>
      <c r="D554" s="73"/>
      <c r="E554" s="75"/>
      <c r="F554" s="75"/>
      <c r="G554" s="76"/>
    </row>
    <row r="555">
      <c r="A555" s="73"/>
      <c r="B555" s="74"/>
      <c r="C555" s="74"/>
      <c r="D555" s="73"/>
      <c r="E555" s="75"/>
      <c r="F555" s="75"/>
      <c r="G555" s="76"/>
    </row>
    <row r="556">
      <c r="A556" s="73"/>
      <c r="B556" s="74"/>
      <c r="C556" s="74"/>
      <c r="D556" s="73"/>
      <c r="E556" s="75"/>
      <c r="F556" s="75"/>
      <c r="G556" s="76"/>
    </row>
    <row r="557">
      <c r="A557" s="73"/>
      <c r="B557" s="74"/>
      <c r="C557" s="74"/>
      <c r="D557" s="73"/>
      <c r="E557" s="75"/>
      <c r="F557" s="75"/>
      <c r="G557" s="76"/>
    </row>
    <row r="558">
      <c r="A558" s="73"/>
      <c r="B558" s="74"/>
      <c r="C558" s="74"/>
      <c r="D558" s="73"/>
      <c r="E558" s="75"/>
      <c r="F558" s="75"/>
      <c r="G558" s="76"/>
    </row>
    <row r="559">
      <c r="A559" s="73"/>
      <c r="B559" s="74"/>
      <c r="C559" s="74"/>
      <c r="D559" s="73"/>
      <c r="E559" s="75"/>
      <c r="F559" s="75"/>
      <c r="G559" s="76"/>
    </row>
    <row r="560">
      <c r="A560" s="73"/>
      <c r="B560" s="74"/>
      <c r="C560" s="74"/>
      <c r="D560" s="73"/>
      <c r="E560" s="75"/>
      <c r="F560" s="75"/>
      <c r="G560" s="76"/>
    </row>
    <row r="561">
      <c r="A561" s="73"/>
      <c r="B561" s="74"/>
      <c r="C561" s="74"/>
      <c r="D561" s="73"/>
      <c r="E561" s="75"/>
      <c r="F561" s="75"/>
      <c r="G561" s="76"/>
    </row>
    <row r="562">
      <c r="A562" s="73"/>
      <c r="B562" s="74"/>
      <c r="C562" s="74"/>
      <c r="D562" s="73"/>
      <c r="E562" s="75"/>
      <c r="F562" s="75"/>
      <c r="G562" s="76"/>
    </row>
    <row r="563">
      <c r="A563" s="73"/>
      <c r="B563" s="74"/>
      <c r="C563" s="74"/>
      <c r="D563" s="73"/>
      <c r="E563" s="75"/>
      <c r="F563" s="75"/>
      <c r="G563" s="76"/>
    </row>
    <row r="564">
      <c r="A564" s="73"/>
      <c r="B564" s="74"/>
      <c r="C564" s="74"/>
      <c r="D564" s="73"/>
      <c r="E564" s="75"/>
      <c r="F564" s="75"/>
      <c r="G564" s="76"/>
    </row>
    <row r="565">
      <c r="A565" s="73"/>
      <c r="B565" s="74"/>
      <c r="C565" s="74"/>
      <c r="D565" s="73"/>
      <c r="E565" s="75"/>
      <c r="F565" s="75"/>
      <c r="G565" s="76"/>
    </row>
    <row r="566">
      <c r="A566" s="73"/>
      <c r="B566" s="74"/>
      <c r="C566" s="74"/>
      <c r="D566" s="73"/>
      <c r="E566" s="75"/>
      <c r="F566" s="75"/>
      <c r="G566" s="76"/>
    </row>
    <row r="567">
      <c r="A567" s="73"/>
      <c r="B567" s="74"/>
      <c r="C567" s="74"/>
      <c r="D567" s="73"/>
      <c r="E567" s="75"/>
      <c r="F567" s="75"/>
      <c r="G567" s="76"/>
    </row>
    <row r="568">
      <c r="A568" s="73"/>
      <c r="B568" s="74"/>
      <c r="C568" s="74"/>
      <c r="D568" s="73"/>
      <c r="E568" s="75"/>
      <c r="F568" s="75"/>
      <c r="G568" s="76"/>
    </row>
    <row r="569">
      <c r="A569" s="73"/>
      <c r="B569" s="74"/>
      <c r="C569" s="74"/>
      <c r="D569" s="73"/>
      <c r="E569" s="75"/>
      <c r="F569" s="75"/>
      <c r="G569" s="76"/>
    </row>
    <row r="570">
      <c r="A570" s="73"/>
      <c r="B570" s="74"/>
      <c r="C570" s="74"/>
      <c r="D570" s="73"/>
      <c r="E570" s="75"/>
      <c r="F570" s="75"/>
      <c r="G570" s="76"/>
    </row>
    <row r="571">
      <c r="A571" s="73"/>
      <c r="B571" s="74"/>
      <c r="C571" s="74"/>
      <c r="D571" s="73"/>
      <c r="E571" s="75"/>
      <c r="F571" s="75"/>
      <c r="G571" s="76"/>
    </row>
    <row r="572">
      <c r="A572" s="73"/>
      <c r="B572" s="74"/>
      <c r="C572" s="74"/>
      <c r="D572" s="73"/>
      <c r="E572" s="75"/>
      <c r="F572" s="75"/>
      <c r="G572" s="76"/>
    </row>
    <row r="573">
      <c r="A573" s="73"/>
      <c r="B573" s="74"/>
      <c r="C573" s="74"/>
      <c r="D573" s="73"/>
      <c r="E573" s="75"/>
      <c r="F573" s="75"/>
      <c r="G573" s="76"/>
    </row>
    <row r="574">
      <c r="A574" s="73"/>
      <c r="B574" s="74"/>
      <c r="C574" s="74"/>
      <c r="D574" s="73"/>
      <c r="E574" s="75"/>
      <c r="F574" s="75"/>
      <c r="G574" s="76"/>
    </row>
    <row r="575">
      <c r="A575" s="73"/>
      <c r="B575" s="74"/>
      <c r="C575" s="74"/>
      <c r="D575" s="73"/>
      <c r="E575" s="75"/>
      <c r="F575" s="75"/>
      <c r="G575" s="76"/>
    </row>
    <row r="576">
      <c r="A576" s="73"/>
      <c r="B576" s="74"/>
      <c r="C576" s="74"/>
      <c r="D576" s="73"/>
      <c r="E576" s="75"/>
      <c r="F576" s="75"/>
      <c r="G576" s="76"/>
    </row>
    <row r="577">
      <c r="A577" s="73"/>
      <c r="B577" s="74"/>
      <c r="C577" s="74"/>
      <c r="D577" s="73"/>
      <c r="E577" s="75"/>
      <c r="F577" s="75"/>
      <c r="G577" s="76"/>
    </row>
    <row r="578">
      <c r="A578" s="73"/>
      <c r="B578" s="74"/>
      <c r="C578" s="74"/>
      <c r="D578" s="73"/>
      <c r="E578" s="75"/>
      <c r="F578" s="75"/>
      <c r="G578" s="76"/>
    </row>
    <row r="579">
      <c r="A579" s="73"/>
      <c r="B579" s="74"/>
      <c r="C579" s="74"/>
      <c r="D579" s="73"/>
      <c r="E579" s="75"/>
      <c r="F579" s="75"/>
      <c r="G579" s="76"/>
    </row>
    <row r="580">
      <c r="A580" s="73"/>
      <c r="B580" s="74"/>
      <c r="C580" s="74"/>
      <c r="D580" s="73"/>
      <c r="E580" s="75"/>
      <c r="F580" s="75"/>
      <c r="G580" s="76"/>
    </row>
    <row r="581">
      <c r="A581" s="73"/>
      <c r="B581" s="74"/>
      <c r="C581" s="74"/>
      <c r="D581" s="73"/>
      <c r="E581" s="75"/>
      <c r="F581" s="75"/>
      <c r="G581" s="76"/>
    </row>
    <row r="582">
      <c r="A582" s="73"/>
      <c r="B582" s="74"/>
      <c r="C582" s="74"/>
      <c r="D582" s="73"/>
      <c r="E582" s="75"/>
      <c r="F582" s="75"/>
      <c r="G582" s="76"/>
    </row>
    <row r="583">
      <c r="A583" s="73"/>
      <c r="B583" s="74"/>
      <c r="C583" s="74"/>
      <c r="D583" s="73"/>
      <c r="E583" s="75"/>
      <c r="F583" s="75"/>
      <c r="G583" s="76"/>
    </row>
    <row r="584">
      <c r="A584" s="73"/>
      <c r="B584" s="74"/>
      <c r="C584" s="74"/>
      <c r="D584" s="73"/>
      <c r="E584" s="75"/>
      <c r="F584" s="75"/>
      <c r="G584" s="76"/>
    </row>
    <row r="585">
      <c r="A585" s="73"/>
      <c r="B585" s="74"/>
      <c r="C585" s="74"/>
      <c r="D585" s="73"/>
      <c r="E585" s="75"/>
      <c r="F585" s="75"/>
      <c r="G585" s="76"/>
    </row>
    <row r="586">
      <c r="A586" s="73"/>
      <c r="B586" s="74"/>
      <c r="C586" s="74"/>
      <c r="D586" s="73"/>
      <c r="E586" s="75"/>
      <c r="F586" s="75"/>
      <c r="G586" s="76"/>
    </row>
    <row r="587">
      <c r="A587" s="73"/>
      <c r="B587" s="74"/>
      <c r="C587" s="74"/>
      <c r="D587" s="73"/>
      <c r="E587" s="75"/>
      <c r="F587" s="75"/>
      <c r="G587" s="76"/>
    </row>
    <row r="588">
      <c r="A588" s="73"/>
      <c r="B588" s="74"/>
      <c r="C588" s="74"/>
      <c r="D588" s="73"/>
      <c r="E588" s="75"/>
      <c r="F588" s="75"/>
      <c r="G588" s="76"/>
    </row>
    <row r="589">
      <c r="A589" s="73"/>
      <c r="B589" s="74"/>
      <c r="C589" s="74"/>
      <c r="D589" s="73"/>
      <c r="E589" s="75"/>
      <c r="F589" s="75"/>
      <c r="G589" s="76"/>
    </row>
    <row r="590">
      <c r="A590" s="73"/>
      <c r="B590" s="74"/>
      <c r="C590" s="74"/>
      <c r="D590" s="73"/>
      <c r="E590" s="75"/>
      <c r="F590" s="75"/>
      <c r="G590" s="76"/>
    </row>
    <row r="591">
      <c r="A591" s="73"/>
      <c r="B591" s="74"/>
      <c r="C591" s="74"/>
      <c r="D591" s="73"/>
      <c r="E591" s="75"/>
      <c r="F591" s="75"/>
      <c r="G591" s="76"/>
    </row>
    <row r="592">
      <c r="A592" s="73"/>
      <c r="B592" s="74"/>
      <c r="C592" s="74"/>
      <c r="D592" s="73"/>
      <c r="E592" s="75"/>
      <c r="F592" s="75"/>
      <c r="G592" s="76"/>
    </row>
    <row r="593">
      <c r="A593" s="73"/>
      <c r="B593" s="74"/>
      <c r="C593" s="74"/>
      <c r="D593" s="73"/>
      <c r="E593" s="75"/>
      <c r="F593" s="75"/>
      <c r="G593" s="76"/>
    </row>
    <row r="594">
      <c r="A594" s="73"/>
      <c r="B594" s="74"/>
      <c r="C594" s="74"/>
      <c r="D594" s="73"/>
      <c r="E594" s="75"/>
      <c r="F594" s="75"/>
      <c r="G594" s="76"/>
    </row>
    <row r="595">
      <c r="A595" s="73"/>
      <c r="B595" s="74"/>
      <c r="C595" s="74"/>
      <c r="D595" s="73"/>
      <c r="E595" s="75"/>
      <c r="F595" s="75"/>
      <c r="G595" s="76"/>
    </row>
    <row r="596">
      <c r="A596" s="73"/>
      <c r="B596" s="74"/>
      <c r="C596" s="74"/>
      <c r="D596" s="73"/>
      <c r="E596" s="75"/>
      <c r="F596" s="75"/>
      <c r="G596" s="76"/>
    </row>
    <row r="597">
      <c r="A597" s="73"/>
      <c r="B597" s="74"/>
      <c r="C597" s="74"/>
      <c r="D597" s="73"/>
      <c r="E597" s="75"/>
      <c r="F597" s="75"/>
      <c r="G597" s="76"/>
    </row>
    <row r="598">
      <c r="A598" s="73"/>
      <c r="B598" s="74"/>
      <c r="C598" s="74"/>
      <c r="D598" s="73"/>
      <c r="E598" s="75"/>
      <c r="F598" s="75"/>
      <c r="G598" s="76"/>
    </row>
    <row r="599">
      <c r="A599" s="73"/>
      <c r="B599" s="74"/>
      <c r="C599" s="74"/>
      <c r="D599" s="73"/>
      <c r="E599" s="75"/>
      <c r="F599" s="75"/>
      <c r="G599" s="76"/>
    </row>
    <row r="600">
      <c r="A600" s="73"/>
      <c r="B600" s="74"/>
      <c r="C600" s="74"/>
      <c r="D600" s="73"/>
      <c r="E600" s="75"/>
      <c r="F600" s="75"/>
      <c r="G600" s="76"/>
    </row>
    <row r="601">
      <c r="A601" s="73"/>
      <c r="B601" s="74"/>
      <c r="C601" s="74"/>
      <c r="D601" s="73"/>
      <c r="E601" s="75"/>
      <c r="F601" s="75"/>
      <c r="G601" s="76"/>
    </row>
    <row r="602">
      <c r="A602" s="73"/>
      <c r="B602" s="74"/>
      <c r="C602" s="74"/>
      <c r="D602" s="73"/>
      <c r="E602" s="75"/>
      <c r="F602" s="75"/>
      <c r="G602" s="76"/>
    </row>
    <row r="603">
      <c r="A603" s="73"/>
      <c r="B603" s="74"/>
      <c r="C603" s="74"/>
      <c r="D603" s="73"/>
      <c r="E603" s="75"/>
      <c r="F603" s="75"/>
      <c r="G603" s="76"/>
    </row>
    <row r="604">
      <c r="A604" s="73"/>
      <c r="B604" s="74"/>
      <c r="C604" s="74"/>
      <c r="D604" s="73"/>
      <c r="E604" s="75"/>
      <c r="F604" s="75"/>
      <c r="G604" s="76"/>
    </row>
    <row r="605">
      <c r="A605" s="73"/>
      <c r="B605" s="74"/>
      <c r="C605" s="74"/>
      <c r="D605" s="73"/>
      <c r="E605" s="75"/>
      <c r="F605" s="75"/>
      <c r="G605" s="76"/>
    </row>
    <row r="606">
      <c r="A606" s="73"/>
      <c r="B606" s="74"/>
      <c r="C606" s="74"/>
      <c r="D606" s="73"/>
      <c r="E606" s="75"/>
      <c r="F606" s="75"/>
      <c r="G606" s="76"/>
    </row>
    <row r="607">
      <c r="A607" s="73"/>
      <c r="B607" s="74"/>
      <c r="C607" s="74"/>
      <c r="D607" s="73"/>
      <c r="E607" s="75"/>
      <c r="F607" s="75"/>
      <c r="G607" s="76"/>
    </row>
    <row r="608">
      <c r="A608" s="73"/>
      <c r="B608" s="74"/>
      <c r="C608" s="74"/>
      <c r="D608" s="73"/>
      <c r="E608" s="75"/>
      <c r="F608" s="75"/>
      <c r="G608" s="76"/>
    </row>
    <row r="609">
      <c r="A609" s="73"/>
      <c r="B609" s="74"/>
      <c r="C609" s="74"/>
      <c r="D609" s="73"/>
      <c r="E609" s="75"/>
      <c r="F609" s="75"/>
      <c r="G609" s="76"/>
    </row>
    <row r="610">
      <c r="A610" s="73"/>
      <c r="B610" s="74"/>
      <c r="C610" s="74"/>
      <c r="D610" s="73"/>
      <c r="E610" s="75"/>
      <c r="F610" s="75"/>
      <c r="G610" s="76"/>
    </row>
    <row r="611">
      <c r="A611" s="73"/>
      <c r="B611" s="74"/>
      <c r="C611" s="74"/>
      <c r="D611" s="73"/>
      <c r="E611" s="75"/>
      <c r="F611" s="75"/>
      <c r="G611" s="76"/>
    </row>
    <row r="612">
      <c r="A612" s="73"/>
      <c r="B612" s="74"/>
      <c r="C612" s="74"/>
      <c r="D612" s="73"/>
      <c r="E612" s="75"/>
      <c r="F612" s="75"/>
      <c r="G612" s="76"/>
    </row>
    <row r="613">
      <c r="A613" s="73"/>
      <c r="B613" s="74"/>
      <c r="C613" s="74"/>
      <c r="D613" s="73"/>
      <c r="E613" s="75"/>
      <c r="F613" s="75"/>
      <c r="G613" s="76"/>
    </row>
    <row r="614">
      <c r="A614" s="73"/>
      <c r="B614" s="74"/>
      <c r="C614" s="74"/>
      <c r="D614" s="73"/>
      <c r="E614" s="75"/>
      <c r="F614" s="75"/>
      <c r="G614" s="76"/>
    </row>
    <row r="615">
      <c r="A615" s="73"/>
      <c r="B615" s="74"/>
      <c r="C615" s="74"/>
      <c r="D615" s="73"/>
      <c r="E615" s="75"/>
      <c r="F615" s="75"/>
      <c r="G615" s="76"/>
    </row>
    <row r="616">
      <c r="A616" s="73"/>
      <c r="B616" s="74"/>
      <c r="C616" s="74"/>
      <c r="D616" s="73"/>
      <c r="E616" s="75"/>
      <c r="F616" s="75"/>
      <c r="G616" s="76"/>
    </row>
    <row r="617">
      <c r="A617" s="73"/>
      <c r="B617" s="74"/>
      <c r="C617" s="74"/>
      <c r="D617" s="73"/>
      <c r="E617" s="75"/>
      <c r="F617" s="75"/>
      <c r="G617" s="76"/>
    </row>
    <row r="618">
      <c r="A618" s="73"/>
      <c r="B618" s="74"/>
      <c r="C618" s="74"/>
      <c r="D618" s="73"/>
      <c r="E618" s="75"/>
      <c r="F618" s="75"/>
      <c r="G618" s="76"/>
    </row>
    <row r="619">
      <c r="A619" s="73"/>
      <c r="B619" s="74"/>
      <c r="C619" s="74"/>
      <c r="D619" s="73"/>
      <c r="E619" s="75"/>
      <c r="F619" s="75"/>
      <c r="G619" s="76"/>
    </row>
    <row r="620">
      <c r="A620" s="73"/>
      <c r="B620" s="74"/>
      <c r="C620" s="74"/>
      <c r="D620" s="73"/>
      <c r="E620" s="75"/>
      <c r="F620" s="75"/>
      <c r="G620" s="76"/>
    </row>
    <row r="621">
      <c r="A621" s="73"/>
      <c r="B621" s="74"/>
      <c r="C621" s="74"/>
      <c r="D621" s="73"/>
      <c r="E621" s="75"/>
      <c r="F621" s="75"/>
      <c r="G621" s="76"/>
    </row>
    <row r="622">
      <c r="A622" s="73"/>
      <c r="B622" s="74"/>
      <c r="C622" s="74"/>
      <c r="D622" s="73"/>
      <c r="E622" s="75"/>
      <c r="F622" s="75"/>
      <c r="G622" s="76"/>
    </row>
    <row r="623">
      <c r="A623" s="73"/>
      <c r="B623" s="74"/>
      <c r="C623" s="74"/>
      <c r="D623" s="73"/>
      <c r="E623" s="75"/>
      <c r="F623" s="75"/>
      <c r="G623" s="76"/>
    </row>
    <row r="624">
      <c r="A624" s="73"/>
      <c r="B624" s="74"/>
      <c r="C624" s="74"/>
      <c r="D624" s="73"/>
      <c r="E624" s="75"/>
      <c r="F624" s="75"/>
      <c r="G624" s="76"/>
    </row>
    <row r="625">
      <c r="A625" s="73"/>
      <c r="B625" s="74"/>
      <c r="C625" s="74"/>
      <c r="D625" s="73"/>
      <c r="E625" s="75"/>
      <c r="F625" s="75"/>
      <c r="G625" s="76"/>
    </row>
    <row r="626">
      <c r="A626" s="73"/>
      <c r="B626" s="74"/>
      <c r="C626" s="74"/>
      <c r="D626" s="73"/>
      <c r="E626" s="75"/>
      <c r="F626" s="75"/>
      <c r="G626" s="76"/>
    </row>
    <row r="627">
      <c r="A627" s="73"/>
      <c r="B627" s="74"/>
      <c r="C627" s="74"/>
      <c r="D627" s="73"/>
      <c r="E627" s="75"/>
      <c r="F627" s="75"/>
      <c r="G627" s="76"/>
    </row>
    <row r="628">
      <c r="A628" s="73"/>
      <c r="B628" s="74"/>
      <c r="C628" s="74"/>
      <c r="D628" s="73"/>
      <c r="E628" s="75"/>
      <c r="F628" s="75"/>
      <c r="G628" s="76"/>
    </row>
    <row r="629">
      <c r="A629" s="73"/>
      <c r="B629" s="74"/>
      <c r="C629" s="74"/>
      <c r="D629" s="73"/>
      <c r="E629" s="75"/>
      <c r="F629" s="75"/>
      <c r="G629" s="76"/>
    </row>
    <row r="630">
      <c r="A630" s="73"/>
      <c r="B630" s="74"/>
      <c r="C630" s="74"/>
      <c r="D630" s="73"/>
      <c r="E630" s="75"/>
      <c r="F630" s="75"/>
      <c r="G630" s="76"/>
    </row>
    <row r="631">
      <c r="A631" s="73"/>
      <c r="B631" s="74"/>
      <c r="C631" s="74"/>
      <c r="D631" s="73"/>
      <c r="E631" s="75"/>
      <c r="F631" s="75"/>
      <c r="G631" s="76"/>
    </row>
    <row r="632">
      <c r="A632" s="73"/>
      <c r="B632" s="74"/>
      <c r="C632" s="74"/>
      <c r="D632" s="73"/>
      <c r="E632" s="75"/>
      <c r="F632" s="75"/>
      <c r="G632" s="76"/>
    </row>
    <row r="633">
      <c r="A633" s="73"/>
      <c r="B633" s="74"/>
      <c r="C633" s="74"/>
      <c r="D633" s="73"/>
      <c r="E633" s="75"/>
      <c r="F633" s="75"/>
      <c r="G633" s="76"/>
    </row>
    <row r="634">
      <c r="A634" s="73"/>
      <c r="B634" s="74"/>
      <c r="C634" s="74"/>
      <c r="D634" s="73"/>
      <c r="E634" s="75"/>
      <c r="F634" s="75"/>
      <c r="G634" s="76"/>
    </row>
    <row r="635">
      <c r="A635" s="73"/>
      <c r="B635" s="74"/>
      <c r="C635" s="74"/>
      <c r="D635" s="73"/>
      <c r="E635" s="75"/>
      <c r="F635" s="75"/>
      <c r="G635" s="76"/>
    </row>
    <row r="636">
      <c r="A636" s="73"/>
      <c r="B636" s="74"/>
      <c r="C636" s="74"/>
      <c r="D636" s="73"/>
      <c r="E636" s="75"/>
      <c r="F636" s="75"/>
      <c r="G636" s="76"/>
    </row>
    <row r="637">
      <c r="A637" s="73"/>
      <c r="B637" s="74"/>
      <c r="C637" s="74"/>
      <c r="D637" s="73"/>
      <c r="E637" s="75"/>
      <c r="F637" s="75"/>
      <c r="G637" s="76"/>
    </row>
    <row r="638">
      <c r="A638" s="73"/>
      <c r="B638" s="74"/>
      <c r="C638" s="74"/>
      <c r="D638" s="73"/>
      <c r="E638" s="75"/>
      <c r="F638" s="75"/>
      <c r="G638" s="76"/>
    </row>
    <row r="639">
      <c r="A639" s="73"/>
      <c r="B639" s="74"/>
      <c r="C639" s="74"/>
      <c r="D639" s="73"/>
      <c r="E639" s="75"/>
      <c r="F639" s="75"/>
      <c r="G639" s="76"/>
    </row>
    <row r="640">
      <c r="A640" s="73"/>
      <c r="B640" s="74"/>
      <c r="C640" s="74"/>
      <c r="D640" s="73"/>
      <c r="E640" s="75"/>
      <c r="F640" s="75"/>
      <c r="G640" s="76"/>
    </row>
    <row r="641">
      <c r="A641" s="73"/>
      <c r="B641" s="74"/>
      <c r="C641" s="74"/>
      <c r="D641" s="73"/>
      <c r="E641" s="75"/>
      <c r="F641" s="75"/>
      <c r="G641" s="76"/>
    </row>
    <row r="642">
      <c r="A642" s="73"/>
      <c r="B642" s="74"/>
      <c r="C642" s="74"/>
      <c r="D642" s="73"/>
      <c r="E642" s="75"/>
      <c r="F642" s="75"/>
      <c r="G642" s="76"/>
    </row>
    <row r="643">
      <c r="A643" s="73"/>
      <c r="B643" s="74"/>
      <c r="C643" s="74"/>
      <c r="D643" s="73"/>
      <c r="E643" s="75"/>
      <c r="F643" s="75"/>
      <c r="G643" s="76"/>
    </row>
    <row r="644">
      <c r="A644" s="73"/>
      <c r="B644" s="74"/>
      <c r="C644" s="74"/>
      <c r="D644" s="73"/>
      <c r="E644" s="75"/>
      <c r="F644" s="75"/>
      <c r="G644" s="76"/>
    </row>
    <row r="645">
      <c r="A645" s="73"/>
      <c r="B645" s="74"/>
      <c r="C645" s="74"/>
      <c r="D645" s="73"/>
      <c r="E645" s="75"/>
      <c r="F645" s="75"/>
      <c r="G645" s="76"/>
    </row>
    <row r="646">
      <c r="A646" s="73"/>
      <c r="B646" s="74"/>
      <c r="C646" s="74"/>
      <c r="D646" s="73"/>
      <c r="E646" s="75"/>
      <c r="F646" s="75"/>
      <c r="G646" s="76"/>
    </row>
    <row r="647">
      <c r="A647" s="73"/>
      <c r="B647" s="74"/>
      <c r="C647" s="74"/>
      <c r="D647" s="73"/>
      <c r="E647" s="75"/>
      <c r="F647" s="75"/>
      <c r="G647" s="76"/>
    </row>
    <row r="648">
      <c r="A648" s="73"/>
      <c r="B648" s="74"/>
      <c r="C648" s="74"/>
      <c r="D648" s="73"/>
      <c r="E648" s="75"/>
      <c r="F648" s="75"/>
      <c r="G648" s="76"/>
    </row>
    <row r="649">
      <c r="A649" s="73"/>
      <c r="B649" s="74"/>
      <c r="C649" s="74"/>
      <c r="D649" s="73"/>
      <c r="E649" s="75"/>
      <c r="F649" s="75"/>
      <c r="G649" s="76"/>
    </row>
    <row r="650">
      <c r="A650" s="73"/>
      <c r="B650" s="74"/>
      <c r="C650" s="74"/>
      <c r="D650" s="73"/>
      <c r="E650" s="75"/>
      <c r="F650" s="75"/>
      <c r="G650" s="76"/>
    </row>
    <row r="651">
      <c r="A651" s="73"/>
      <c r="B651" s="74"/>
      <c r="C651" s="74"/>
      <c r="D651" s="73"/>
      <c r="E651" s="75"/>
      <c r="F651" s="75"/>
      <c r="G651" s="76"/>
    </row>
    <row r="652">
      <c r="A652" s="73"/>
      <c r="B652" s="74"/>
      <c r="C652" s="74"/>
      <c r="D652" s="73"/>
      <c r="E652" s="75"/>
      <c r="F652" s="75"/>
      <c r="G652" s="76"/>
    </row>
    <row r="653">
      <c r="A653" s="73"/>
      <c r="B653" s="74"/>
      <c r="C653" s="74"/>
      <c r="D653" s="73"/>
      <c r="E653" s="75"/>
      <c r="F653" s="75"/>
      <c r="G653" s="76"/>
    </row>
    <row r="654">
      <c r="A654" s="73"/>
      <c r="B654" s="74"/>
      <c r="C654" s="74"/>
      <c r="D654" s="73"/>
      <c r="E654" s="75"/>
      <c r="F654" s="75"/>
      <c r="G654" s="76"/>
    </row>
    <row r="655">
      <c r="A655" s="73"/>
      <c r="B655" s="74"/>
      <c r="C655" s="74"/>
      <c r="D655" s="73"/>
      <c r="E655" s="75"/>
      <c r="F655" s="75"/>
      <c r="G655" s="76"/>
    </row>
    <row r="656">
      <c r="A656" s="73"/>
      <c r="B656" s="74"/>
      <c r="C656" s="74"/>
      <c r="D656" s="73"/>
      <c r="E656" s="75"/>
      <c r="F656" s="75"/>
      <c r="G656" s="76"/>
    </row>
    <row r="657">
      <c r="A657" s="73"/>
      <c r="B657" s="74"/>
      <c r="C657" s="74"/>
      <c r="D657" s="73"/>
      <c r="E657" s="75"/>
      <c r="F657" s="75"/>
      <c r="G657" s="76"/>
    </row>
    <row r="658">
      <c r="A658" s="73"/>
      <c r="B658" s="74"/>
      <c r="C658" s="74"/>
      <c r="D658" s="73"/>
      <c r="E658" s="75"/>
      <c r="F658" s="75"/>
      <c r="G658" s="76"/>
    </row>
    <row r="659">
      <c r="A659" s="73"/>
      <c r="B659" s="74"/>
      <c r="C659" s="74"/>
      <c r="D659" s="73"/>
      <c r="E659" s="75"/>
      <c r="F659" s="75"/>
      <c r="G659" s="76"/>
    </row>
    <row r="660">
      <c r="A660" s="73"/>
      <c r="B660" s="74"/>
      <c r="C660" s="74"/>
      <c r="D660" s="73"/>
      <c r="E660" s="75"/>
      <c r="F660" s="75"/>
      <c r="G660" s="76"/>
    </row>
    <row r="661">
      <c r="A661" s="73"/>
      <c r="B661" s="74"/>
      <c r="C661" s="74"/>
      <c r="D661" s="73"/>
      <c r="E661" s="75"/>
      <c r="F661" s="75"/>
      <c r="G661" s="76"/>
    </row>
    <row r="662">
      <c r="A662" s="73"/>
      <c r="B662" s="74"/>
      <c r="C662" s="74"/>
      <c r="D662" s="73"/>
      <c r="E662" s="75"/>
      <c r="F662" s="75"/>
      <c r="G662" s="76"/>
    </row>
    <row r="663">
      <c r="A663" s="73"/>
      <c r="B663" s="74"/>
      <c r="C663" s="74"/>
      <c r="D663" s="73"/>
      <c r="E663" s="75"/>
      <c r="F663" s="75"/>
      <c r="G663" s="76"/>
    </row>
    <row r="664">
      <c r="A664" s="73"/>
      <c r="B664" s="74"/>
      <c r="C664" s="74"/>
      <c r="D664" s="73"/>
      <c r="E664" s="75"/>
      <c r="F664" s="75"/>
      <c r="G664" s="76"/>
    </row>
    <row r="665">
      <c r="A665" s="73"/>
      <c r="B665" s="74"/>
      <c r="C665" s="74"/>
      <c r="D665" s="73"/>
      <c r="E665" s="75"/>
      <c r="F665" s="75"/>
      <c r="G665" s="76"/>
    </row>
    <row r="666">
      <c r="A666" s="73"/>
      <c r="B666" s="74"/>
      <c r="C666" s="74"/>
      <c r="D666" s="73"/>
      <c r="E666" s="75"/>
      <c r="F666" s="75"/>
      <c r="G666" s="76"/>
    </row>
    <row r="667">
      <c r="A667" s="73"/>
      <c r="B667" s="74"/>
      <c r="C667" s="74"/>
      <c r="D667" s="73"/>
      <c r="E667" s="75"/>
      <c r="F667" s="75"/>
      <c r="G667" s="76"/>
    </row>
    <row r="668">
      <c r="A668" s="73"/>
      <c r="B668" s="74"/>
      <c r="C668" s="74"/>
      <c r="D668" s="73"/>
      <c r="E668" s="75"/>
      <c r="F668" s="75"/>
      <c r="G668" s="76"/>
    </row>
    <row r="669">
      <c r="A669" s="73"/>
      <c r="B669" s="74"/>
      <c r="C669" s="74"/>
      <c r="D669" s="73"/>
      <c r="E669" s="75"/>
      <c r="F669" s="75"/>
      <c r="G669" s="76"/>
    </row>
    <row r="670">
      <c r="A670" s="73"/>
      <c r="B670" s="74"/>
      <c r="C670" s="74"/>
      <c r="D670" s="73"/>
      <c r="E670" s="75"/>
      <c r="F670" s="75"/>
      <c r="G670" s="76"/>
    </row>
    <row r="671">
      <c r="A671" s="73"/>
      <c r="B671" s="74"/>
      <c r="C671" s="74"/>
      <c r="D671" s="73"/>
      <c r="E671" s="75"/>
      <c r="F671" s="75"/>
      <c r="G671" s="76"/>
    </row>
    <row r="672">
      <c r="A672" s="73"/>
      <c r="B672" s="74"/>
      <c r="C672" s="74"/>
      <c r="D672" s="73"/>
      <c r="E672" s="75"/>
      <c r="F672" s="75"/>
      <c r="G672" s="76"/>
    </row>
    <row r="673">
      <c r="A673" s="73"/>
      <c r="B673" s="74"/>
      <c r="C673" s="74"/>
      <c r="D673" s="73"/>
      <c r="E673" s="75"/>
      <c r="F673" s="75"/>
      <c r="G673" s="76"/>
    </row>
    <row r="674">
      <c r="A674" s="73"/>
      <c r="B674" s="74"/>
      <c r="C674" s="74"/>
      <c r="D674" s="73"/>
      <c r="E674" s="75"/>
      <c r="F674" s="75"/>
      <c r="G674" s="76"/>
    </row>
    <row r="675">
      <c r="A675" s="73"/>
      <c r="B675" s="74"/>
      <c r="C675" s="74"/>
      <c r="D675" s="73"/>
      <c r="E675" s="75"/>
      <c r="F675" s="75"/>
      <c r="G675" s="76"/>
    </row>
    <row r="676">
      <c r="A676" s="73"/>
      <c r="B676" s="74"/>
      <c r="C676" s="74"/>
      <c r="D676" s="73"/>
      <c r="E676" s="75"/>
      <c r="F676" s="75"/>
      <c r="G676" s="76"/>
    </row>
    <row r="677">
      <c r="A677" s="73"/>
      <c r="B677" s="74"/>
      <c r="C677" s="74"/>
      <c r="D677" s="73"/>
      <c r="E677" s="75"/>
      <c r="F677" s="75"/>
      <c r="G677" s="76"/>
    </row>
    <row r="678">
      <c r="A678" s="73"/>
      <c r="B678" s="74"/>
      <c r="C678" s="74"/>
      <c r="D678" s="73"/>
      <c r="E678" s="75"/>
      <c r="F678" s="75"/>
      <c r="G678" s="76"/>
    </row>
    <row r="679">
      <c r="A679" s="73"/>
      <c r="B679" s="74"/>
      <c r="C679" s="74"/>
      <c r="D679" s="73"/>
      <c r="E679" s="75"/>
      <c r="F679" s="75"/>
      <c r="G679" s="76"/>
    </row>
    <row r="680">
      <c r="A680" s="73"/>
      <c r="B680" s="74"/>
      <c r="C680" s="74"/>
      <c r="D680" s="73"/>
      <c r="E680" s="75"/>
      <c r="F680" s="75"/>
      <c r="G680" s="76"/>
    </row>
    <row r="681">
      <c r="A681" s="73"/>
      <c r="B681" s="74"/>
      <c r="C681" s="74"/>
      <c r="D681" s="73"/>
      <c r="E681" s="75"/>
      <c r="F681" s="75"/>
      <c r="G681" s="76"/>
    </row>
    <row r="682">
      <c r="A682" s="73"/>
      <c r="B682" s="74"/>
      <c r="C682" s="74"/>
      <c r="D682" s="73"/>
      <c r="E682" s="75"/>
      <c r="F682" s="75"/>
      <c r="G682" s="76"/>
    </row>
    <row r="683">
      <c r="A683" s="73"/>
      <c r="B683" s="74"/>
      <c r="C683" s="74"/>
      <c r="D683" s="73"/>
      <c r="E683" s="75"/>
      <c r="F683" s="75"/>
      <c r="G683" s="76"/>
    </row>
    <row r="684">
      <c r="A684" s="73"/>
      <c r="B684" s="74"/>
      <c r="C684" s="74"/>
      <c r="D684" s="73"/>
      <c r="E684" s="75"/>
      <c r="F684" s="75"/>
      <c r="G684" s="76"/>
    </row>
    <row r="685">
      <c r="A685" s="73"/>
      <c r="B685" s="74"/>
      <c r="C685" s="74"/>
      <c r="D685" s="73"/>
      <c r="E685" s="75"/>
      <c r="F685" s="75"/>
      <c r="G685" s="76"/>
    </row>
    <row r="686">
      <c r="A686" s="73"/>
      <c r="B686" s="74"/>
      <c r="C686" s="74"/>
      <c r="D686" s="73"/>
      <c r="E686" s="75"/>
      <c r="F686" s="75"/>
      <c r="G686" s="76"/>
    </row>
    <row r="687">
      <c r="A687" s="73"/>
      <c r="B687" s="74"/>
      <c r="C687" s="74"/>
      <c r="D687" s="73"/>
      <c r="E687" s="75"/>
      <c r="F687" s="75"/>
      <c r="G687" s="76"/>
    </row>
    <row r="688">
      <c r="A688" s="73"/>
      <c r="B688" s="74"/>
      <c r="C688" s="74"/>
      <c r="D688" s="73"/>
      <c r="E688" s="75"/>
      <c r="F688" s="75"/>
      <c r="G688" s="76"/>
    </row>
    <row r="689">
      <c r="A689" s="73"/>
      <c r="B689" s="74"/>
      <c r="C689" s="74"/>
      <c r="D689" s="73"/>
      <c r="E689" s="75"/>
      <c r="F689" s="75"/>
      <c r="G689" s="76"/>
    </row>
    <row r="690">
      <c r="A690" s="73"/>
      <c r="B690" s="74"/>
      <c r="C690" s="74"/>
      <c r="D690" s="73"/>
      <c r="E690" s="75"/>
      <c r="F690" s="75"/>
      <c r="G690" s="76"/>
    </row>
    <row r="691">
      <c r="A691" s="73"/>
      <c r="B691" s="74"/>
      <c r="C691" s="74"/>
      <c r="D691" s="73"/>
      <c r="E691" s="75"/>
      <c r="F691" s="75"/>
      <c r="G691" s="76"/>
    </row>
    <row r="692">
      <c r="A692" s="73"/>
      <c r="B692" s="74"/>
      <c r="C692" s="74"/>
      <c r="D692" s="73"/>
      <c r="E692" s="75"/>
      <c r="F692" s="75"/>
      <c r="G692" s="76"/>
    </row>
    <row r="693">
      <c r="A693" s="73"/>
      <c r="B693" s="74"/>
      <c r="C693" s="74"/>
      <c r="D693" s="73"/>
      <c r="E693" s="75"/>
      <c r="F693" s="75"/>
      <c r="G693" s="76"/>
    </row>
    <row r="694">
      <c r="A694" s="73"/>
      <c r="B694" s="74"/>
      <c r="C694" s="74"/>
      <c r="D694" s="73"/>
      <c r="E694" s="75"/>
      <c r="F694" s="75"/>
      <c r="G694" s="76"/>
    </row>
    <row r="695">
      <c r="A695" s="73"/>
      <c r="B695" s="74"/>
      <c r="C695" s="74"/>
      <c r="D695" s="73"/>
      <c r="E695" s="75"/>
      <c r="F695" s="75"/>
      <c r="G695" s="76"/>
    </row>
    <row r="696">
      <c r="A696" s="73"/>
      <c r="B696" s="74"/>
      <c r="C696" s="74"/>
      <c r="D696" s="73"/>
      <c r="E696" s="75"/>
      <c r="F696" s="75"/>
      <c r="G696" s="76"/>
    </row>
    <row r="697">
      <c r="A697" s="73"/>
      <c r="B697" s="74"/>
      <c r="C697" s="74"/>
      <c r="D697" s="73"/>
      <c r="E697" s="75"/>
      <c r="F697" s="75"/>
      <c r="G697" s="76"/>
    </row>
    <row r="698">
      <c r="A698" s="73"/>
      <c r="B698" s="74"/>
      <c r="C698" s="74"/>
      <c r="D698" s="73"/>
      <c r="E698" s="75"/>
      <c r="F698" s="75"/>
      <c r="G698" s="76"/>
    </row>
    <row r="699">
      <c r="A699" s="73"/>
      <c r="B699" s="74"/>
      <c r="C699" s="74"/>
      <c r="D699" s="73"/>
      <c r="E699" s="75"/>
      <c r="F699" s="75"/>
      <c r="G699" s="76"/>
    </row>
    <row r="700">
      <c r="A700" s="73"/>
      <c r="B700" s="74"/>
      <c r="C700" s="74"/>
      <c r="D700" s="73"/>
      <c r="E700" s="75"/>
      <c r="F700" s="75"/>
      <c r="G700" s="76"/>
    </row>
    <row r="701">
      <c r="A701" s="73"/>
      <c r="B701" s="74"/>
      <c r="C701" s="74"/>
      <c r="D701" s="73"/>
      <c r="E701" s="75"/>
      <c r="F701" s="75"/>
      <c r="G701" s="76"/>
    </row>
    <row r="702">
      <c r="A702" s="73"/>
      <c r="B702" s="74"/>
      <c r="C702" s="74"/>
      <c r="D702" s="73"/>
      <c r="E702" s="75"/>
      <c r="F702" s="75"/>
      <c r="G702" s="76"/>
    </row>
    <row r="703">
      <c r="A703" s="73"/>
      <c r="B703" s="74"/>
      <c r="C703" s="74"/>
      <c r="D703" s="73"/>
      <c r="E703" s="75"/>
      <c r="F703" s="75"/>
      <c r="G703" s="76"/>
    </row>
    <row r="704">
      <c r="A704" s="73"/>
      <c r="B704" s="74"/>
      <c r="C704" s="74"/>
      <c r="D704" s="73"/>
      <c r="E704" s="75"/>
      <c r="F704" s="75"/>
      <c r="G704" s="76"/>
    </row>
    <row r="705">
      <c r="A705" s="73"/>
      <c r="B705" s="74"/>
      <c r="C705" s="74"/>
      <c r="D705" s="73"/>
      <c r="E705" s="75"/>
      <c r="F705" s="75"/>
      <c r="G705" s="76"/>
    </row>
    <row r="706">
      <c r="A706" s="73"/>
      <c r="B706" s="74"/>
      <c r="C706" s="74"/>
      <c r="D706" s="73"/>
      <c r="E706" s="75"/>
      <c r="F706" s="75"/>
      <c r="G706" s="76"/>
    </row>
    <row r="707">
      <c r="A707" s="73"/>
      <c r="B707" s="74"/>
      <c r="C707" s="74"/>
      <c r="D707" s="73"/>
      <c r="E707" s="75"/>
      <c r="F707" s="75"/>
      <c r="G707" s="76"/>
    </row>
    <row r="708">
      <c r="A708" s="73"/>
      <c r="B708" s="74"/>
      <c r="C708" s="74"/>
      <c r="D708" s="73"/>
      <c r="E708" s="75"/>
      <c r="F708" s="75"/>
      <c r="G708" s="76"/>
    </row>
    <row r="709">
      <c r="A709" s="73"/>
      <c r="B709" s="74"/>
      <c r="C709" s="74"/>
      <c r="D709" s="73"/>
      <c r="E709" s="75"/>
      <c r="F709" s="75"/>
      <c r="G709" s="76"/>
    </row>
    <row r="710">
      <c r="A710" s="73"/>
      <c r="B710" s="74"/>
      <c r="C710" s="74"/>
      <c r="D710" s="73"/>
      <c r="E710" s="75"/>
      <c r="F710" s="75"/>
      <c r="G710" s="76"/>
    </row>
    <row r="711">
      <c r="A711" s="73"/>
      <c r="B711" s="74"/>
      <c r="C711" s="74"/>
      <c r="D711" s="73"/>
      <c r="E711" s="75"/>
      <c r="F711" s="75"/>
      <c r="G711" s="76"/>
    </row>
    <row r="712">
      <c r="A712" s="73"/>
      <c r="B712" s="74"/>
      <c r="C712" s="74"/>
      <c r="D712" s="73"/>
      <c r="E712" s="75"/>
      <c r="F712" s="75"/>
      <c r="G712" s="76"/>
    </row>
    <row r="713">
      <c r="A713" s="73"/>
      <c r="B713" s="74"/>
      <c r="C713" s="74"/>
      <c r="D713" s="73"/>
      <c r="E713" s="75"/>
      <c r="F713" s="75"/>
      <c r="G713" s="76"/>
    </row>
    <row r="714">
      <c r="A714" s="73"/>
      <c r="B714" s="74"/>
      <c r="C714" s="74"/>
      <c r="D714" s="73"/>
      <c r="E714" s="75"/>
      <c r="F714" s="75"/>
      <c r="G714" s="76"/>
    </row>
    <row r="715">
      <c r="A715" s="73"/>
      <c r="B715" s="74"/>
      <c r="C715" s="74"/>
      <c r="D715" s="73"/>
      <c r="E715" s="75"/>
      <c r="F715" s="75"/>
      <c r="G715" s="76"/>
    </row>
    <row r="716">
      <c r="A716" s="73"/>
      <c r="B716" s="74"/>
      <c r="C716" s="74"/>
      <c r="D716" s="73"/>
      <c r="E716" s="75"/>
      <c r="F716" s="75"/>
      <c r="G716" s="76"/>
    </row>
    <row r="717">
      <c r="A717" s="73"/>
      <c r="B717" s="74"/>
      <c r="C717" s="74"/>
      <c r="D717" s="73"/>
      <c r="E717" s="75"/>
      <c r="F717" s="75"/>
      <c r="G717" s="76"/>
    </row>
    <row r="718">
      <c r="A718" s="73"/>
      <c r="B718" s="74"/>
      <c r="C718" s="74"/>
      <c r="D718" s="73"/>
      <c r="E718" s="75"/>
      <c r="F718" s="75"/>
      <c r="G718" s="76"/>
    </row>
    <row r="719">
      <c r="A719" s="73"/>
      <c r="B719" s="74"/>
      <c r="C719" s="74"/>
      <c r="D719" s="73"/>
      <c r="E719" s="75"/>
      <c r="F719" s="75"/>
      <c r="G719" s="76"/>
    </row>
    <row r="720">
      <c r="A720" s="73"/>
      <c r="B720" s="74"/>
      <c r="C720" s="74"/>
      <c r="D720" s="73"/>
      <c r="E720" s="75"/>
      <c r="F720" s="75"/>
      <c r="G720" s="76"/>
    </row>
    <row r="721">
      <c r="A721" s="73"/>
      <c r="B721" s="74"/>
      <c r="C721" s="74"/>
      <c r="D721" s="73"/>
      <c r="E721" s="75"/>
      <c r="F721" s="75"/>
      <c r="G721" s="76"/>
    </row>
    <row r="722">
      <c r="A722" s="73"/>
      <c r="B722" s="74"/>
      <c r="C722" s="74"/>
      <c r="D722" s="73"/>
      <c r="E722" s="75"/>
      <c r="F722" s="75"/>
      <c r="G722" s="76"/>
    </row>
    <row r="723">
      <c r="A723" s="73"/>
      <c r="B723" s="74"/>
      <c r="C723" s="74"/>
      <c r="D723" s="73"/>
      <c r="E723" s="75"/>
      <c r="F723" s="75"/>
      <c r="G723" s="76"/>
    </row>
    <row r="724">
      <c r="A724" s="73"/>
      <c r="B724" s="74"/>
      <c r="C724" s="74"/>
      <c r="D724" s="73"/>
      <c r="E724" s="75"/>
      <c r="F724" s="75"/>
      <c r="G724" s="76"/>
    </row>
    <row r="725">
      <c r="A725" s="73"/>
      <c r="B725" s="74"/>
      <c r="C725" s="74"/>
      <c r="D725" s="73"/>
      <c r="E725" s="75"/>
      <c r="F725" s="75"/>
      <c r="G725" s="76"/>
    </row>
    <row r="726">
      <c r="A726" s="73"/>
      <c r="B726" s="74"/>
      <c r="C726" s="74"/>
      <c r="D726" s="73"/>
      <c r="E726" s="75"/>
      <c r="F726" s="75"/>
      <c r="G726" s="76"/>
    </row>
    <row r="727">
      <c r="A727" s="73"/>
      <c r="B727" s="74"/>
      <c r="C727" s="74"/>
      <c r="D727" s="73"/>
      <c r="E727" s="75"/>
      <c r="F727" s="75"/>
      <c r="G727" s="76"/>
    </row>
    <row r="728">
      <c r="A728" s="73"/>
      <c r="B728" s="74"/>
      <c r="C728" s="74"/>
      <c r="D728" s="73"/>
      <c r="E728" s="75"/>
      <c r="F728" s="75"/>
      <c r="G728" s="76"/>
    </row>
    <row r="729">
      <c r="A729" s="73"/>
      <c r="B729" s="74"/>
      <c r="C729" s="74"/>
      <c r="D729" s="73"/>
      <c r="E729" s="75"/>
      <c r="F729" s="75"/>
      <c r="G729" s="76"/>
    </row>
    <row r="730">
      <c r="A730" s="73"/>
      <c r="B730" s="74"/>
      <c r="C730" s="74"/>
      <c r="D730" s="73"/>
      <c r="E730" s="75"/>
      <c r="F730" s="75"/>
      <c r="G730" s="76"/>
    </row>
    <row r="731">
      <c r="A731" s="73"/>
      <c r="B731" s="74"/>
      <c r="C731" s="74"/>
      <c r="D731" s="73"/>
      <c r="E731" s="75"/>
      <c r="F731" s="75"/>
      <c r="G731" s="76"/>
    </row>
    <row r="732">
      <c r="A732" s="73"/>
      <c r="B732" s="74"/>
      <c r="C732" s="74"/>
      <c r="D732" s="73"/>
      <c r="E732" s="75"/>
      <c r="F732" s="75"/>
      <c r="G732" s="76"/>
    </row>
    <row r="733">
      <c r="A733" s="73"/>
      <c r="B733" s="74"/>
      <c r="C733" s="74"/>
      <c r="D733" s="73"/>
      <c r="E733" s="75"/>
      <c r="F733" s="75"/>
      <c r="G733" s="76"/>
    </row>
    <row r="734">
      <c r="A734" s="73"/>
      <c r="B734" s="74"/>
      <c r="C734" s="74"/>
      <c r="D734" s="73"/>
      <c r="E734" s="75"/>
      <c r="F734" s="75"/>
      <c r="G734" s="76"/>
    </row>
    <row r="735">
      <c r="A735" s="73"/>
      <c r="B735" s="74"/>
      <c r="C735" s="74"/>
      <c r="D735" s="73"/>
      <c r="E735" s="75"/>
      <c r="F735" s="75"/>
      <c r="G735" s="76"/>
    </row>
    <row r="736">
      <c r="A736" s="73"/>
      <c r="B736" s="74"/>
      <c r="C736" s="74"/>
      <c r="D736" s="73"/>
      <c r="E736" s="75"/>
      <c r="F736" s="75"/>
      <c r="G736" s="76"/>
    </row>
    <row r="737">
      <c r="A737" s="73"/>
      <c r="B737" s="74"/>
      <c r="C737" s="74"/>
      <c r="D737" s="73"/>
      <c r="E737" s="75"/>
      <c r="F737" s="75"/>
      <c r="G737" s="76"/>
    </row>
    <row r="738">
      <c r="A738" s="73"/>
      <c r="B738" s="74"/>
      <c r="C738" s="74"/>
      <c r="D738" s="73"/>
      <c r="E738" s="75"/>
      <c r="F738" s="75"/>
      <c r="G738" s="76"/>
    </row>
    <row r="739">
      <c r="A739" s="73"/>
      <c r="B739" s="74"/>
      <c r="C739" s="74"/>
      <c r="D739" s="73"/>
      <c r="E739" s="75"/>
      <c r="F739" s="75"/>
      <c r="G739" s="76"/>
    </row>
    <row r="740">
      <c r="A740" s="73"/>
      <c r="B740" s="74"/>
      <c r="C740" s="74"/>
      <c r="D740" s="73"/>
      <c r="E740" s="75"/>
      <c r="F740" s="75"/>
      <c r="G740" s="76"/>
    </row>
    <row r="741">
      <c r="A741" s="73"/>
      <c r="B741" s="74"/>
      <c r="C741" s="74"/>
      <c r="D741" s="73"/>
      <c r="E741" s="75"/>
      <c r="F741" s="75"/>
      <c r="G741" s="76"/>
    </row>
    <row r="742">
      <c r="A742" s="73"/>
      <c r="B742" s="74"/>
      <c r="C742" s="74"/>
      <c r="D742" s="73"/>
      <c r="E742" s="75"/>
      <c r="F742" s="75"/>
      <c r="G742" s="76"/>
    </row>
    <row r="743">
      <c r="A743" s="73"/>
      <c r="B743" s="74"/>
      <c r="C743" s="74"/>
      <c r="D743" s="73"/>
      <c r="E743" s="75"/>
      <c r="F743" s="75"/>
      <c r="G743" s="76"/>
    </row>
    <row r="744">
      <c r="A744" s="73"/>
      <c r="B744" s="74"/>
      <c r="C744" s="74"/>
      <c r="D744" s="73"/>
      <c r="E744" s="75"/>
      <c r="F744" s="75"/>
      <c r="G744" s="76"/>
    </row>
    <row r="745">
      <c r="A745" s="73"/>
      <c r="B745" s="74"/>
      <c r="C745" s="74"/>
      <c r="D745" s="73"/>
      <c r="E745" s="75"/>
      <c r="F745" s="75"/>
      <c r="G745" s="76"/>
    </row>
    <row r="746">
      <c r="A746" s="73"/>
      <c r="B746" s="74"/>
      <c r="C746" s="74"/>
      <c r="D746" s="73"/>
      <c r="E746" s="75"/>
      <c r="F746" s="75"/>
      <c r="G746" s="76"/>
    </row>
    <row r="747">
      <c r="A747" s="73"/>
      <c r="B747" s="74"/>
      <c r="C747" s="74"/>
      <c r="D747" s="73"/>
      <c r="E747" s="75"/>
      <c r="F747" s="75"/>
      <c r="G747" s="76"/>
    </row>
    <row r="748">
      <c r="A748" s="73"/>
      <c r="B748" s="74"/>
      <c r="C748" s="74"/>
      <c r="D748" s="73"/>
      <c r="E748" s="75"/>
      <c r="F748" s="75"/>
      <c r="G748" s="76"/>
    </row>
    <row r="749">
      <c r="A749" s="73"/>
      <c r="B749" s="74"/>
      <c r="C749" s="74"/>
      <c r="D749" s="73"/>
      <c r="E749" s="75"/>
      <c r="F749" s="75"/>
      <c r="G749" s="76"/>
    </row>
    <row r="750">
      <c r="A750" s="73"/>
      <c r="B750" s="74"/>
      <c r="C750" s="74"/>
      <c r="D750" s="73"/>
      <c r="E750" s="75"/>
      <c r="F750" s="75"/>
      <c r="G750" s="76"/>
    </row>
    <row r="751">
      <c r="A751" s="73"/>
      <c r="B751" s="74"/>
      <c r="C751" s="74"/>
      <c r="D751" s="73"/>
      <c r="E751" s="75"/>
      <c r="F751" s="75"/>
      <c r="G751" s="76"/>
    </row>
    <row r="752">
      <c r="A752" s="73"/>
      <c r="B752" s="74"/>
      <c r="C752" s="74"/>
      <c r="D752" s="73"/>
      <c r="E752" s="75"/>
      <c r="F752" s="75"/>
      <c r="G752" s="76"/>
    </row>
    <row r="753">
      <c r="A753" s="73"/>
      <c r="B753" s="74"/>
      <c r="C753" s="74"/>
      <c r="D753" s="73"/>
      <c r="E753" s="75"/>
      <c r="F753" s="75"/>
      <c r="G753" s="76"/>
    </row>
    <row r="754">
      <c r="A754" s="73"/>
      <c r="B754" s="74"/>
      <c r="C754" s="74"/>
      <c r="D754" s="73"/>
      <c r="E754" s="75"/>
      <c r="F754" s="75"/>
      <c r="G754" s="76"/>
    </row>
    <row r="755">
      <c r="A755" s="73"/>
      <c r="B755" s="74"/>
      <c r="C755" s="74"/>
      <c r="D755" s="73"/>
      <c r="E755" s="75"/>
      <c r="F755" s="75"/>
      <c r="G755" s="76"/>
    </row>
    <row r="756">
      <c r="A756" s="73"/>
      <c r="B756" s="74"/>
      <c r="C756" s="74"/>
      <c r="D756" s="73"/>
      <c r="E756" s="75"/>
      <c r="F756" s="75"/>
      <c r="G756" s="76"/>
    </row>
    <row r="757">
      <c r="A757" s="73"/>
      <c r="B757" s="74"/>
      <c r="C757" s="74"/>
      <c r="D757" s="73"/>
      <c r="E757" s="75"/>
      <c r="F757" s="75"/>
      <c r="G757" s="76"/>
    </row>
    <row r="758">
      <c r="A758" s="73"/>
      <c r="B758" s="74"/>
      <c r="C758" s="74"/>
      <c r="D758" s="73"/>
      <c r="E758" s="75"/>
      <c r="F758" s="75"/>
      <c r="G758" s="76"/>
    </row>
    <row r="759">
      <c r="A759" s="73"/>
      <c r="B759" s="74"/>
      <c r="C759" s="74"/>
      <c r="D759" s="73"/>
      <c r="E759" s="75"/>
      <c r="F759" s="75"/>
      <c r="G759" s="76"/>
    </row>
    <row r="760">
      <c r="A760" s="73"/>
      <c r="B760" s="74"/>
      <c r="C760" s="74"/>
      <c r="D760" s="73"/>
      <c r="E760" s="75"/>
      <c r="F760" s="75"/>
      <c r="G760" s="76"/>
    </row>
    <row r="761">
      <c r="A761" s="73"/>
      <c r="B761" s="74"/>
      <c r="C761" s="74"/>
      <c r="D761" s="73"/>
      <c r="E761" s="75"/>
      <c r="F761" s="75"/>
      <c r="G761" s="76"/>
    </row>
    <row r="762">
      <c r="A762" s="73"/>
      <c r="B762" s="74"/>
      <c r="C762" s="74"/>
      <c r="D762" s="73"/>
      <c r="E762" s="75"/>
      <c r="F762" s="75"/>
      <c r="G762" s="76"/>
    </row>
    <row r="763">
      <c r="A763" s="73"/>
      <c r="B763" s="74"/>
      <c r="C763" s="74"/>
      <c r="D763" s="73"/>
      <c r="E763" s="75"/>
      <c r="F763" s="75"/>
      <c r="G763" s="76"/>
    </row>
    <row r="764">
      <c r="A764" s="73"/>
      <c r="B764" s="74"/>
      <c r="C764" s="74"/>
      <c r="D764" s="73"/>
      <c r="E764" s="75"/>
      <c r="F764" s="75"/>
      <c r="G764" s="76"/>
    </row>
    <row r="765">
      <c r="A765" s="73"/>
      <c r="B765" s="74"/>
      <c r="C765" s="74"/>
      <c r="D765" s="73"/>
      <c r="E765" s="75"/>
      <c r="F765" s="75"/>
      <c r="G765" s="76"/>
    </row>
    <row r="766">
      <c r="A766" s="73"/>
      <c r="B766" s="74"/>
      <c r="C766" s="74"/>
      <c r="D766" s="73"/>
      <c r="E766" s="75"/>
      <c r="F766" s="75"/>
      <c r="G766" s="76"/>
    </row>
    <row r="767">
      <c r="A767" s="73"/>
      <c r="B767" s="74"/>
      <c r="C767" s="74"/>
      <c r="D767" s="73"/>
      <c r="E767" s="75"/>
      <c r="F767" s="75"/>
      <c r="G767" s="76"/>
    </row>
    <row r="768">
      <c r="A768" s="73"/>
      <c r="B768" s="74"/>
      <c r="C768" s="74"/>
      <c r="D768" s="73"/>
      <c r="E768" s="75"/>
      <c r="F768" s="75"/>
      <c r="G768" s="76"/>
    </row>
    <row r="769">
      <c r="A769" s="73"/>
      <c r="B769" s="74"/>
      <c r="C769" s="74"/>
      <c r="D769" s="73"/>
      <c r="E769" s="75"/>
      <c r="F769" s="75"/>
      <c r="G769" s="76"/>
    </row>
    <row r="770">
      <c r="A770" s="73"/>
      <c r="B770" s="74"/>
      <c r="C770" s="74"/>
      <c r="D770" s="73"/>
      <c r="E770" s="75"/>
      <c r="F770" s="75"/>
      <c r="G770" s="76"/>
    </row>
    <row r="771">
      <c r="A771" s="73"/>
      <c r="B771" s="74"/>
      <c r="C771" s="74"/>
      <c r="D771" s="73"/>
      <c r="E771" s="75"/>
      <c r="F771" s="75"/>
      <c r="G771" s="76"/>
    </row>
    <row r="772">
      <c r="A772" s="73"/>
      <c r="B772" s="74"/>
      <c r="C772" s="74"/>
      <c r="D772" s="73"/>
      <c r="E772" s="75"/>
      <c r="F772" s="75"/>
      <c r="G772" s="76"/>
    </row>
    <row r="773">
      <c r="A773" s="73"/>
      <c r="B773" s="74"/>
      <c r="C773" s="74"/>
      <c r="D773" s="73"/>
      <c r="E773" s="75"/>
      <c r="F773" s="75"/>
      <c r="G773" s="76"/>
    </row>
    <row r="774">
      <c r="A774" s="73"/>
      <c r="B774" s="74"/>
      <c r="C774" s="74"/>
      <c r="D774" s="73"/>
      <c r="E774" s="75"/>
      <c r="F774" s="75"/>
      <c r="G774" s="76"/>
    </row>
    <row r="775">
      <c r="A775" s="73"/>
      <c r="B775" s="74"/>
      <c r="C775" s="74"/>
      <c r="D775" s="73"/>
      <c r="E775" s="75"/>
      <c r="F775" s="75"/>
      <c r="G775" s="76"/>
    </row>
    <row r="776">
      <c r="A776" s="73"/>
      <c r="B776" s="74"/>
      <c r="C776" s="74"/>
      <c r="D776" s="73"/>
      <c r="E776" s="75"/>
      <c r="F776" s="75"/>
      <c r="G776" s="76"/>
    </row>
    <row r="777">
      <c r="A777" s="73"/>
      <c r="B777" s="74"/>
      <c r="C777" s="74"/>
      <c r="D777" s="73"/>
      <c r="E777" s="75"/>
      <c r="F777" s="75"/>
      <c r="G777" s="76"/>
    </row>
    <row r="778">
      <c r="A778" s="73"/>
      <c r="B778" s="74"/>
      <c r="C778" s="74"/>
      <c r="D778" s="73"/>
      <c r="E778" s="75"/>
      <c r="F778" s="75"/>
      <c r="G778" s="76"/>
    </row>
    <row r="779">
      <c r="A779" s="73"/>
      <c r="B779" s="74"/>
      <c r="C779" s="74"/>
      <c r="D779" s="73"/>
      <c r="E779" s="75"/>
      <c r="F779" s="75"/>
      <c r="G779" s="76"/>
    </row>
    <row r="780">
      <c r="A780" s="73"/>
      <c r="B780" s="74"/>
      <c r="C780" s="74"/>
      <c r="D780" s="73"/>
      <c r="E780" s="75"/>
      <c r="F780" s="75"/>
      <c r="G780" s="76"/>
    </row>
    <row r="781">
      <c r="A781" s="73"/>
      <c r="B781" s="74"/>
      <c r="C781" s="74"/>
      <c r="D781" s="73"/>
      <c r="E781" s="75"/>
      <c r="F781" s="75"/>
      <c r="G781" s="76"/>
    </row>
    <row r="782">
      <c r="A782" s="73"/>
      <c r="B782" s="74"/>
      <c r="C782" s="74"/>
      <c r="D782" s="73"/>
      <c r="E782" s="75"/>
      <c r="F782" s="75"/>
      <c r="G782" s="76"/>
    </row>
    <row r="783">
      <c r="A783" s="73"/>
      <c r="B783" s="74"/>
      <c r="C783" s="74"/>
      <c r="D783" s="73"/>
      <c r="E783" s="75"/>
      <c r="F783" s="75"/>
      <c r="G783" s="76"/>
    </row>
    <row r="784">
      <c r="A784" s="73"/>
      <c r="B784" s="74"/>
      <c r="C784" s="74"/>
      <c r="D784" s="73"/>
      <c r="E784" s="75"/>
      <c r="F784" s="75"/>
      <c r="G784" s="76"/>
    </row>
    <row r="785">
      <c r="A785" s="73"/>
      <c r="B785" s="74"/>
      <c r="C785" s="74"/>
      <c r="D785" s="73"/>
      <c r="E785" s="75"/>
      <c r="F785" s="75"/>
      <c r="G785" s="76"/>
    </row>
    <row r="786">
      <c r="A786" s="73"/>
      <c r="B786" s="74"/>
      <c r="C786" s="74"/>
      <c r="D786" s="73"/>
      <c r="E786" s="75"/>
      <c r="F786" s="75"/>
      <c r="G786" s="76"/>
    </row>
    <row r="787">
      <c r="A787" s="73"/>
      <c r="B787" s="74"/>
      <c r="C787" s="74"/>
      <c r="D787" s="73"/>
      <c r="E787" s="75"/>
      <c r="F787" s="75"/>
      <c r="G787" s="76"/>
    </row>
    <row r="788">
      <c r="A788" s="73"/>
      <c r="B788" s="74"/>
      <c r="C788" s="74"/>
      <c r="D788" s="73"/>
      <c r="E788" s="75"/>
      <c r="F788" s="75"/>
      <c r="G788" s="76"/>
    </row>
    <row r="789">
      <c r="A789" s="73"/>
      <c r="B789" s="74"/>
      <c r="C789" s="74"/>
      <c r="D789" s="73"/>
      <c r="E789" s="75"/>
      <c r="F789" s="75"/>
      <c r="G789" s="76"/>
    </row>
    <row r="790">
      <c r="A790" s="73"/>
      <c r="B790" s="74"/>
      <c r="C790" s="74"/>
      <c r="D790" s="73"/>
      <c r="E790" s="75"/>
      <c r="F790" s="75"/>
      <c r="G790" s="76"/>
    </row>
    <row r="791">
      <c r="A791" s="73"/>
      <c r="B791" s="74"/>
      <c r="C791" s="74"/>
      <c r="D791" s="73"/>
      <c r="E791" s="75"/>
      <c r="F791" s="75"/>
      <c r="G791" s="76"/>
    </row>
    <row r="792">
      <c r="A792" s="73"/>
      <c r="B792" s="74"/>
      <c r="C792" s="74"/>
      <c r="D792" s="73"/>
      <c r="E792" s="75"/>
      <c r="F792" s="75"/>
      <c r="G792" s="76"/>
    </row>
    <row r="793">
      <c r="A793" s="73"/>
      <c r="B793" s="74"/>
      <c r="C793" s="74"/>
      <c r="D793" s="73"/>
      <c r="E793" s="75"/>
      <c r="F793" s="75"/>
      <c r="G793" s="76"/>
    </row>
    <row r="794">
      <c r="A794" s="73"/>
      <c r="B794" s="74"/>
      <c r="C794" s="74"/>
      <c r="D794" s="73"/>
      <c r="E794" s="75"/>
      <c r="F794" s="75"/>
      <c r="G794" s="76"/>
    </row>
    <row r="795">
      <c r="A795" s="73"/>
      <c r="B795" s="74"/>
      <c r="C795" s="74"/>
      <c r="D795" s="73"/>
      <c r="E795" s="75"/>
      <c r="F795" s="75"/>
      <c r="G795" s="76"/>
    </row>
    <row r="796">
      <c r="A796" s="73"/>
      <c r="B796" s="74"/>
      <c r="C796" s="74"/>
      <c r="D796" s="73"/>
      <c r="E796" s="75"/>
      <c r="F796" s="75"/>
      <c r="G796" s="76"/>
    </row>
    <row r="797">
      <c r="A797" s="73"/>
      <c r="B797" s="74"/>
      <c r="C797" s="74"/>
      <c r="D797" s="73"/>
      <c r="E797" s="75"/>
      <c r="F797" s="75"/>
      <c r="G797" s="76"/>
    </row>
    <row r="798">
      <c r="A798" s="73"/>
      <c r="B798" s="74"/>
      <c r="C798" s="74"/>
      <c r="D798" s="73"/>
      <c r="E798" s="75"/>
      <c r="F798" s="75"/>
      <c r="G798" s="76"/>
    </row>
    <row r="799">
      <c r="A799" s="73"/>
      <c r="B799" s="74"/>
      <c r="C799" s="74"/>
      <c r="D799" s="73"/>
      <c r="E799" s="75"/>
      <c r="F799" s="75"/>
      <c r="G799" s="76"/>
    </row>
    <row r="800">
      <c r="A800" s="73"/>
      <c r="B800" s="74"/>
      <c r="C800" s="74"/>
      <c r="D800" s="73"/>
      <c r="E800" s="75"/>
      <c r="F800" s="75"/>
      <c r="G800" s="76"/>
    </row>
    <row r="801">
      <c r="A801" s="73"/>
      <c r="B801" s="74"/>
      <c r="C801" s="74"/>
      <c r="D801" s="73"/>
      <c r="E801" s="75"/>
      <c r="F801" s="75"/>
      <c r="G801" s="76"/>
    </row>
    <row r="802">
      <c r="A802" s="73"/>
      <c r="B802" s="74"/>
      <c r="C802" s="74"/>
      <c r="D802" s="73"/>
      <c r="E802" s="75"/>
      <c r="F802" s="75"/>
      <c r="G802" s="76"/>
    </row>
    <row r="803">
      <c r="A803" s="73"/>
      <c r="B803" s="74"/>
      <c r="C803" s="74"/>
      <c r="D803" s="73"/>
      <c r="E803" s="75"/>
      <c r="F803" s="75"/>
      <c r="G803" s="76"/>
    </row>
    <row r="804">
      <c r="A804" s="73"/>
      <c r="B804" s="74"/>
      <c r="C804" s="74"/>
      <c r="D804" s="73"/>
      <c r="E804" s="75"/>
      <c r="F804" s="75"/>
      <c r="G804" s="76"/>
    </row>
    <row r="805">
      <c r="A805" s="73"/>
      <c r="B805" s="74"/>
      <c r="C805" s="74"/>
      <c r="D805" s="73"/>
      <c r="E805" s="75"/>
      <c r="F805" s="75"/>
      <c r="G805" s="76"/>
    </row>
    <row r="806">
      <c r="A806" s="73"/>
      <c r="B806" s="74"/>
      <c r="C806" s="74"/>
      <c r="D806" s="73"/>
      <c r="E806" s="75"/>
      <c r="F806" s="75"/>
      <c r="G806" s="76"/>
    </row>
    <row r="807">
      <c r="A807" s="73"/>
      <c r="B807" s="74"/>
      <c r="C807" s="74"/>
      <c r="D807" s="73"/>
      <c r="E807" s="75"/>
      <c r="F807" s="75"/>
      <c r="G807" s="76"/>
    </row>
    <row r="808">
      <c r="A808" s="73"/>
      <c r="B808" s="74"/>
      <c r="C808" s="74"/>
      <c r="D808" s="73"/>
      <c r="E808" s="75"/>
      <c r="F808" s="75"/>
      <c r="G808" s="76"/>
    </row>
    <row r="809">
      <c r="A809" s="73"/>
      <c r="B809" s="74"/>
      <c r="C809" s="74"/>
      <c r="D809" s="73"/>
      <c r="E809" s="75"/>
      <c r="F809" s="75"/>
      <c r="G809" s="76"/>
    </row>
    <row r="810">
      <c r="A810" s="73"/>
      <c r="B810" s="74"/>
      <c r="C810" s="74"/>
      <c r="D810" s="73"/>
      <c r="E810" s="75"/>
      <c r="F810" s="75"/>
      <c r="G810" s="76"/>
    </row>
    <row r="811">
      <c r="A811" s="73"/>
      <c r="B811" s="74"/>
      <c r="C811" s="74"/>
      <c r="D811" s="73"/>
      <c r="E811" s="75"/>
      <c r="F811" s="75"/>
      <c r="G811" s="76"/>
    </row>
    <row r="812">
      <c r="A812" s="73"/>
      <c r="B812" s="74"/>
      <c r="C812" s="74"/>
      <c r="D812" s="73"/>
      <c r="E812" s="75"/>
      <c r="F812" s="75"/>
      <c r="G812" s="76"/>
    </row>
    <row r="813">
      <c r="A813" s="73"/>
      <c r="B813" s="74"/>
      <c r="C813" s="74"/>
      <c r="D813" s="73"/>
      <c r="E813" s="75"/>
      <c r="F813" s="75"/>
      <c r="G813" s="76"/>
    </row>
    <row r="814">
      <c r="A814" s="73"/>
      <c r="B814" s="74"/>
      <c r="C814" s="74"/>
      <c r="D814" s="73"/>
      <c r="E814" s="75"/>
      <c r="F814" s="75"/>
      <c r="G814" s="76"/>
    </row>
    <row r="815">
      <c r="A815" s="73"/>
      <c r="B815" s="74"/>
      <c r="C815" s="74"/>
      <c r="D815" s="73"/>
      <c r="E815" s="75"/>
      <c r="F815" s="75"/>
      <c r="G815" s="76"/>
    </row>
    <row r="816">
      <c r="A816" s="73"/>
      <c r="B816" s="74"/>
      <c r="C816" s="74"/>
      <c r="D816" s="73"/>
      <c r="E816" s="75"/>
      <c r="F816" s="75"/>
      <c r="G816" s="76"/>
    </row>
    <row r="817">
      <c r="A817" s="73"/>
      <c r="B817" s="74"/>
      <c r="C817" s="74"/>
      <c r="D817" s="73"/>
      <c r="E817" s="75"/>
      <c r="F817" s="75"/>
      <c r="G817" s="76"/>
    </row>
    <row r="818">
      <c r="A818" s="73"/>
      <c r="B818" s="74"/>
      <c r="C818" s="74"/>
      <c r="D818" s="73"/>
      <c r="E818" s="75"/>
      <c r="F818" s="75"/>
      <c r="G818" s="76"/>
    </row>
    <row r="819">
      <c r="A819" s="73"/>
      <c r="B819" s="74"/>
      <c r="C819" s="74"/>
      <c r="D819" s="73"/>
      <c r="E819" s="75"/>
      <c r="F819" s="75"/>
      <c r="G819" s="76"/>
    </row>
    <row r="820">
      <c r="A820" s="73"/>
      <c r="B820" s="74"/>
      <c r="C820" s="74"/>
      <c r="D820" s="73"/>
      <c r="E820" s="75"/>
      <c r="F820" s="75"/>
      <c r="G820" s="76"/>
    </row>
    <row r="821">
      <c r="A821" s="73"/>
      <c r="B821" s="74"/>
      <c r="C821" s="74"/>
      <c r="D821" s="73"/>
      <c r="E821" s="75"/>
      <c r="F821" s="75"/>
      <c r="G821" s="76"/>
    </row>
    <row r="822">
      <c r="A822" s="73"/>
      <c r="B822" s="74"/>
      <c r="C822" s="74"/>
      <c r="D822" s="73"/>
      <c r="E822" s="75"/>
      <c r="F822" s="75"/>
      <c r="G822" s="76"/>
    </row>
    <row r="823">
      <c r="A823" s="73"/>
      <c r="B823" s="74"/>
      <c r="C823" s="74"/>
      <c r="D823" s="73"/>
      <c r="E823" s="75"/>
      <c r="F823" s="75"/>
      <c r="G823" s="76"/>
    </row>
    <row r="824">
      <c r="A824" s="73"/>
      <c r="B824" s="74"/>
      <c r="C824" s="74"/>
      <c r="D824" s="73"/>
      <c r="E824" s="75"/>
      <c r="F824" s="75"/>
      <c r="G824" s="76"/>
    </row>
    <row r="825">
      <c r="A825" s="73"/>
      <c r="B825" s="74"/>
      <c r="C825" s="74"/>
      <c r="D825" s="73"/>
      <c r="E825" s="75"/>
      <c r="F825" s="75"/>
      <c r="G825" s="76"/>
    </row>
    <row r="826">
      <c r="A826" s="73"/>
      <c r="B826" s="74"/>
      <c r="C826" s="74"/>
      <c r="D826" s="73"/>
      <c r="E826" s="75"/>
      <c r="F826" s="75"/>
      <c r="G826" s="76"/>
    </row>
    <row r="827">
      <c r="A827" s="73"/>
      <c r="B827" s="74"/>
      <c r="C827" s="74"/>
      <c r="D827" s="73"/>
      <c r="E827" s="75"/>
      <c r="F827" s="75"/>
      <c r="G827" s="76"/>
    </row>
    <row r="828">
      <c r="A828" s="73"/>
      <c r="B828" s="74"/>
      <c r="C828" s="74"/>
      <c r="D828" s="73"/>
      <c r="E828" s="75"/>
      <c r="F828" s="75"/>
      <c r="G828" s="76"/>
    </row>
    <row r="829">
      <c r="A829" s="73"/>
      <c r="B829" s="74"/>
      <c r="C829" s="74"/>
      <c r="D829" s="73"/>
      <c r="E829" s="75"/>
      <c r="F829" s="75"/>
      <c r="G829" s="76"/>
    </row>
    <row r="830">
      <c r="A830" s="73"/>
      <c r="B830" s="74"/>
      <c r="C830" s="74"/>
      <c r="D830" s="73"/>
      <c r="E830" s="75"/>
      <c r="F830" s="75"/>
      <c r="G830" s="76"/>
    </row>
    <row r="831">
      <c r="A831" s="73"/>
      <c r="B831" s="74"/>
      <c r="C831" s="74"/>
      <c r="D831" s="73"/>
      <c r="E831" s="75"/>
      <c r="F831" s="75"/>
      <c r="G831" s="76"/>
    </row>
    <row r="832">
      <c r="A832" s="73"/>
      <c r="B832" s="74"/>
      <c r="C832" s="74"/>
      <c r="D832" s="73"/>
      <c r="E832" s="75"/>
      <c r="F832" s="75"/>
      <c r="G832" s="76"/>
    </row>
    <row r="833">
      <c r="A833" s="73"/>
      <c r="B833" s="74"/>
      <c r="C833" s="74"/>
      <c r="D833" s="73"/>
      <c r="E833" s="75"/>
      <c r="F833" s="75"/>
      <c r="G833" s="76"/>
    </row>
    <row r="834">
      <c r="A834" s="73"/>
      <c r="B834" s="74"/>
      <c r="C834" s="74"/>
      <c r="D834" s="73"/>
      <c r="E834" s="75"/>
      <c r="F834" s="75"/>
      <c r="G834" s="76"/>
    </row>
    <row r="835">
      <c r="A835" s="73"/>
      <c r="B835" s="74"/>
      <c r="C835" s="74"/>
      <c r="D835" s="73"/>
      <c r="E835" s="75"/>
      <c r="F835" s="75"/>
      <c r="G835" s="76"/>
    </row>
    <row r="836">
      <c r="A836" s="73"/>
      <c r="B836" s="74"/>
      <c r="C836" s="74"/>
      <c r="D836" s="73"/>
      <c r="E836" s="75"/>
      <c r="F836" s="75"/>
      <c r="G836" s="76"/>
    </row>
    <row r="837">
      <c r="A837" s="73"/>
      <c r="B837" s="74"/>
      <c r="C837" s="74"/>
      <c r="D837" s="73"/>
      <c r="E837" s="75"/>
      <c r="F837" s="75"/>
      <c r="G837" s="76"/>
    </row>
    <row r="838">
      <c r="A838" s="73"/>
      <c r="B838" s="74"/>
      <c r="C838" s="74"/>
      <c r="D838" s="73"/>
      <c r="E838" s="75"/>
      <c r="F838" s="75"/>
      <c r="G838" s="76"/>
    </row>
    <row r="839">
      <c r="A839" s="73"/>
      <c r="B839" s="74"/>
      <c r="C839" s="74"/>
      <c r="D839" s="73"/>
      <c r="E839" s="75"/>
      <c r="F839" s="75"/>
      <c r="G839" s="76"/>
    </row>
    <row r="840">
      <c r="A840" s="73"/>
      <c r="B840" s="74"/>
      <c r="C840" s="74"/>
      <c r="D840" s="73"/>
      <c r="E840" s="75"/>
      <c r="F840" s="75"/>
      <c r="G840" s="76"/>
    </row>
    <row r="841">
      <c r="A841" s="73"/>
      <c r="B841" s="74"/>
      <c r="C841" s="74"/>
      <c r="D841" s="73"/>
      <c r="E841" s="75"/>
      <c r="F841" s="75"/>
      <c r="G841" s="76"/>
    </row>
    <row r="842">
      <c r="A842" s="73"/>
      <c r="B842" s="74"/>
      <c r="C842" s="74"/>
      <c r="D842" s="73"/>
      <c r="E842" s="75"/>
      <c r="F842" s="75"/>
      <c r="G842" s="76"/>
    </row>
    <row r="843">
      <c r="A843" s="73"/>
      <c r="B843" s="74"/>
      <c r="C843" s="74"/>
      <c r="D843" s="73"/>
      <c r="E843" s="75"/>
      <c r="F843" s="75"/>
      <c r="G843" s="76"/>
    </row>
    <row r="844">
      <c r="A844" s="73"/>
      <c r="B844" s="74"/>
      <c r="C844" s="74"/>
      <c r="D844" s="73"/>
      <c r="E844" s="75"/>
      <c r="F844" s="75"/>
      <c r="G844" s="76"/>
    </row>
    <row r="845">
      <c r="A845" s="73"/>
      <c r="B845" s="74"/>
      <c r="C845" s="74"/>
      <c r="D845" s="73"/>
      <c r="E845" s="75"/>
      <c r="F845" s="75"/>
      <c r="G845" s="76"/>
    </row>
    <row r="846">
      <c r="A846" s="73"/>
      <c r="B846" s="74"/>
      <c r="C846" s="74"/>
      <c r="D846" s="73"/>
      <c r="E846" s="75"/>
      <c r="F846" s="75"/>
      <c r="G846" s="76"/>
    </row>
    <row r="847">
      <c r="A847" s="73"/>
      <c r="B847" s="74"/>
      <c r="C847" s="74"/>
      <c r="D847" s="73"/>
      <c r="E847" s="75"/>
      <c r="F847" s="75"/>
      <c r="G847" s="76"/>
    </row>
    <row r="848">
      <c r="A848" s="73"/>
      <c r="B848" s="74"/>
      <c r="C848" s="74"/>
      <c r="D848" s="73"/>
      <c r="E848" s="75"/>
      <c r="F848" s="75"/>
      <c r="G848" s="76"/>
    </row>
    <row r="849">
      <c r="A849" s="73"/>
      <c r="B849" s="74"/>
      <c r="C849" s="74"/>
      <c r="D849" s="73"/>
      <c r="E849" s="75"/>
      <c r="F849" s="75"/>
      <c r="G849" s="76"/>
    </row>
    <row r="850">
      <c r="A850" s="73"/>
      <c r="B850" s="74"/>
      <c r="C850" s="74"/>
      <c r="D850" s="73"/>
      <c r="E850" s="75"/>
      <c r="F850" s="75"/>
      <c r="G850" s="76"/>
    </row>
    <row r="851">
      <c r="A851" s="73"/>
      <c r="B851" s="74"/>
      <c r="C851" s="74"/>
      <c r="D851" s="73"/>
      <c r="E851" s="75"/>
      <c r="F851" s="75"/>
      <c r="G851" s="76"/>
    </row>
    <row r="852">
      <c r="A852" s="73"/>
      <c r="B852" s="74"/>
      <c r="C852" s="74"/>
      <c r="D852" s="73"/>
      <c r="E852" s="75"/>
      <c r="F852" s="75"/>
      <c r="G852" s="76"/>
    </row>
    <row r="853">
      <c r="A853" s="73"/>
      <c r="B853" s="74"/>
      <c r="C853" s="74"/>
      <c r="D853" s="73"/>
      <c r="E853" s="75"/>
      <c r="F853" s="75"/>
      <c r="G853" s="76"/>
    </row>
    <row r="854">
      <c r="A854" s="73"/>
      <c r="B854" s="74"/>
      <c r="C854" s="74"/>
      <c r="D854" s="73"/>
      <c r="E854" s="75"/>
      <c r="F854" s="75"/>
      <c r="G854" s="76"/>
    </row>
    <row r="855">
      <c r="A855" s="73"/>
      <c r="B855" s="74"/>
      <c r="C855" s="74"/>
      <c r="D855" s="73"/>
      <c r="E855" s="75"/>
      <c r="F855" s="75"/>
      <c r="G855" s="76"/>
    </row>
    <row r="856">
      <c r="A856" s="73"/>
      <c r="B856" s="74"/>
      <c r="C856" s="74"/>
      <c r="D856" s="73"/>
      <c r="E856" s="75"/>
      <c r="F856" s="75"/>
      <c r="G856" s="76"/>
    </row>
    <row r="857">
      <c r="A857" s="73"/>
      <c r="B857" s="74"/>
      <c r="C857" s="74"/>
      <c r="D857" s="73"/>
      <c r="E857" s="75"/>
      <c r="F857" s="75"/>
      <c r="G857" s="76"/>
    </row>
    <row r="858">
      <c r="A858" s="73"/>
      <c r="B858" s="74"/>
      <c r="C858" s="74"/>
      <c r="D858" s="73"/>
      <c r="E858" s="75"/>
      <c r="F858" s="75"/>
      <c r="G858" s="76"/>
    </row>
    <row r="859">
      <c r="A859" s="73"/>
      <c r="B859" s="74"/>
      <c r="C859" s="74"/>
      <c r="D859" s="73"/>
      <c r="E859" s="75"/>
      <c r="F859" s="75"/>
      <c r="G859" s="76"/>
    </row>
    <row r="860">
      <c r="A860" s="73"/>
      <c r="B860" s="74"/>
      <c r="C860" s="74"/>
      <c r="D860" s="73"/>
      <c r="E860" s="75"/>
      <c r="F860" s="75"/>
      <c r="G860" s="76"/>
    </row>
    <row r="861">
      <c r="A861" s="73"/>
      <c r="B861" s="74"/>
      <c r="C861" s="74"/>
      <c r="D861" s="73"/>
      <c r="E861" s="75"/>
      <c r="F861" s="75"/>
      <c r="G861" s="76"/>
    </row>
    <row r="862">
      <c r="A862" s="73"/>
      <c r="B862" s="74"/>
      <c r="C862" s="74"/>
      <c r="D862" s="73"/>
      <c r="E862" s="75"/>
      <c r="F862" s="75"/>
      <c r="G862" s="76"/>
    </row>
    <row r="863">
      <c r="A863" s="73"/>
      <c r="B863" s="74"/>
      <c r="C863" s="74"/>
      <c r="D863" s="73"/>
      <c r="E863" s="75"/>
      <c r="F863" s="75"/>
      <c r="G863" s="76"/>
    </row>
    <row r="864">
      <c r="A864" s="73"/>
      <c r="B864" s="74"/>
      <c r="C864" s="74"/>
      <c r="D864" s="73"/>
      <c r="E864" s="75"/>
      <c r="F864" s="75"/>
      <c r="G864" s="76"/>
    </row>
    <row r="865">
      <c r="A865" s="73"/>
      <c r="B865" s="74"/>
      <c r="C865" s="74"/>
      <c r="D865" s="73"/>
      <c r="E865" s="75"/>
      <c r="F865" s="75"/>
      <c r="G865" s="76"/>
    </row>
    <row r="866">
      <c r="A866" s="73"/>
      <c r="B866" s="74"/>
      <c r="C866" s="74"/>
      <c r="D866" s="73"/>
      <c r="E866" s="75"/>
      <c r="F866" s="75"/>
      <c r="G866" s="76"/>
    </row>
    <row r="867">
      <c r="A867" s="73"/>
      <c r="B867" s="74"/>
      <c r="C867" s="74"/>
      <c r="D867" s="73"/>
      <c r="E867" s="75"/>
      <c r="F867" s="75"/>
      <c r="G867" s="76"/>
    </row>
    <row r="868">
      <c r="A868" s="73"/>
      <c r="B868" s="74"/>
      <c r="C868" s="74"/>
      <c r="D868" s="73"/>
      <c r="E868" s="75"/>
      <c r="F868" s="75"/>
      <c r="G868" s="76"/>
    </row>
    <row r="869">
      <c r="A869" s="73"/>
      <c r="B869" s="74"/>
      <c r="C869" s="74"/>
      <c r="D869" s="73"/>
      <c r="E869" s="75"/>
      <c r="F869" s="75"/>
      <c r="G869" s="76"/>
    </row>
    <row r="870">
      <c r="A870" s="73"/>
      <c r="B870" s="74"/>
      <c r="C870" s="74"/>
      <c r="D870" s="73"/>
      <c r="E870" s="75"/>
      <c r="F870" s="75"/>
      <c r="G870" s="76"/>
    </row>
    <row r="871">
      <c r="A871" s="73"/>
      <c r="B871" s="74"/>
      <c r="C871" s="74"/>
      <c r="D871" s="73"/>
      <c r="E871" s="75"/>
      <c r="F871" s="75"/>
      <c r="G871" s="76"/>
    </row>
    <row r="872">
      <c r="A872" s="73"/>
      <c r="B872" s="74"/>
      <c r="C872" s="74"/>
      <c r="D872" s="73"/>
      <c r="E872" s="75"/>
      <c r="F872" s="75"/>
      <c r="G872" s="76"/>
    </row>
    <row r="873">
      <c r="A873" s="73"/>
      <c r="B873" s="74"/>
      <c r="C873" s="74"/>
      <c r="D873" s="73"/>
      <c r="E873" s="75"/>
      <c r="F873" s="75"/>
      <c r="G873" s="76"/>
    </row>
    <row r="874">
      <c r="A874" s="73"/>
      <c r="B874" s="74"/>
      <c r="C874" s="74"/>
      <c r="D874" s="73"/>
      <c r="E874" s="75"/>
      <c r="F874" s="75"/>
      <c r="G874" s="76"/>
    </row>
    <row r="875">
      <c r="A875" s="73"/>
      <c r="B875" s="74"/>
      <c r="C875" s="74"/>
      <c r="D875" s="73"/>
      <c r="E875" s="75"/>
      <c r="F875" s="75"/>
      <c r="G875" s="76"/>
    </row>
    <row r="876">
      <c r="A876" s="73"/>
      <c r="B876" s="74"/>
      <c r="C876" s="74"/>
      <c r="D876" s="73"/>
      <c r="E876" s="75"/>
      <c r="F876" s="75"/>
      <c r="G876" s="76"/>
    </row>
    <row r="877">
      <c r="A877" s="73"/>
      <c r="B877" s="74"/>
      <c r="C877" s="74"/>
      <c r="D877" s="73"/>
      <c r="E877" s="75"/>
      <c r="F877" s="75"/>
      <c r="G877" s="76"/>
    </row>
    <row r="878">
      <c r="A878" s="73"/>
      <c r="B878" s="74"/>
      <c r="C878" s="74"/>
      <c r="D878" s="73"/>
      <c r="E878" s="75"/>
      <c r="F878" s="75"/>
      <c r="G878" s="76"/>
    </row>
    <row r="879">
      <c r="A879" s="73"/>
      <c r="B879" s="74"/>
      <c r="C879" s="74"/>
      <c r="D879" s="73"/>
      <c r="E879" s="75"/>
      <c r="F879" s="75"/>
      <c r="G879" s="76"/>
    </row>
    <row r="880">
      <c r="A880" s="73"/>
      <c r="B880" s="74"/>
      <c r="C880" s="74"/>
      <c r="D880" s="73"/>
      <c r="E880" s="75"/>
      <c r="F880" s="75"/>
      <c r="G880" s="76"/>
    </row>
    <row r="881">
      <c r="A881" s="73"/>
      <c r="B881" s="74"/>
      <c r="C881" s="74"/>
      <c r="D881" s="73"/>
      <c r="E881" s="75"/>
      <c r="F881" s="75"/>
      <c r="G881" s="76"/>
    </row>
    <row r="882">
      <c r="A882" s="73"/>
      <c r="B882" s="74"/>
      <c r="C882" s="74"/>
      <c r="D882" s="73"/>
      <c r="E882" s="75"/>
      <c r="F882" s="75"/>
      <c r="G882" s="76"/>
    </row>
    <row r="883">
      <c r="A883" s="73"/>
      <c r="B883" s="74"/>
      <c r="C883" s="74"/>
      <c r="D883" s="73"/>
      <c r="E883" s="75"/>
      <c r="F883" s="75"/>
      <c r="G883" s="76"/>
    </row>
    <row r="884">
      <c r="A884" s="73"/>
      <c r="B884" s="74"/>
      <c r="C884" s="74"/>
      <c r="D884" s="73"/>
      <c r="E884" s="75"/>
      <c r="F884" s="75"/>
      <c r="G884" s="76"/>
    </row>
    <row r="885">
      <c r="A885" s="73"/>
      <c r="B885" s="74"/>
      <c r="C885" s="74"/>
      <c r="D885" s="73"/>
      <c r="E885" s="75"/>
      <c r="F885" s="75"/>
      <c r="G885" s="76"/>
    </row>
    <row r="886">
      <c r="A886" s="73"/>
      <c r="B886" s="74"/>
      <c r="C886" s="74"/>
      <c r="D886" s="73"/>
      <c r="E886" s="75"/>
      <c r="F886" s="75"/>
      <c r="G886" s="76"/>
    </row>
    <row r="887">
      <c r="A887" s="73"/>
      <c r="B887" s="74"/>
      <c r="C887" s="74"/>
      <c r="D887" s="73"/>
      <c r="E887" s="75"/>
      <c r="F887" s="75"/>
      <c r="G887" s="76"/>
    </row>
    <row r="888">
      <c r="A888" s="73"/>
      <c r="B888" s="74"/>
      <c r="C888" s="74"/>
      <c r="D888" s="73"/>
      <c r="E888" s="75"/>
      <c r="F888" s="75"/>
      <c r="G888" s="76"/>
    </row>
    <row r="889">
      <c r="A889" s="73"/>
      <c r="B889" s="74"/>
      <c r="C889" s="74"/>
      <c r="D889" s="73"/>
      <c r="E889" s="75"/>
      <c r="F889" s="75"/>
      <c r="G889" s="76"/>
    </row>
    <row r="890">
      <c r="A890" s="73"/>
      <c r="B890" s="74"/>
      <c r="C890" s="74"/>
      <c r="D890" s="73"/>
      <c r="E890" s="75"/>
      <c r="F890" s="75"/>
      <c r="G890" s="76"/>
    </row>
    <row r="891">
      <c r="A891" s="73"/>
      <c r="B891" s="74"/>
      <c r="C891" s="74"/>
      <c r="D891" s="73"/>
      <c r="E891" s="75"/>
      <c r="F891" s="75"/>
      <c r="G891" s="76"/>
    </row>
    <row r="892">
      <c r="A892" s="73"/>
      <c r="B892" s="74"/>
      <c r="C892" s="74"/>
      <c r="D892" s="73"/>
      <c r="E892" s="75"/>
      <c r="F892" s="75"/>
      <c r="G892" s="76"/>
    </row>
    <row r="893">
      <c r="A893" s="73"/>
      <c r="B893" s="74"/>
      <c r="C893" s="74"/>
      <c r="D893" s="73"/>
      <c r="E893" s="75"/>
      <c r="F893" s="75"/>
      <c r="G893" s="76"/>
    </row>
    <row r="894">
      <c r="A894" s="73"/>
      <c r="B894" s="74"/>
      <c r="C894" s="74"/>
      <c r="D894" s="73"/>
      <c r="E894" s="75"/>
      <c r="F894" s="75"/>
      <c r="G894" s="76"/>
    </row>
    <row r="895">
      <c r="A895" s="73"/>
      <c r="B895" s="74"/>
      <c r="C895" s="74"/>
      <c r="D895" s="73"/>
      <c r="E895" s="75"/>
      <c r="F895" s="75"/>
      <c r="G895" s="76"/>
    </row>
    <row r="896">
      <c r="A896" s="73"/>
      <c r="B896" s="74"/>
      <c r="C896" s="74"/>
      <c r="D896" s="73"/>
      <c r="E896" s="75"/>
      <c r="F896" s="75"/>
      <c r="G896" s="76"/>
    </row>
    <row r="897">
      <c r="A897" s="73"/>
      <c r="B897" s="74"/>
      <c r="C897" s="74"/>
      <c r="D897" s="73"/>
      <c r="E897" s="75"/>
      <c r="F897" s="75"/>
      <c r="G897" s="76"/>
    </row>
    <row r="898">
      <c r="A898" s="73"/>
      <c r="B898" s="74"/>
      <c r="C898" s="74"/>
      <c r="D898" s="73"/>
      <c r="E898" s="75"/>
      <c r="F898" s="75"/>
      <c r="G898" s="76"/>
    </row>
    <row r="899">
      <c r="A899" s="73"/>
      <c r="B899" s="74"/>
      <c r="C899" s="74"/>
      <c r="D899" s="73"/>
      <c r="E899" s="75"/>
      <c r="F899" s="75"/>
      <c r="G899" s="76"/>
    </row>
    <row r="900">
      <c r="A900" s="73"/>
      <c r="B900" s="74"/>
      <c r="C900" s="74"/>
      <c r="D900" s="73"/>
      <c r="E900" s="75"/>
      <c r="F900" s="75"/>
      <c r="G900" s="76"/>
    </row>
    <row r="901">
      <c r="A901" s="73"/>
      <c r="B901" s="74"/>
      <c r="C901" s="74"/>
      <c r="D901" s="73"/>
      <c r="E901" s="75"/>
      <c r="F901" s="75"/>
      <c r="G901" s="76"/>
    </row>
    <row r="902">
      <c r="A902" s="73"/>
      <c r="B902" s="74"/>
      <c r="C902" s="74"/>
      <c r="D902" s="73"/>
      <c r="E902" s="75"/>
      <c r="F902" s="75"/>
      <c r="G902" s="76"/>
    </row>
    <row r="903">
      <c r="A903" s="73"/>
      <c r="B903" s="74"/>
      <c r="C903" s="74"/>
      <c r="D903" s="73"/>
      <c r="E903" s="75"/>
      <c r="F903" s="75"/>
      <c r="G903" s="76"/>
    </row>
    <row r="904">
      <c r="A904" s="73"/>
      <c r="B904" s="74"/>
      <c r="C904" s="74"/>
      <c r="D904" s="73"/>
      <c r="E904" s="75"/>
      <c r="F904" s="75"/>
      <c r="G904" s="76"/>
    </row>
    <row r="905">
      <c r="A905" s="73"/>
      <c r="B905" s="74"/>
      <c r="C905" s="74"/>
      <c r="D905" s="73"/>
      <c r="E905" s="75"/>
      <c r="F905" s="75"/>
      <c r="G905" s="76"/>
    </row>
    <row r="906">
      <c r="A906" s="73"/>
      <c r="B906" s="74"/>
      <c r="C906" s="74"/>
      <c r="D906" s="73"/>
      <c r="E906" s="75"/>
      <c r="F906" s="75"/>
      <c r="G906" s="76"/>
    </row>
    <row r="907">
      <c r="A907" s="73"/>
      <c r="B907" s="74"/>
      <c r="C907" s="74"/>
      <c r="D907" s="73"/>
      <c r="E907" s="75"/>
      <c r="F907" s="75"/>
      <c r="G907" s="76"/>
    </row>
    <row r="908">
      <c r="A908" s="73"/>
      <c r="B908" s="74"/>
      <c r="C908" s="74"/>
      <c r="D908" s="73"/>
      <c r="E908" s="75"/>
      <c r="F908" s="75"/>
      <c r="G908" s="76"/>
    </row>
    <row r="909">
      <c r="A909" s="73"/>
      <c r="B909" s="74"/>
      <c r="C909" s="74"/>
      <c r="D909" s="73"/>
      <c r="E909" s="75"/>
      <c r="F909" s="75"/>
      <c r="G909" s="76"/>
    </row>
    <row r="910">
      <c r="A910" s="73"/>
      <c r="B910" s="74"/>
      <c r="C910" s="74"/>
      <c r="D910" s="73"/>
      <c r="E910" s="75"/>
      <c r="F910" s="75"/>
      <c r="G910" s="76"/>
    </row>
    <row r="911">
      <c r="A911" s="73"/>
      <c r="B911" s="74"/>
      <c r="C911" s="74"/>
      <c r="D911" s="73"/>
      <c r="E911" s="75"/>
      <c r="F911" s="75"/>
      <c r="G911" s="76"/>
    </row>
    <row r="912">
      <c r="A912" s="73"/>
      <c r="B912" s="74"/>
      <c r="C912" s="74"/>
      <c r="D912" s="73"/>
      <c r="E912" s="75"/>
      <c r="F912" s="75"/>
      <c r="G912" s="76"/>
    </row>
    <row r="913">
      <c r="A913" s="73"/>
      <c r="B913" s="74"/>
      <c r="C913" s="74"/>
      <c r="D913" s="73"/>
      <c r="E913" s="75"/>
      <c r="F913" s="75"/>
      <c r="G913" s="76"/>
    </row>
    <row r="914">
      <c r="A914" s="73"/>
      <c r="B914" s="74"/>
      <c r="C914" s="74"/>
      <c r="D914" s="73"/>
      <c r="E914" s="75"/>
      <c r="F914" s="75"/>
      <c r="G914" s="76"/>
    </row>
    <row r="915">
      <c r="A915" s="73"/>
      <c r="B915" s="74"/>
      <c r="C915" s="74"/>
      <c r="D915" s="73"/>
      <c r="E915" s="75"/>
      <c r="F915" s="75"/>
      <c r="G915" s="76"/>
    </row>
    <row r="916">
      <c r="A916" s="73"/>
      <c r="B916" s="74"/>
      <c r="C916" s="74"/>
      <c r="D916" s="73"/>
      <c r="E916" s="75"/>
      <c r="F916" s="75"/>
      <c r="G916" s="76"/>
    </row>
    <row r="917">
      <c r="A917" s="73"/>
      <c r="B917" s="74"/>
      <c r="C917" s="74"/>
      <c r="D917" s="73"/>
      <c r="E917" s="75"/>
      <c r="F917" s="75"/>
      <c r="G917" s="76"/>
    </row>
    <row r="918">
      <c r="A918" s="73"/>
      <c r="B918" s="74"/>
      <c r="C918" s="74"/>
      <c r="D918" s="73"/>
      <c r="E918" s="75"/>
      <c r="F918" s="75"/>
      <c r="G918" s="76"/>
    </row>
    <row r="919">
      <c r="A919" s="73"/>
      <c r="B919" s="74"/>
      <c r="C919" s="74"/>
      <c r="D919" s="73"/>
      <c r="E919" s="75"/>
      <c r="F919" s="75"/>
      <c r="G919" s="76"/>
    </row>
    <row r="920">
      <c r="A920" s="73"/>
      <c r="B920" s="74"/>
      <c r="C920" s="74"/>
      <c r="D920" s="73"/>
      <c r="E920" s="75"/>
      <c r="F920" s="75"/>
      <c r="G920" s="76"/>
    </row>
    <row r="921">
      <c r="A921" s="73"/>
      <c r="B921" s="74"/>
      <c r="C921" s="74"/>
      <c r="D921" s="73"/>
      <c r="E921" s="75"/>
      <c r="F921" s="75"/>
      <c r="G921" s="76"/>
    </row>
    <row r="922">
      <c r="A922" s="73"/>
      <c r="B922" s="74"/>
      <c r="C922" s="74"/>
      <c r="D922" s="73"/>
      <c r="E922" s="75"/>
      <c r="F922" s="75"/>
      <c r="G922" s="76"/>
    </row>
    <row r="923">
      <c r="A923" s="73"/>
      <c r="B923" s="74"/>
      <c r="C923" s="74"/>
      <c r="D923" s="73"/>
      <c r="E923" s="75"/>
      <c r="F923" s="75"/>
      <c r="G923" s="76"/>
    </row>
    <row r="924">
      <c r="A924" s="73"/>
      <c r="B924" s="74"/>
      <c r="C924" s="74"/>
      <c r="D924" s="73"/>
      <c r="E924" s="75"/>
      <c r="F924" s="75"/>
      <c r="G924" s="76"/>
    </row>
    <row r="925">
      <c r="A925" s="73"/>
      <c r="B925" s="74"/>
      <c r="C925" s="74"/>
      <c r="D925" s="73"/>
      <c r="E925" s="75"/>
      <c r="F925" s="75"/>
      <c r="G925" s="76"/>
    </row>
    <row r="926">
      <c r="A926" s="73"/>
      <c r="B926" s="74"/>
      <c r="C926" s="74"/>
      <c r="D926" s="73"/>
      <c r="E926" s="75"/>
      <c r="F926" s="75"/>
      <c r="G926" s="76"/>
    </row>
    <row r="927">
      <c r="A927" s="73"/>
      <c r="B927" s="74"/>
      <c r="C927" s="74"/>
      <c r="D927" s="73"/>
      <c r="E927" s="75"/>
      <c r="F927" s="75"/>
      <c r="G927" s="76"/>
    </row>
    <row r="928">
      <c r="A928" s="73"/>
      <c r="B928" s="74"/>
      <c r="C928" s="74"/>
      <c r="D928" s="73"/>
      <c r="E928" s="75"/>
      <c r="F928" s="75"/>
      <c r="G928" s="76"/>
    </row>
    <row r="929">
      <c r="A929" s="73"/>
      <c r="B929" s="74"/>
      <c r="C929" s="74"/>
      <c r="D929" s="73"/>
      <c r="E929" s="75"/>
      <c r="F929" s="75"/>
      <c r="G929" s="76"/>
    </row>
    <row r="930">
      <c r="A930" s="73"/>
      <c r="B930" s="74"/>
      <c r="C930" s="74"/>
      <c r="D930" s="73"/>
      <c r="E930" s="75"/>
      <c r="F930" s="75"/>
      <c r="G930" s="76"/>
    </row>
    <row r="931">
      <c r="A931" s="73"/>
      <c r="B931" s="74"/>
      <c r="C931" s="74"/>
      <c r="D931" s="73"/>
      <c r="E931" s="75"/>
      <c r="F931" s="75"/>
      <c r="G931" s="76"/>
    </row>
    <row r="932">
      <c r="A932" s="73"/>
      <c r="B932" s="74"/>
      <c r="C932" s="74"/>
      <c r="D932" s="73"/>
      <c r="E932" s="75"/>
      <c r="F932" s="75"/>
      <c r="G932" s="76"/>
    </row>
    <row r="933">
      <c r="A933" s="73"/>
      <c r="B933" s="74"/>
      <c r="C933" s="74"/>
      <c r="D933" s="73"/>
      <c r="E933" s="75"/>
      <c r="F933" s="75"/>
      <c r="G933" s="76"/>
    </row>
    <row r="934">
      <c r="A934" s="73"/>
      <c r="B934" s="74"/>
      <c r="C934" s="74"/>
      <c r="D934" s="73"/>
      <c r="E934" s="75"/>
      <c r="F934" s="75"/>
      <c r="G934" s="76"/>
    </row>
    <row r="935">
      <c r="A935" s="73"/>
      <c r="B935" s="74"/>
      <c r="C935" s="74"/>
      <c r="D935" s="73"/>
      <c r="E935" s="75"/>
      <c r="F935" s="75"/>
      <c r="G935" s="76"/>
    </row>
    <row r="936">
      <c r="A936" s="73"/>
      <c r="B936" s="74"/>
      <c r="C936" s="74"/>
      <c r="D936" s="73"/>
      <c r="E936" s="75"/>
      <c r="F936" s="75"/>
      <c r="G936" s="76"/>
    </row>
    <row r="937">
      <c r="A937" s="73"/>
      <c r="B937" s="74"/>
      <c r="C937" s="74"/>
      <c r="D937" s="73"/>
      <c r="E937" s="75"/>
      <c r="F937" s="75"/>
      <c r="G937" s="76"/>
    </row>
    <row r="938">
      <c r="A938" s="73"/>
      <c r="B938" s="74"/>
      <c r="C938" s="74"/>
      <c r="D938" s="73"/>
      <c r="E938" s="75"/>
      <c r="F938" s="75"/>
      <c r="G938" s="76"/>
    </row>
    <row r="939">
      <c r="A939" s="73"/>
      <c r="B939" s="74"/>
      <c r="C939" s="74"/>
      <c r="D939" s="73"/>
      <c r="E939" s="75"/>
      <c r="F939" s="75"/>
      <c r="G939" s="76"/>
    </row>
    <row r="940">
      <c r="A940" s="73"/>
      <c r="B940" s="74"/>
      <c r="C940" s="74"/>
      <c r="D940" s="73"/>
      <c r="E940" s="75"/>
      <c r="F940" s="75"/>
      <c r="G940" s="76"/>
    </row>
    <row r="941">
      <c r="A941" s="73"/>
      <c r="B941" s="74"/>
      <c r="C941" s="74"/>
      <c r="D941" s="73"/>
      <c r="E941" s="75"/>
      <c r="F941" s="75"/>
      <c r="G941" s="76"/>
    </row>
    <row r="942">
      <c r="A942" s="73"/>
      <c r="B942" s="74"/>
      <c r="C942" s="74"/>
      <c r="D942" s="73"/>
      <c r="E942" s="75"/>
      <c r="F942" s="75"/>
      <c r="G942" s="76"/>
    </row>
    <row r="943">
      <c r="A943" s="73"/>
      <c r="B943" s="74"/>
      <c r="C943" s="74"/>
      <c r="D943" s="73"/>
      <c r="E943" s="75"/>
      <c r="F943" s="75"/>
      <c r="G943" s="76"/>
    </row>
    <row r="944">
      <c r="A944" s="73"/>
      <c r="B944" s="74"/>
      <c r="C944" s="74"/>
      <c r="D944" s="73"/>
      <c r="E944" s="75"/>
      <c r="F944" s="75"/>
      <c r="G944" s="76"/>
    </row>
    <row r="945">
      <c r="A945" s="73"/>
      <c r="B945" s="74"/>
      <c r="C945" s="74"/>
      <c r="D945" s="73"/>
      <c r="E945" s="75"/>
      <c r="F945" s="75"/>
      <c r="G945" s="76"/>
    </row>
    <row r="946">
      <c r="A946" s="73"/>
      <c r="B946" s="74"/>
      <c r="C946" s="74"/>
      <c r="D946" s="73"/>
      <c r="E946" s="75"/>
      <c r="F946" s="75"/>
      <c r="G946" s="76"/>
    </row>
    <row r="947">
      <c r="A947" s="73"/>
      <c r="B947" s="74"/>
      <c r="C947" s="74"/>
      <c r="D947" s="73"/>
      <c r="E947" s="75"/>
      <c r="F947" s="75"/>
      <c r="G947" s="76"/>
    </row>
    <row r="948">
      <c r="A948" s="73"/>
      <c r="B948" s="74"/>
      <c r="C948" s="74"/>
      <c r="D948" s="73"/>
      <c r="E948" s="75"/>
      <c r="F948" s="75"/>
      <c r="G948" s="76"/>
    </row>
    <row r="949">
      <c r="A949" s="73"/>
      <c r="B949" s="74"/>
      <c r="C949" s="74"/>
      <c r="D949" s="73"/>
      <c r="E949" s="75"/>
      <c r="F949" s="75"/>
      <c r="G949" s="76"/>
    </row>
    <row r="950">
      <c r="A950" s="73"/>
      <c r="B950" s="74"/>
      <c r="C950" s="74"/>
      <c r="D950" s="73"/>
      <c r="E950" s="75"/>
      <c r="F950" s="75"/>
      <c r="G950" s="76"/>
    </row>
    <row r="951">
      <c r="A951" s="73"/>
      <c r="B951" s="74"/>
      <c r="C951" s="74"/>
      <c r="D951" s="73"/>
      <c r="E951" s="75"/>
      <c r="F951" s="75"/>
      <c r="G951" s="76"/>
    </row>
    <row r="952">
      <c r="A952" s="73"/>
      <c r="B952" s="74"/>
      <c r="C952" s="74"/>
      <c r="D952" s="73"/>
      <c r="E952" s="75"/>
      <c r="F952" s="75"/>
      <c r="G952" s="76"/>
    </row>
    <row r="953">
      <c r="A953" s="73"/>
      <c r="B953" s="74"/>
      <c r="C953" s="74"/>
      <c r="D953" s="73"/>
      <c r="E953" s="75"/>
      <c r="F953" s="75"/>
      <c r="G953" s="76"/>
    </row>
    <row r="954">
      <c r="A954" s="73"/>
      <c r="B954" s="74"/>
      <c r="C954" s="74"/>
      <c r="D954" s="73"/>
      <c r="E954" s="75"/>
      <c r="F954" s="75"/>
      <c r="G954" s="76"/>
    </row>
    <row r="955">
      <c r="A955" s="73"/>
      <c r="B955" s="74"/>
      <c r="C955" s="74"/>
      <c r="D955" s="73"/>
      <c r="E955" s="75"/>
      <c r="F955" s="75"/>
      <c r="G955" s="76"/>
    </row>
    <row r="956">
      <c r="A956" s="73"/>
      <c r="B956" s="74"/>
      <c r="C956" s="74"/>
      <c r="D956" s="73"/>
      <c r="E956" s="75"/>
      <c r="F956" s="75"/>
      <c r="G956" s="76"/>
    </row>
    <row r="957">
      <c r="A957" s="73"/>
      <c r="B957" s="74"/>
      <c r="C957" s="74"/>
      <c r="D957" s="73"/>
      <c r="E957" s="75"/>
      <c r="F957" s="75"/>
      <c r="G957" s="76"/>
    </row>
    <row r="958">
      <c r="A958" s="73"/>
      <c r="B958" s="74"/>
      <c r="C958" s="74"/>
      <c r="D958" s="73"/>
      <c r="E958" s="75"/>
      <c r="F958" s="75"/>
      <c r="G958" s="76"/>
    </row>
    <row r="959">
      <c r="A959" s="73"/>
      <c r="B959" s="74"/>
      <c r="C959" s="74"/>
      <c r="D959" s="73"/>
      <c r="E959" s="75"/>
      <c r="F959" s="75"/>
      <c r="G959" s="76"/>
    </row>
    <row r="960">
      <c r="A960" s="73"/>
      <c r="B960" s="74"/>
      <c r="C960" s="74"/>
      <c r="D960" s="73"/>
      <c r="E960" s="75"/>
      <c r="F960" s="75"/>
      <c r="G960" s="76"/>
    </row>
    <row r="961">
      <c r="A961" s="73"/>
      <c r="B961" s="74"/>
      <c r="C961" s="74"/>
      <c r="D961" s="73"/>
      <c r="E961" s="75"/>
      <c r="F961" s="75"/>
      <c r="G961" s="76"/>
    </row>
    <row r="962">
      <c r="A962" s="73"/>
      <c r="B962" s="74"/>
      <c r="C962" s="74"/>
      <c r="D962" s="73"/>
      <c r="E962" s="75"/>
      <c r="F962" s="75"/>
      <c r="G962" s="76"/>
    </row>
    <row r="963">
      <c r="A963" s="73"/>
      <c r="B963" s="74"/>
      <c r="C963" s="74"/>
      <c r="D963" s="73"/>
      <c r="E963" s="75"/>
      <c r="F963" s="75"/>
      <c r="G963" s="76"/>
    </row>
    <row r="964">
      <c r="A964" s="73"/>
      <c r="B964" s="74"/>
      <c r="C964" s="74"/>
      <c r="D964" s="73"/>
      <c r="E964" s="75"/>
      <c r="F964" s="75"/>
      <c r="G964" s="76"/>
    </row>
    <row r="965">
      <c r="A965" s="73"/>
      <c r="B965" s="74"/>
      <c r="C965" s="74"/>
      <c r="D965" s="73"/>
      <c r="E965" s="75"/>
      <c r="F965" s="75"/>
      <c r="G965" s="76"/>
    </row>
    <row r="966">
      <c r="A966" s="73"/>
      <c r="B966" s="74"/>
      <c r="C966" s="74"/>
      <c r="D966" s="73"/>
      <c r="E966" s="75"/>
      <c r="F966" s="75"/>
      <c r="G966" s="76"/>
    </row>
    <row r="967">
      <c r="A967" s="73"/>
      <c r="B967" s="74"/>
      <c r="C967" s="74"/>
      <c r="D967" s="73"/>
      <c r="E967" s="75"/>
      <c r="F967" s="75"/>
      <c r="G967" s="76"/>
    </row>
    <row r="968">
      <c r="A968" s="73"/>
      <c r="B968" s="74"/>
      <c r="C968" s="74"/>
      <c r="D968" s="73"/>
      <c r="E968" s="75"/>
      <c r="F968" s="75"/>
      <c r="G968" s="76"/>
    </row>
    <row r="969">
      <c r="A969" s="73"/>
      <c r="B969" s="74"/>
      <c r="C969" s="74"/>
      <c r="D969" s="73"/>
      <c r="E969" s="75"/>
      <c r="F969" s="75"/>
      <c r="G969" s="76"/>
    </row>
    <row r="970">
      <c r="A970" s="73"/>
      <c r="B970" s="74"/>
      <c r="C970" s="74"/>
      <c r="D970" s="73"/>
      <c r="E970" s="75"/>
      <c r="F970" s="75"/>
      <c r="G970" s="76"/>
    </row>
    <row r="971">
      <c r="A971" s="73"/>
      <c r="B971" s="74"/>
      <c r="C971" s="74"/>
      <c r="D971" s="73"/>
      <c r="E971" s="75"/>
      <c r="F971" s="75"/>
      <c r="G971" s="76"/>
    </row>
    <row r="972">
      <c r="A972" s="73"/>
      <c r="B972" s="74"/>
      <c r="C972" s="74"/>
      <c r="D972" s="73"/>
      <c r="E972" s="75"/>
      <c r="F972" s="75"/>
      <c r="G972" s="76"/>
    </row>
    <row r="973">
      <c r="A973" s="73"/>
      <c r="B973" s="74"/>
      <c r="C973" s="74"/>
      <c r="D973" s="73"/>
      <c r="E973" s="75"/>
      <c r="F973" s="75"/>
      <c r="G973" s="76"/>
    </row>
    <row r="974">
      <c r="A974" s="73"/>
      <c r="B974" s="74"/>
      <c r="C974" s="74"/>
      <c r="D974" s="73"/>
      <c r="E974" s="75"/>
      <c r="F974" s="75"/>
      <c r="G974" s="76"/>
    </row>
    <row r="975">
      <c r="A975" s="73"/>
      <c r="B975" s="74"/>
      <c r="C975" s="74"/>
      <c r="D975" s="73"/>
      <c r="E975" s="75"/>
      <c r="F975" s="75"/>
      <c r="G975" s="76"/>
    </row>
    <row r="976">
      <c r="A976" s="73"/>
      <c r="B976" s="74"/>
      <c r="C976" s="74"/>
      <c r="D976" s="73"/>
      <c r="E976" s="75"/>
      <c r="F976" s="75"/>
      <c r="G976" s="76"/>
    </row>
    <row r="977">
      <c r="A977" s="73"/>
      <c r="B977" s="74"/>
      <c r="C977" s="74"/>
      <c r="D977" s="73"/>
      <c r="E977" s="75"/>
      <c r="F977" s="75"/>
      <c r="G977" s="76"/>
    </row>
    <row r="978">
      <c r="A978" s="73"/>
      <c r="B978" s="74"/>
      <c r="C978" s="74"/>
      <c r="D978" s="73"/>
      <c r="E978" s="75"/>
      <c r="F978" s="75"/>
      <c r="G978" s="76"/>
    </row>
    <row r="979">
      <c r="A979" s="73"/>
      <c r="B979" s="74"/>
      <c r="C979" s="74"/>
      <c r="D979" s="73"/>
      <c r="E979" s="75"/>
      <c r="F979" s="75"/>
      <c r="G979" s="76"/>
    </row>
    <row r="980">
      <c r="A980" s="73"/>
      <c r="B980" s="74"/>
      <c r="C980" s="74"/>
      <c r="D980" s="73"/>
      <c r="E980" s="75"/>
      <c r="F980" s="75"/>
      <c r="G980" s="76"/>
    </row>
    <row r="981">
      <c r="A981" s="73"/>
      <c r="B981" s="74"/>
      <c r="C981" s="74"/>
      <c r="D981" s="73"/>
      <c r="E981" s="75"/>
      <c r="F981" s="75"/>
      <c r="G981" s="76"/>
    </row>
    <row r="982">
      <c r="A982" s="73"/>
      <c r="B982" s="74"/>
      <c r="C982" s="74"/>
      <c r="D982" s="73"/>
      <c r="E982" s="75"/>
      <c r="F982" s="75"/>
      <c r="G982" s="76"/>
    </row>
    <row r="983">
      <c r="A983" s="73"/>
      <c r="B983" s="74"/>
      <c r="C983" s="74"/>
      <c r="D983" s="73"/>
      <c r="E983" s="75"/>
      <c r="F983" s="75"/>
      <c r="G983" s="76"/>
    </row>
    <row r="984">
      <c r="A984" s="73"/>
      <c r="B984" s="74"/>
      <c r="C984" s="74"/>
      <c r="D984" s="73"/>
      <c r="E984" s="75"/>
      <c r="F984" s="75"/>
      <c r="G984" s="76"/>
    </row>
    <row r="985">
      <c r="A985" s="73"/>
      <c r="B985" s="74"/>
      <c r="C985" s="74"/>
      <c r="D985" s="73"/>
      <c r="E985" s="75"/>
      <c r="F985" s="75"/>
      <c r="G985" s="76"/>
    </row>
    <row r="986">
      <c r="A986" s="73"/>
      <c r="B986" s="74"/>
      <c r="C986" s="74"/>
      <c r="D986" s="73"/>
      <c r="E986" s="75"/>
      <c r="F986" s="75"/>
      <c r="G986" s="76"/>
    </row>
    <row r="987">
      <c r="A987" s="73"/>
      <c r="B987" s="74"/>
      <c r="C987" s="74"/>
      <c r="D987" s="73"/>
      <c r="E987" s="75"/>
      <c r="F987" s="75"/>
      <c r="G987" s="76"/>
    </row>
    <row r="988">
      <c r="A988" s="73"/>
      <c r="B988" s="74"/>
      <c r="C988" s="74"/>
      <c r="D988" s="73"/>
      <c r="E988" s="75"/>
      <c r="F988" s="75"/>
      <c r="G988" s="76"/>
    </row>
    <row r="989">
      <c r="A989" s="73"/>
      <c r="B989" s="74"/>
      <c r="C989" s="74"/>
      <c r="D989" s="73"/>
      <c r="E989" s="75"/>
      <c r="F989" s="75"/>
      <c r="G989" s="76"/>
    </row>
    <row r="990">
      <c r="A990" s="73"/>
      <c r="B990" s="74"/>
      <c r="C990" s="74"/>
      <c r="D990" s="73"/>
      <c r="E990" s="75"/>
      <c r="F990" s="75"/>
      <c r="G990" s="76"/>
    </row>
    <row r="991">
      <c r="A991" s="73"/>
      <c r="B991" s="74"/>
      <c r="C991" s="74"/>
      <c r="D991" s="73"/>
      <c r="E991" s="75"/>
      <c r="F991" s="75"/>
      <c r="G991" s="76"/>
    </row>
    <row r="992">
      <c r="A992" s="73"/>
      <c r="B992" s="74"/>
      <c r="C992" s="74"/>
      <c r="D992" s="73"/>
      <c r="E992" s="75"/>
      <c r="F992" s="75"/>
      <c r="G992" s="76"/>
    </row>
    <row r="993">
      <c r="A993" s="73"/>
      <c r="B993" s="74"/>
      <c r="C993" s="74"/>
      <c r="D993" s="73"/>
      <c r="E993" s="75"/>
      <c r="F993" s="75"/>
      <c r="G993" s="76"/>
    </row>
    <row r="994">
      <c r="A994" s="73"/>
      <c r="B994" s="74"/>
      <c r="C994" s="74"/>
      <c r="D994" s="73"/>
      <c r="E994" s="75"/>
      <c r="F994" s="75"/>
      <c r="G994" s="76"/>
    </row>
    <row r="995">
      <c r="A995" s="73"/>
      <c r="B995" s="74"/>
      <c r="C995" s="74"/>
      <c r="D995" s="73"/>
      <c r="E995" s="75"/>
      <c r="F995" s="75"/>
      <c r="G995" s="76"/>
    </row>
    <row r="996">
      <c r="A996" s="73"/>
      <c r="B996" s="74"/>
      <c r="C996" s="74"/>
      <c r="D996" s="73"/>
      <c r="E996" s="75"/>
      <c r="F996" s="75"/>
      <c r="G996" s="76"/>
    </row>
    <row r="997">
      <c r="A997" s="73"/>
      <c r="B997" s="74"/>
      <c r="C997" s="74"/>
      <c r="D997" s="73"/>
      <c r="E997" s="75"/>
      <c r="F997" s="75"/>
      <c r="G997" s="76"/>
    </row>
    <row r="998">
      <c r="A998" s="73"/>
      <c r="B998" s="74"/>
      <c r="C998" s="74"/>
      <c r="D998" s="73"/>
      <c r="E998" s="75"/>
      <c r="F998" s="75"/>
      <c r="G998" s="76"/>
    </row>
    <row r="999">
      <c r="A999" s="73"/>
      <c r="B999" s="74"/>
      <c r="C999" s="74"/>
      <c r="D999" s="73"/>
      <c r="E999" s="75"/>
      <c r="F999" s="75"/>
      <c r="G999" s="76"/>
    </row>
    <row r="1000">
      <c r="A1000" s="73"/>
      <c r="B1000" s="74"/>
      <c r="C1000" s="74"/>
      <c r="D1000" s="73"/>
      <c r="E1000" s="75"/>
      <c r="F1000" s="75"/>
      <c r="G1000" s="76"/>
    </row>
    <row r="1001">
      <c r="A1001" s="73"/>
      <c r="B1001" s="74"/>
      <c r="C1001" s="74"/>
      <c r="D1001" s="73"/>
      <c r="E1001" s="75"/>
      <c r="F1001" s="75"/>
      <c r="G1001" s="76"/>
    </row>
    <row r="1002">
      <c r="A1002" s="73"/>
      <c r="B1002" s="74"/>
      <c r="C1002" s="74"/>
      <c r="D1002" s="73"/>
      <c r="E1002" s="75"/>
      <c r="F1002" s="75"/>
      <c r="G1002" s="76"/>
    </row>
    <row r="1003">
      <c r="A1003" s="73"/>
      <c r="B1003" s="74"/>
      <c r="C1003" s="74"/>
      <c r="D1003" s="73"/>
      <c r="E1003" s="75"/>
      <c r="F1003" s="75"/>
      <c r="G1003" s="76"/>
    </row>
    <row r="1004">
      <c r="A1004" s="73"/>
      <c r="B1004" s="74"/>
      <c r="C1004" s="74"/>
      <c r="D1004" s="73"/>
      <c r="E1004" s="75"/>
      <c r="F1004" s="75"/>
      <c r="G1004" s="76"/>
    </row>
    <row r="1005">
      <c r="A1005" s="73"/>
      <c r="B1005" s="74"/>
      <c r="C1005" s="74"/>
      <c r="D1005" s="73"/>
      <c r="E1005" s="75"/>
      <c r="F1005" s="75"/>
      <c r="G1005" s="76"/>
    </row>
    <row r="1006">
      <c r="A1006" s="73"/>
      <c r="B1006" s="74"/>
      <c r="C1006" s="74"/>
      <c r="D1006" s="73"/>
      <c r="E1006" s="75"/>
      <c r="F1006" s="75"/>
      <c r="G1006" s="76"/>
    </row>
    <row r="1007">
      <c r="A1007" s="73"/>
      <c r="B1007" s="74"/>
      <c r="C1007" s="74"/>
      <c r="D1007" s="73"/>
      <c r="E1007" s="75"/>
      <c r="F1007" s="75"/>
      <c r="G1007" s="76"/>
    </row>
    <row r="1008">
      <c r="A1008" s="73"/>
      <c r="B1008" s="74"/>
      <c r="C1008" s="74"/>
      <c r="D1008" s="73"/>
      <c r="E1008" s="75"/>
      <c r="F1008" s="75"/>
      <c r="G1008" s="76"/>
    </row>
    <row r="1009">
      <c r="A1009" s="73"/>
      <c r="B1009" s="74"/>
      <c r="C1009" s="74"/>
      <c r="D1009" s="73"/>
      <c r="E1009" s="75"/>
      <c r="F1009" s="75"/>
      <c r="G1009" s="76"/>
    </row>
    <row r="1010">
      <c r="A1010" s="73"/>
      <c r="B1010" s="74"/>
      <c r="C1010" s="74"/>
      <c r="D1010" s="73"/>
      <c r="E1010" s="75"/>
      <c r="F1010" s="75"/>
      <c r="G1010" s="76"/>
    </row>
    <row r="1011">
      <c r="A1011" s="73"/>
      <c r="B1011" s="74"/>
      <c r="C1011" s="74"/>
      <c r="D1011" s="73"/>
      <c r="E1011" s="75"/>
      <c r="F1011" s="75"/>
      <c r="G1011" s="76"/>
    </row>
    <row r="1012">
      <c r="A1012" s="73"/>
      <c r="B1012" s="74"/>
      <c r="C1012" s="74"/>
      <c r="D1012" s="73"/>
      <c r="E1012" s="75"/>
      <c r="F1012" s="75"/>
      <c r="G1012" s="76"/>
    </row>
    <row r="1013">
      <c r="A1013" s="73"/>
      <c r="B1013" s="74"/>
      <c r="C1013" s="74"/>
      <c r="D1013" s="73"/>
      <c r="E1013" s="75"/>
      <c r="F1013" s="75"/>
      <c r="G1013" s="76"/>
    </row>
    <row r="1014">
      <c r="A1014" s="73"/>
      <c r="B1014" s="74"/>
      <c r="C1014" s="74"/>
      <c r="D1014" s="73"/>
      <c r="E1014" s="75"/>
      <c r="F1014" s="75"/>
      <c r="G1014" s="76"/>
    </row>
    <row r="1015">
      <c r="A1015" s="73"/>
      <c r="B1015" s="74"/>
      <c r="C1015" s="74"/>
      <c r="D1015" s="73"/>
      <c r="E1015" s="75"/>
      <c r="F1015" s="75"/>
      <c r="G1015" s="76"/>
    </row>
    <row r="1016">
      <c r="A1016" s="73"/>
      <c r="B1016" s="74"/>
      <c r="C1016" s="74"/>
      <c r="D1016" s="73"/>
      <c r="E1016" s="75"/>
      <c r="F1016" s="75"/>
      <c r="G1016" s="76"/>
    </row>
    <row r="1017">
      <c r="A1017" s="73"/>
      <c r="B1017" s="74"/>
      <c r="C1017" s="74"/>
      <c r="D1017" s="73"/>
      <c r="E1017" s="75"/>
      <c r="F1017" s="75"/>
      <c r="G1017" s="76"/>
    </row>
    <row r="1018">
      <c r="A1018" s="73"/>
      <c r="B1018" s="74"/>
      <c r="C1018" s="74"/>
      <c r="D1018" s="73"/>
      <c r="E1018" s="75"/>
      <c r="F1018" s="75"/>
      <c r="G1018" s="76"/>
    </row>
    <row r="1019">
      <c r="A1019" s="73"/>
      <c r="B1019" s="74"/>
      <c r="C1019" s="74"/>
      <c r="D1019" s="73"/>
      <c r="E1019" s="75"/>
      <c r="F1019" s="75"/>
      <c r="G1019" s="76"/>
    </row>
    <row r="1020">
      <c r="A1020" s="73"/>
      <c r="B1020" s="74"/>
      <c r="C1020" s="74"/>
      <c r="D1020" s="73"/>
      <c r="E1020" s="75"/>
      <c r="F1020" s="75"/>
      <c r="G1020" s="76"/>
    </row>
    <row r="1021">
      <c r="A1021" s="73"/>
      <c r="B1021" s="74"/>
      <c r="C1021" s="74"/>
      <c r="D1021" s="73"/>
      <c r="E1021" s="75"/>
      <c r="F1021" s="75"/>
      <c r="G1021" s="76"/>
    </row>
    <row r="1022">
      <c r="A1022" s="73"/>
      <c r="B1022" s="74"/>
      <c r="C1022" s="74"/>
      <c r="D1022" s="73"/>
      <c r="E1022" s="75"/>
      <c r="F1022" s="75"/>
      <c r="G1022" s="76"/>
    </row>
    <row r="1023">
      <c r="A1023" s="73"/>
      <c r="B1023" s="74"/>
      <c r="C1023" s="74"/>
      <c r="D1023" s="73"/>
      <c r="E1023" s="75"/>
      <c r="F1023" s="75"/>
      <c r="G1023" s="76"/>
    </row>
    <row r="1024">
      <c r="A1024" s="73"/>
      <c r="B1024" s="74"/>
      <c r="C1024" s="74"/>
      <c r="D1024" s="73"/>
      <c r="E1024" s="75"/>
      <c r="F1024" s="75"/>
      <c r="G1024" s="76"/>
    </row>
    <row r="1025">
      <c r="A1025" s="73"/>
      <c r="B1025" s="74"/>
      <c r="C1025" s="74"/>
      <c r="D1025" s="73"/>
      <c r="E1025" s="75"/>
      <c r="F1025" s="75"/>
      <c r="G1025" s="76"/>
    </row>
    <row r="1026">
      <c r="A1026" s="73"/>
      <c r="B1026" s="74"/>
      <c r="C1026" s="74"/>
      <c r="D1026" s="73"/>
      <c r="E1026" s="75"/>
      <c r="F1026" s="75"/>
      <c r="G1026" s="76"/>
    </row>
    <row r="1027">
      <c r="A1027" s="73"/>
      <c r="B1027" s="74"/>
      <c r="C1027" s="74"/>
      <c r="D1027" s="73"/>
      <c r="E1027" s="75"/>
      <c r="F1027" s="75"/>
      <c r="G1027" s="76"/>
    </row>
    <row r="1028">
      <c r="A1028" s="73"/>
      <c r="B1028" s="74"/>
      <c r="C1028" s="74"/>
      <c r="D1028" s="73"/>
      <c r="E1028" s="75"/>
      <c r="F1028" s="75"/>
      <c r="G1028" s="76"/>
    </row>
    <row r="1029">
      <c r="A1029" s="73"/>
      <c r="B1029" s="74"/>
      <c r="C1029" s="74"/>
      <c r="D1029" s="73"/>
      <c r="E1029" s="75"/>
      <c r="F1029" s="75"/>
      <c r="G1029" s="76"/>
    </row>
    <row r="1030">
      <c r="A1030" s="73"/>
      <c r="B1030" s="74"/>
      <c r="C1030" s="74"/>
      <c r="D1030" s="73"/>
      <c r="E1030" s="75"/>
      <c r="F1030" s="75"/>
      <c r="G1030" s="76"/>
    </row>
    <row r="1031">
      <c r="A1031" s="73"/>
      <c r="B1031" s="74"/>
      <c r="C1031" s="74"/>
      <c r="D1031" s="73"/>
      <c r="E1031" s="75"/>
      <c r="F1031" s="75"/>
      <c r="G1031" s="76"/>
    </row>
    <row r="1032">
      <c r="A1032" s="73"/>
      <c r="B1032" s="74"/>
      <c r="C1032" s="74"/>
      <c r="D1032" s="73"/>
      <c r="E1032" s="75"/>
      <c r="F1032" s="75"/>
      <c r="G1032" s="76"/>
    </row>
    <row r="1033">
      <c r="A1033" s="73"/>
      <c r="B1033" s="74"/>
      <c r="C1033" s="74"/>
      <c r="D1033" s="73"/>
      <c r="E1033" s="75"/>
      <c r="F1033" s="75"/>
      <c r="G1033" s="76"/>
    </row>
    <row r="1034">
      <c r="A1034" s="73"/>
      <c r="B1034" s="74"/>
      <c r="C1034" s="74"/>
      <c r="D1034" s="73"/>
      <c r="E1034" s="75"/>
      <c r="F1034" s="75"/>
      <c r="G1034" s="76"/>
    </row>
    <row r="1035">
      <c r="A1035" s="73"/>
      <c r="B1035" s="74"/>
      <c r="C1035" s="74"/>
      <c r="D1035" s="73"/>
      <c r="E1035" s="75"/>
      <c r="F1035" s="75"/>
      <c r="G1035" s="76"/>
    </row>
    <row r="1036">
      <c r="A1036" s="73"/>
      <c r="B1036" s="74"/>
      <c r="C1036" s="74"/>
      <c r="D1036" s="73"/>
      <c r="E1036" s="75"/>
      <c r="F1036" s="75"/>
      <c r="G1036" s="76"/>
    </row>
    <row r="1037">
      <c r="A1037" s="73"/>
      <c r="B1037" s="74"/>
      <c r="C1037" s="74"/>
      <c r="D1037" s="73"/>
      <c r="E1037" s="75"/>
      <c r="F1037" s="75"/>
      <c r="G1037" s="76"/>
    </row>
    <row r="1038">
      <c r="A1038" s="73"/>
      <c r="B1038" s="74"/>
      <c r="C1038" s="74"/>
      <c r="D1038" s="73"/>
      <c r="E1038" s="75"/>
      <c r="F1038" s="75"/>
      <c r="G1038" s="76"/>
    </row>
    <row r="1039">
      <c r="A1039" s="73"/>
      <c r="B1039" s="74"/>
      <c r="C1039" s="74"/>
      <c r="D1039" s="73"/>
      <c r="E1039" s="75"/>
      <c r="F1039" s="75"/>
      <c r="G1039" s="76"/>
    </row>
    <row r="1040">
      <c r="A1040" s="73"/>
      <c r="B1040" s="74"/>
      <c r="C1040" s="74"/>
      <c r="D1040" s="73"/>
      <c r="E1040" s="75"/>
      <c r="F1040" s="75"/>
      <c r="G1040" s="76"/>
    </row>
    <row r="1041">
      <c r="A1041" s="73"/>
      <c r="B1041" s="74"/>
      <c r="C1041" s="74"/>
      <c r="D1041" s="73"/>
      <c r="E1041" s="75"/>
      <c r="F1041" s="75"/>
      <c r="G1041" s="76"/>
    </row>
    <row r="1042">
      <c r="A1042" s="73"/>
      <c r="B1042" s="74"/>
      <c r="C1042" s="74"/>
      <c r="D1042" s="73"/>
      <c r="E1042" s="75"/>
      <c r="F1042" s="75"/>
      <c r="G1042" s="76"/>
    </row>
    <row r="1043">
      <c r="A1043" s="73"/>
      <c r="B1043" s="74"/>
      <c r="C1043" s="74"/>
      <c r="D1043" s="73"/>
      <c r="E1043" s="75"/>
      <c r="F1043" s="75"/>
      <c r="G1043" s="76"/>
    </row>
    <row r="1044">
      <c r="A1044" s="73"/>
      <c r="B1044" s="74"/>
      <c r="C1044" s="74"/>
      <c r="D1044" s="73"/>
      <c r="E1044" s="75"/>
      <c r="F1044" s="75"/>
      <c r="G1044" s="76"/>
    </row>
    <row r="1045">
      <c r="A1045" s="73"/>
      <c r="B1045" s="74"/>
      <c r="C1045" s="74"/>
      <c r="D1045" s="73"/>
      <c r="E1045" s="75"/>
      <c r="F1045" s="75"/>
      <c r="G1045" s="76"/>
    </row>
    <row r="1046">
      <c r="A1046" s="73"/>
      <c r="B1046" s="74"/>
      <c r="C1046" s="74"/>
      <c r="D1046" s="73"/>
      <c r="E1046" s="75"/>
      <c r="F1046" s="75"/>
      <c r="G1046" s="76"/>
    </row>
    <row r="1047">
      <c r="A1047" s="73"/>
      <c r="B1047" s="74"/>
      <c r="C1047" s="74"/>
      <c r="D1047" s="73"/>
      <c r="E1047" s="75"/>
      <c r="F1047" s="75"/>
      <c r="G1047" s="76"/>
    </row>
    <row r="1048">
      <c r="A1048" s="73"/>
      <c r="B1048" s="74"/>
      <c r="C1048" s="74"/>
      <c r="D1048" s="73"/>
      <c r="E1048" s="75"/>
      <c r="F1048" s="75"/>
      <c r="G1048" s="76"/>
    </row>
    <row r="1049">
      <c r="A1049" s="73"/>
      <c r="B1049" s="74"/>
      <c r="C1049" s="74"/>
      <c r="D1049" s="73"/>
      <c r="E1049" s="75"/>
      <c r="F1049" s="75"/>
      <c r="G1049" s="76"/>
    </row>
    <row r="1050">
      <c r="A1050" s="73"/>
      <c r="B1050" s="74"/>
      <c r="C1050" s="74"/>
      <c r="D1050" s="73"/>
      <c r="E1050" s="75"/>
      <c r="F1050" s="75"/>
      <c r="G1050" s="76"/>
    </row>
    <row r="1051">
      <c r="A1051" s="73"/>
      <c r="B1051" s="74"/>
      <c r="C1051" s="74"/>
      <c r="D1051" s="73"/>
      <c r="E1051" s="75"/>
      <c r="F1051" s="75"/>
      <c r="G1051" s="76"/>
    </row>
    <row r="1052">
      <c r="A1052" s="73"/>
      <c r="B1052" s="74"/>
      <c r="C1052" s="74"/>
      <c r="D1052" s="73"/>
      <c r="E1052" s="75"/>
      <c r="F1052" s="75"/>
      <c r="G1052" s="76"/>
    </row>
    <row r="1053">
      <c r="A1053" s="73"/>
      <c r="B1053" s="74"/>
      <c r="C1053" s="74"/>
      <c r="D1053" s="73"/>
      <c r="E1053" s="75"/>
      <c r="F1053" s="75"/>
      <c r="G1053" s="76"/>
    </row>
    <row r="1054">
      <c r="A1054" s="73"/>
      <c r="B1054" s="74"/>
      <c r="C1054" s="74"/>
      <c r="D1054" s="73"/>
      <c r="E1054" s="75"/>
      <c r="F1054" s="75"/>
      <c r="G1054" s="76"/>
    </row>
    <row r="1055">
      <c r="A1055" s="73"/>
      <c r="B1055" s="74"/>
      <c r="C1055" s="74"/>
      <c r="D1055" s="73"/>
      <c r="E1055" s="75"/>
      <c r="F1055" s="75"/>
      <c r="G1055" s="76"/>
    </row>
    <row r="1056">
      <c r="A1056" s="73"/>
      <c r="B1056" s="74"/>
      <c r="C1056" s="74"/>
      <c r="D1056" s="73"/>
      <c r="E1056" s="75"/>
      <c r="F1056" s="75"/>
      <c r="G1056" s="76"/>
    </row>
    <row r="1057">
      <c r="A1057" s="73"/>
      <c r="B1057" s="74"/>
      <c r="C1057" s="74"/>
      <c r="D1057" s="73"/>
      <c r="E1057" s="75"/>
      <c r="F1057" s="75"/>
      <c r="G1057" s="76"/>
    </row>
    <row r="1058">
      <c r="A1058" s="73"/>
      <c r="B1058" s="74"/>
      <c r="C1058" s="74"/>
      <c r="D1058" s="73"/>
      <c r="E1058" s="75"/>
      <c r="F1058" s="75"/>
      <c r="G1058" s="76"/>
    </row>
    <row r="1059">
      <c r="A1059" s="73"/>
      <c r="B1059" s="74"/>
      <c r="C1059" s="74"/>
      <c r="D1059" s="73"/>
      <c r="E1059" s="75"/>
      <c r="F1059" s="75"/>
      <c r="G1059" s="76"/>
    </row>
    <row r="1060">
      <c r="A1060" s="73"/>
      <c r="B1060" s="74"/>
      <c r="C1060" s="74"/>
      <c r="D1060" s="73"/>
      <c r="E1060" s="75"/>
      <c r="F1060" s="75"/>
      <c r="G1060" s="76"/>
    </row>
    <row r="1061">
      <c r="A1061" s="73"/>
      <c r="B1061" s="74"/>
      <c r="C1061" s="74"/>
      <c r="D1061" s="73"/>
      <c r="E1061" s="75"/>
      <c r="F1061" s="75"/>
      <c r="G1061" s="76"/>
    </row>
    <row r="1062">
      <c r="A1062" s="73"/>
      <c r="B1062" s="74"/>
      <c r="C1062" s="74"/>
      <c r="D1062" s="73"/>
      <c r="E1062" s="75"/>
      <c r="F1062" s="75"/>
      <c r="G1062" s="76"/>
    </row>
    <row r="1063">
      <c r="A1063" s="73"/>
      <c r="B1063" s="74"/>
      <c r="C1063" s="74"/>
      <c r="D1063" s="73"/>
      <c r="E1063" s="75"/>
      <c r="F1063" s="75"/>
      <c r="G1063" s="76"/>
    </row>
    <row r="1064">
      <c r="A1064" s="73"/>
      <c r="B1064" s="74"/>
      <c r="C1064" s="74"/>
      <c r="D1064" s="73"/>
      <c r="E1064" s="75"/>
      <c r="F1064" s="75"/>
      <c r="G1064" s="76"/>
    </row>
    <row r="1065">
      <c r="A1065" s="73"/>
      <c r="B1065" s="74"/>
      <c r="C1065" s="74"/>
      <c r="D1065" s="73"/>
      <c r="E1065" s="75"/>
      <c r="F1065" s="75"/>
      <c r="G1065" s="76"/>
    </row>
    <row r="1066">
      <c r="A1066" s="73"/>
      <c r="B1066" s="74"/>
      <c r="C1066" s="74"/>
      <c r="D1066" s="73"/>
      <c r="E1066" s="75"/>
      <c r="F1066" s="75"/>
      <c r="G1066" s="76"/>
    </row>
    <row r="1067">
      <c r="A1067" s="73"/>
      <c r="B1067" s="74"/>
      <c r="C1067" s="74"/>
      <c r="D1067" s="73"/>
      <c r="E1067" s="75"/>
      <c r="F1067" s="75"/>
      <c r="G1067" s="76"/>
    </row>
    <row r="1068">
      <c r="A1068" s="73"/>
      <c r="B1068" s="74"/>
      <c r="C1068" s="74"/>
      <c r="D1068" s="73"/>
      <c r="E1068" s="75"/>
      <c r="F1068" s="75"/>
      <c r="G1068" s="76"/>
    </row>
    <row r="1069">
      <c r="A1069" s="73"/>
      <c r="B1069" s="74"/>
      <c r="C1069" s="74"/>
      <c r="D1069" s="73"/>
      <c r="E1069" s="75"/>
      <c r="F1069" s="75"/>
      <c r="G1069" s="76"/>
    </row>
    <row r="1070">
      <c r="A1070" s="73"/>
      <c r="B1070" s="74"/>
      <c r="C1070" s="74"/>
      <c r="D1070" s="73"/>
      <c r="E1070" s="75"/>
      <c r="F1070" s="75"/>
      <c r="G1070" s="76"/>
    </row>
    <row r="1071">
      <c r="A1071" s="73"/>
      <c r="B1071" s="74"/>
      <c r="C1071" s="74"/>
      <c r="D1071" s="73"/>
      <c r="E1071" s="75"/>
      <c r="F1071" s="75"/>
      <c r="G1071" s="76"/>
    </row>
    <row r="1072">
      <c r="A1072" s="73"/>
      <c r="B1072" s="74"/>
      <c r="C1072" s="74"/>
      <c r="D1072" s="73"/>
      <c r="E1072" s="75"/>
      <c r="F1072" s="75"/>
      <c r="G1072" s="76"/>
    </row>
    <row r="1073">
      <c r="A1073" s="73"/>
      <c r="B1073" s="74"/>
      <c r="C1073" s="74"/>
      <c r="D1073" s="73"/>
      <c r="E1073" s="75"/>
      <c r="F1073" s="75"/>
      <c r="G1073" s="76"/>
    </row>
    <row r="1074">
      <c r="A1074" s="73"/>
      <c r="B1074" s="74"/>
      <c r="C1074" s="74"/>
      <c r="D1074" s="73"/>
      <c r="E1074" s="75"/>
      <c r="F1074" s="75"/>
      <c r="G1074" s="76"/>
    </row>
    <row r="1075">
      <c r="A1075" s="73"/>
      <c r="B1075" s="74"/>
      <c r="C1075" s="74"/>
      <c r="D1075" s="73"/>
      <c r="E1075" s="75"/>
      <c r="F1075" s="75"/>
      <c r="G1075" s="76"/>
    </row>
    <row r="1076">
      <c r="A1076" s="73"/>
      <c r="B1076" s="74"/>
      <c r="C1076" s="74"/>
      <c r="D1076" s="73"/>
      <c r="E1076" s="75"/>
      <c r="F1076" s="75"/>
      <c r="G1076" s="76"/>
    </row>
    <row r="1077">
      <c r="A1077" s="73"/>
      <c r="B1077" s="74"/>
      <c r="C1077" s="74"/>
      <c r="D1077" s="73"/>
      <c r="E1077" s="75"/>
      <c r="F1077" s="75"/>
      <c r="G1077" s="76"/>
    </row>
    <row r="1078">
      <c r="A1078" s="73"/>
      <c r="B1078" s="74"/>
      <c r="C1078" s="74"/>
      <c r="D1078" s="73"/>
      <c r="E1078" s="75"/>
      <c r="F1078" s="75"/>
      <c r="G1078" s="76"/>
    </row>
    <row r="1079">
      <c r="A1079" s="73"/>
      <c r="B1079" s="74"/>
      <c r="C1079" s="74"/>
      <c r="D1079" s="73"/>
      <c r="E1079" s="75"/>
      <c r="F1079" s="75"/>
      <c r="G1079" s="76"/>
    </row>
    <row r="1080">
      <c r="A1080" s="73"/>
      <c r="B1080" s="74"/>
      <c r="C1080" s="74"/>
      <c r="D1080" s="73"/>
      <c r="E1080" s="75"/>
      <c r="F1080" s="75"/>
      <c r="G1080" s="76"/>
    </row>
    <row r="1081">
      <c r="A1081" s="73"/>
      <c r="B1081" s="74"/>
      <c r="C1081" s="74"/>
      <c r="D1081" s="73"/>
      <c r="E1081" s="75"/>
      <c r="F1081" s="75"/>
      <c r="G1081" s="76"/>
    </row>
    <row r="1082">
      <c r="A1082" s="73"/>
      <c r="B1082" s="74"/>
      <c r="C1082" s="74"/>
      <c r="D1082" s="73"/>
      <c r="E1082" s="75"/>
      <c r="F1082" s="75"/>
      <c r="G1082" s="76"/>
    </row>
    <row r="1083">
      <c r="A1083" s="73"/>
      <c r="B1083" s="74"/>
      <c r="C1083" s="74"/>
      <c r="D1083" s="73"/>
      <c r="E1083" s="75"/>
      <c r="F1083" s="75"/>
      <c r="G1083" s="76"/>
    </row>
    <row r="1084">
      <c r="A1084" s="73"/>
      <c r="B1084" s="74"/>
      <c r="C1084" s="74"/>
      <c r="D1084" s="73"/>
      <c r="E1084" s="75"/>
      <c r="F1084" s="75"/>
      <c r="G1084" s="76"/>
    </row>
    <row r="1085">
      <c r="A1085" s="73"/>
      <c r="B1085" s="74"/>
      <c r="C1085" s="74"/>
      <c r="D1085" s="73"/>
      <c r="E1085" s="75"/>
      <c r="F1085" s="75"/>
      <c r="G1085" s="76"/>
    </row>
    <row r="1086">
      <c r="A1086" s="73"/>
      <c r="B1086" s="74"/>
      <c r="C1086" s="74"/>
      <c r="D1086" s="73"/>
      <c r="E1086" s="75"/>
      <c r="F1086" s="75"/>
      <c r="G1086" s="76"/>
    </row>
    <row r="1087">
      <c r="A1087" s="73"/>
      <c r="B1087" s="74"/>
      <c r="C1087" s="74"/>
      <c r="D1087" s="73"/>
      <c r="E1087" s="75"/>
      <c r="F1087" s="75"/>
      <c r="G1087" s="76"/>
    </row>
    <row r="1088">
      <c r="A1088" s="73"/>
      <c r="B1088" s="74"/>
      <c r="C1088" s="74"/>
      <c r="D1088" s="73"/>
      <c r="E1088" s="75"/>
      <c r="F1088" s="75"/>
      <c r="G1088" s="76"/>
    </row>
    <row r="1089">
      <c r="A1089" s="73"/>
      <c r="B1089" s="74"/>
      <c r="C1089" s="74"/>
      <c r="D1089" s="73"/>
      <c r="E1089" s="75"/>
      <c r="F1089" s="75"/>
      <c r="G1089" s="76"/>
    </row>
    <row r="1090">
      <c r="A1090" s="73"/>
      <c r="B1090" s="74"/>
      <c r="C1090" s="74"/>
      <c r="D1090" s="73"/>
      <c r="E1090" s="75"/>
      <c r="F1090" s="75"/>
      <c r="G1090" s="76"/>
    </row>
    <row r="1091">
      <c r="A1091" s="73"/>
      <c r="B1091" s="74"/>
      <c r="C1091" s="74"/>
      <c r="D1091" s="73"/>
      <c r="E1091" s="75"/>
      <c r="F1091" s="75"/>
      <c r="G1091" s="76"/>
    </row>
    <row r="1092">
      <c r="A1092" s="73"/>
      <c r="B1092" s="74"/>
      <c r="C1092" s="74"/>
      <c r="D1092" s="73"/>
      <c r="E1092" s="75"/>
      <c r="F1092" s="75"/>
      <c r="G1092" s="76"/>
    </row>
    <row r="1093">
      <c r="A1093" s="73"/>
      <c r="B1093" s="74"/>
      <c r="C1093" s="74"/>
      <c r="D1093" s="73"/>
      <c r="E1093" s="75"/>
      <c r="F1093" s="75"/>
      <c r="G1093" s="76"/>
    </row>
    <row r="1094">
      <c r="A1094" s="73"/>
      <c r="B1094" s="74"/>
      <c r="C1094" s="74"/>
      <c r="D1094" s="73"/>
      <c r="E1094" s="75"/>
      <c r="F1094" s="75"/>
      <c r="G1094" s="76"/>
    </row>
    <row r="1095">
      <c r="A1095" s="73"/>
      <c r="B1095" s="74"/>
      <c r="C1095" s="74"/>
      <c r="D1095" s="73"/>
      <c r="E1095" s="75"/>
      <c r="F1095" s="75"/>
      <c r="G1095" s="76"/>
    </row>
    <row r="1096">
      <c r="A1096" s="73"/>
      <c r="B1096" s="74"/>
      <c r="C1096" s="74"/>
      <c r="D1096" s="73"/>
      <c r="E1096" s="75"/>
      <c r="F1096" s="75"/>
      <c r="G1096" s="76"/>
    </row>
    <row r="1097">
      <c r="A1097" s="73"/>
      <c r="B1097" s="74"/>
      <c r="C1097" s="74"/>
      <c r="D1097" s="73"/>
      <c r="E1097" s="75"/>
      <c r="F1097" s="75"/>
      <c r="G1097" s="76"/>
    </row>
    <row r="1098">
      <c r="A1098" s="73"/>
      <c r="B1098" s="74"/>
      <c r="C1098" s="74"/>
      <c r="D1098" s="73"/>
      <c r="E1098" s="75"/>
      <c r="F1098" s="75"/>
      <c r="G1098" s="76"/>
    </row>
    <row r="1099">
      <c r="A1099" s="73"/>
      <c r="B1099" s="74"/>
      <c r="C1099" s="74"/>
      <c r="D1099" s="73"/>
      <c r="E1099" s="75"/>
      <c r="F1099" s="75"/>
      <c r="G1099" s="76"/>
    </row>
    <row r="1100">
      <c r="A1100" s="73"/>
      <c r="B1100" s="74"/>
      <c r="C1100" s="74"/>
      <c r="D1100" s="73"/>
      <c r="E1100" s="75"/>
      <c r="F1100" s="75"/>
      <c r="G1100" s="76"/>
    </row>
    <row r="1101">
      <c r="A1101" s="73"/>
      <c r="B1101" s="74"/>
      <c r="C1101" s="74"/>
      <c r="D1101" s="73"/>
      <c r="E1101" s="75"/>
      <c r="F1101" s="75"/>
      <c r="G1101" s="76"/>
    </row>
    <row r="1102">
      <c r="A1102" s="73"/>
      <c r="B1102" s="74"/>
      <c r="C1102" s="74"/>
      <c r="D1102" s="73"/>
      <c r="E1102" s="75"/>
      <c r="F1102" s="75"/>
      <c r="G1102" s="76"/>
    </row>
    <row r="1103">
      <c r="A1103" s="73"/>
      <c r="B1103" s="74"/>
      <c r="C1103" s="74"/>
      <c r="D1103" s="73"/>
      <c r="E1103" s="75"/>
      <c r="F1103" s="75"/>
      <c r="G1103" s="76"/>
    </row>
    <row r="1104">
      <c r="A1104" s="73"/>
      <c r="B1104" s="74"/>
      <c r="C1104" s="74"/>
      <c r="D1104" s="73"/>
      <c r="E1104" s="75"/>
      <c r="F1104" s="75"/>
      <c r="G1104" s="76"/>
    </row>
    <row r="1105">
      <c r="A1105" s="73"/>
      <c r="B1105" s="74"/>
      <c r="C1105" s="74"/>
      <c r="D1105" s="73"/>
      <c r="E1105" s="75"/>
      <c r="F1105" s="75"/>
      <c r="G1105" s="76"/>
    </row>
    <row r="1106">
      <c r="A1106" s="73"/>
      <c r="B1106" s="74"/>
      <c r="C1106" s="74"/>
      <c r="D1106" s="73"/>
      <c r="E1106" s="75"/>
      <c r="F1106" s="75"/>
      <c r="G1106" s="76"/>
    </row>
    <row r="1107">
      <c r="A1107" s="73"/>
      <c r="B1107" s="74"/>
      <c r="C1107" s="74"/>
      <c r="D1107" s="73"/>
      <c r="E1107" s="75"/>
      <c r="F1107" s="75"/>
      <c r="G1107" s="76"/>
    </row>
    <row r="1108">
      <c r="A1108" s="73"/>
      <c r="B1108" s="74"/>
      <c r="C1108" s="74"/>
      <c r="D1108" s="73"/>
      <c r="E1108" s="75"/>
      <c r="F1108" s="75"/>
      <c r="G1108" s="76"/>
    </row>
    <row r="1109">
      <c r="A1109" s="73"/>
      <c r="B1109" s="74"/>
      <c r="C1109" s="74"/>
      <c r="D1109" s="73"/>
      <c r="E1109" s="75"/>
      <c r="F1109" s="75"/>
      <c r="G1109" s="76"/>
    </row>
    <row r="1110">
      <c r="A1110" s="73"/>
      <c r="B1110" s="74"/>
      <c r="C1110" s="74"/>
      <c r="D1110" s="73"/>
      <c r="E1110" s="75"/>
      <c r="F1110" s="75"/>
      <c r="G1110" s="76"/>
    </row>
    <row r="1111">
      <c r="A1111" s="73"/>
      <c r="B1111" s="74"/>
      <c r="C1111" s="74"/>
      <c r="D1111" s="73"/>
      <c r="E1111" s="75"/>
      <c r="F1111" s="75"/>
      <c r="G1111" s="76"/>
    </row>
    <row r="1112">
      <c r="A1112" s="73"/>
      <c r="B1112" s="74"/>
      <c r="C1112" s="74"/>
      <c r="D1112" s="73"/>
      <c r="E1112" s="75"/>
      <c r="F1112" s="75"/>
      <c r="G1112" s="76"/>
    </row>
    <row r="1113">
      <c r="A1113" s="73"/>
      <c r="B1113" s="74"/>
      <c r="C1113" s="74"/>
      <c r="D1113" s="73"/>
      <c r="E1113" s="75"/>
      <c r="F1113" s="75"/>
      <c r="G1113" s="76"/>
    </row>
    <row r="1114">
      <c r="A1114" s="73"/>
      <c r="B1114" s="74"/>
      <c r="C1114" s="74"/>
      <c r="D1114" s="73"/>
      <c r="E1114" s="75"/>
      <c r="F1114" s="75"/>
      <c r="G1114" s="76"/>
    </row>
    <row r="1115">
      <c r="A1115" s="73"/>
      <c r="B1115" s="74"/>
      <c r="C1115" s="74"/>
      <c r="D1115" s="73"/>
      <c r="E1115" s="75"/>
      <c r="F1115" s="75"/>
      <c r="G1115" s="76"/>
    </row>
    <row r="1116">
      <c r="A1116" s="73"/>
      <c r="B1116" s="74"/>
      <c r="C1116" s="74"/>
      <c r="D1116" s="73"/>
      <c r="E1116" s="75"/>
      <c r="F1116" s="75"/>
      <c r="G1116" s="76"/>
    </row>
    <row r="1117">
      <c r="A1117" s="73"/>
      <c r="B1117" s="74"/>
      <c r="C1117" s="74"/>
      <c r="D1117" s="73"/>
      <c r="E1117" s="75"/>
      <c r="F1117" s="75"/>
      <c r="G1117" s="76"/>
    </row>
    <row r="1118">
      <c r="A1118" s="73"/>
      <c r="B1118" s="74"/>
      <c r="C1118" s="74"/>
      <c r="D1118" s="73"/>
      <c r="E1118" s="75"/>
      <c r="F1118" s="75"/>
      <c r="G1118" s="76"/>
    </row>
    <row r="1119">
      <c r="A1119" s="73"/>
      <c r="B1119" s="74"/>
      <c r="C1119" s="74"/>
      <c r="D1119" s="73"/>
      <c r="E1119" s="75"/>
      <c r="F1119" s="75"/>
      <c r="G1119" s="76"/>
    </row>
    <row r="1120">
      <c r="A1120" s="73"/>
      <c r="B1120" s="74"/>
      <c r="C1120" s="74"/>
      <c r="D1120" s="73"/>
      <c r="E1120" s="75"/>
      <c r="F1120" s="75"/>
      <c r="G1120" s="76"/>
    </row>
    <row r="1121">
      <c r="A1121" s="73"/>
      <c r="B1121" s="74"/>
      <c r="C1121" s="74"/>
      <c r="D1121" s="73"/>
      <c r="E1121" s="75"/>
      <c r="F1121" s="75"/>
      <c r="G1121" s="76"/>
    </row>
    <row r="1122">
      <c r="A1122" s="73"/>
      <c r="B1122" s="74"/>
      <c r="C1122" s="74"/>
      <c r="D1122" s="73"/>
      <c r="E1122" s="75"/>
      <c r="F1122" s="75"/>
      <c r="G1122" s="76"/>
    </row>
    <row r="1123">
      <c r="A1123" s="73"/>
      <c r="B1123" s="74"/>
      <c r="C1123" s="74"/>
      <c r="D1123" s="73"/>
      <c r="E1123" s="75"/>
      <c r="F1123" s="75"/>
      <c r="G1123" s="76"/>
    </row>
    <row r="1124">
      <c r="A1124" s="73"/>
      <c r="B1124" s="74"/>
      <c r="C1124" s="74"/>
      <c r="D1124" s="73"/>
      <c r="E1124" s="75"/>
      <c r="F1124" s="75"/>
      <c r="G1124" s="76"/>
    </row>
    <row r="1125">
      <c r="A1125" s="73"/>
      <c r="B1125" s="74"/>
      <c r="C1125" s="74"/>
      <c r="D1125" s="73"/>
      <c r="E1125" s="75"/>
      <c r="F1125" s="75"/>
      <c r="G1125" s="76"/>
    </row>
    <row r="1126">
      <c r="A1126" s="73"/>
      <c r="B1126" s="74"/>
      <c r="C1126" s="74"/>
      <c r="D1126" s="73"/>
      <c r="E1126" s="75"/>
      <c r="F1126" s="75"/>
      <c r="G1126" s="76"/>
    </row>
    <row r="1127">
      <c r="A1127" s="73"/>
      <c r="B1127" s="74"/>
      <c r="C1127" s="74"/>
      <c r="D1127" s="73"/>
      <c r="E1127" s="75"/>
      <c r="F1127" s="75"/>
      <c r="G1127" s="76"/>
    </row>
    <row r="1128">
      <c r="A1128" s="73"/>
      <c r="B1128" s="74"/>
      <c r="C1128" s="74"/>
      <c r="D1128" s="73"/>
      <c r="E1128" s="75"/>
      <c r="F1128" s="75"/>
      <c r="G1128" s="76"/>
    </row>
    <row r="1129">
      <c r="A1129" s="73"/>
      <c r="B1129" s="74"/>
      <c r="C1129" s="74"/>
      <c r="D1129" s="73"/>
      <c r="E1129" s="75"/>
      <c r="F1129" s="75"/>
      <c r="G1129" s="76"/>
    </row>
    <row r="1130">
      <c r="A1130" s="73"/>
      <c r="B1130" s="74"/>
      <c r="C1130" s="74"/>
      <c r="D1130" s="73"/>
      <c r="E1130" s="75"/>
      <c r="F1130" s="75"/>
      <c r="G1130" s="76"/>
    </row>
    <row r="1131">
      <c r="A1131" s="73"/>
      <c r="B1131" s="74"/>
      <c r="C1131" s="74"/>
      <c r="D1131" s="73"/>
      <c r="E1131" s="75"/>
      <c r="F1131" s="75"/>
      <c r="G1131" s="76"/>
    </row>
    <row r="1132">
      <c r="A1132" s="73"/>
      <c r="B1132" s="74"/>
      <c r="C1132" s="74"/>
      <c r="D1132" s="73"/>
      <c r="E1132" s="75"/>
      <c r="F1132" s="75"/>
      <c r="G1132" s="76"/>
    </row>
    <row r="1133">
      <c r="A1133" s="73"/>
      <c r="B1133" s="74"/>
      <c r="C1133" s="74"/>
      <c r="D1133" s="73"/>
      <c r="E1133" s="75"/>
      <c r="F1133" s="75"/>
      <c r="G1133" s="76"/>
    </row>
    <row r="1134">
      <c r="A1134" s="73"/>
      <c r="B1134" s="74"/>
      <c r="C1134" s="74"/>
      <c r="D1134" s="73"/>
      <c r="E1134" s="75"/>
      <c r="F1134" s="75"/>
      <c r="G1134" s="76"/>
    </row>
    <row r="1135">
      <c r="A1135" s="73"/>
      <c r="B1135" s="74"/>
      <c r="C1135" s="74"/>
      <c r="D1135" s="73"/>
      <c r="E1135" s="75"/>
      <c r="F1135" s="75"/>
      <c r="G1135" s="76"/>
    </row>
    <row r="1136">
      <c r="A1136" s="73"/>
      <c r="B1136" s="74"/>
      <c r="C1136" s="74"/>
      <c r="D1136" s="73"/>
      <c r="E1136" s="75"/>
      <c r="F1136" s="75"/>
      <c r="G1136" s="76"/>
    </row>
    <row r="1137">
      <c r="A1137" s="73"/>
      <c r="B1137" s="74"/>
      <c r="C1137" s="74"/>
      <c r="D1137" s="73"/>
      <c r="E1137" s="75"/>
      <c r="F1137" s="75"/>
      <c r="G1137" s="76"/>
    </row>
    <row r="1138">
      <c r="A1138" s="73"/>
      <c r="B1138" s="74"/>
      <c r="C1138" s="74"/>
      <c r="D1138" s="73"/>
      <c r="E1138" s="75"/>
      <c r="F1138" s="75"/>
      <c r="G1138" s="76"/>
    </row>
    <row r="1139">
      <c r="A1139" s="73"/>
      <c r="B1139" s="74"/>
      <c r="C1139" s="74"/>
      <c r="D1139" s="73"/>
      <c r="E1139" s="75"/>
      <c r="F1139" s="75"/>
      <c r="G1139" s="76"/>
    </row>
    <row r="1140">
      <c r="A1140" s="73"/>
      <c r="B1140" s="74"/>
      <c r="C1140" s="74"/>
      <c r="D1140" s="73"/>
      <c r="E1140" s="75"/>
      <c r="F1140" s="75"/>
      <c r="G1140" s="76"/>
    </row>
    <row r="1141">
      <c r="A1141" s="73"/>
      <c r="B1141" s="74"/>
      <c r="C1141" s="74"/>
      <c r="D1141" s="73"/>
      <c r="E1141" s="75"/>
      <c r="F1141" s="75"/>
      <c r="G1141" s="76"/>
    </row>
    <row r="1142">
      <c r="A1142" s="73"/>
      <c r="B1142" s="74"/>
      <c r="C1142" s="74"/>
      <c r="D1142" s="73"/>
      <c r="E1142" s="75"/>
      <c r="F1142" s="75"/>
      <c r="G1142" s="76"/>
    </row>
    <row r="1143">
      <c r="A1143" s="73"/>
      <c r="B1143" s="74"/>
      <c r="C1143" s="74"/>
      <c r="D1143" s="73"/>
      <c r="E1143" s="75"/>
      <c r="F1143" s="75"/>
      <c r="G1143" s="76"/>
    </row>
    <row r="1144">
      <c r="A1144" s="73"/>
      <c r="B1144" s="74"/>
      <c r="C1144" s="74"/>
      <c r="D1144" s="73"/>
      <c r="E1144" s="75"/>
      <c r="F1144" s="75"/>
      <c r="G1144" s="76"/>
    </row>
    <row r="1145">
      <c r="A1145" s="73"/>
      <c r="B1145" s="74"/>
      <c r="C1145" s="74"/>
      <c r="D1145" s="73"/>
      <c r="E1145" s="75"/>
      <c r="F1145" s="75"/>
      <c r="G1145" s="76"/>
    </row>
    <row r="1146">
      <c r="A1146" s="73"/>
      <c r="B1146" s="74"/>
      <c r="C1146" s="74"/>
      <c r="D1146" s="73"/>
      <c r="E1146" s="75"/>
      <c r="F1146" s="75"/>
      <c r="G1146" s="76"/>
    </row>
    <row r="1147">
      <c r="A1147" s="73"/>
      <c r="B1147" s="74"/>
      <c r="C1147" s="74"/>
      <c r="D1147" s="73"/>
      <c r="E1147" s="75"/>
      <c r="F1147" s="75"/>
      <c r="G1147" s="76"/>
    </row>
    <row r="1148">
      <c r="A1148" s="73"/>
      <c r="B1148" s="74"/>
      <c r="C1148" s="74"/>
      <c r="D1148" s="73"/>
      <c r="E1148" s="75"/>
      <c r="F1148" s="75"/>
      <c r="G1148" s="76"/>
    </row>
    <row r="1149">
      <c r="A1149" s="73"/>
      <c r="B1149" s="74"/>
      <c r="C1149" s="74"/>
      <c r="D1149" s="73"/>
      <c r="E1149" s="75"/>
      <c r="F1149" s="75"/>
      <c r="G1149" s="76"/>
    </row>
    <row r="1150">
      <c r="A1150" s="73"/>
      <c r="B1150" s="74"/>
      <c r="C1150" s="74"/>
      <c r="D1150" s="73"/>
      <c r="E1150" s="75"/>
      <c r="F1150" s="75"/>
      <c r="G1150" s="76"/>
    </row>
    <row r="1151">
      <c r="A1151" s="73"/>
      <c r="B1151" s="74"/>
      <c r="C1151" s="74"/>
      <c r="D1151" s="73"/>
      <c r="E1151" s="75"/>
      <c r="F1151" s="75"/>
      <c r="G1151" s="76"/>
    </row>
    <row r="1152">
      <c r="A1152" s="73"/>
      <c r="B1152" s="74"/>
      <c r="C1152" s="74"/>
      <c r="D1152" s="73"/>
      <c r="E1152" s="75"/>
      <c r="F1152" s="75"/>
      <c r="G1152" s="76"/>
    </row>
    <row r="1153">
      <c r="A1153" s="73"/>
      <c r="B1153" s="74"/>
      <c r="C1153" s="74"/>
      <c r="D1153" s="73"/>
      <c r="E1153" s="75"/>
      <c r="F1153" s="75"/>
      <c r="G1153" s="76"/>
    </row>
    <row r="1154">
      <c r="A1154" s="73"/>
      <c r="B1154" s="74"/>
      <c r="C1154" s="74"/>
      <c r="D1154" s="73"/>
      <c r="E1154" s="75"/>
      <c r="F1154" s="75"/>
      <c r="G1154" s="76"/>
    </row>
    <row r="1155">
      <c r="A1155" s="73"/>
      <c r="B1155" s="74"/>
      <c r="C1155" s="74"/>
      <c r="D1155" s="73"/>
      <c r="E1155" s="75"/>
      <c r="F1155" s="75"/>
      <c r="G1155" s="76"/>
    </row>
    <row r="1156">
      <c r="A1156" s="73"/>
      <c r="B1156" s="74"/>
      <c r="C1156" s="74"/>
      <c r="D1156" s="73"/>
      <c r="E1156" s="75"/>
      <c r="F1156" s="75"/>
      <c r="G1156" s="76"/>
    </row>
    <row r="1157">
      <c r="A1157" s="73"/>
      <c r="B1157" s="74"/>
      <c r="C1157" s="74"/>
      <c r="D1157" s="73"/>
      <c r="E1157" s="75"/>
      <c r="F1157" s="75"/>
      <c r="G1157" s="76"/>
    </row>
    <row r="1158">
      <c r="A1158" s="73"/>
      <c r="B1158" s="74"/>
      <c r="C1158" s="74"/>
      <c r="D1158" s="73"/>
      <c r="E1158" s="75"/>
      <c r="F1158" s="75"/>
      <c r="G1158" s="76"/>
    </row>
    <row r="1159">
      <c r="A1159" s="73"/>
      <c r="B1159" s="74"/>
      <c r="C1159" s="74"/>
      <c r="D1159" s="73"/>
      <c r="E1159" s="75"/>
      <c r="F1159" s="75"/>
      <c r="G1159" s="76"/>
    </row>
    <row r="1160">
      <c r="A1160" s="73"/>
      <c r="B1160" s="74"/>
      <c r="C1160" s="74"/>
      <c r="D1160" s="73"/>
      <c r="E1160" s="75"/>
      <c r="F1160" s="75"/>
      <c r="G1160" s="76"/>
    </row>
    <row r="1161">
      <c r="A1161" s="73"/>
      <c r="B1161" s="74"/>
      <c r="C1161" s="74"/>
      <c r="D1161" s="73"/>
      <c r="E1161" s="75"/>
      <c r="F1161" s="75"/>
      <c r="G1161" s="76"/>
    </row>
    <row r="1162">
      <c r="A1162" s="73"/>
      <c r="B1162" s="74"/>
      <c r="C1162" s="74"/>
      <c r="D1162" s="73"/>
      <c r="E1162" s="75"/>
      <c r="F1162" s="75"/>
      <c r="G1162" s="76"/>
    </row>
    <row r="1163">
      <c r="A1163" s="73"/>
      <c r="B1163" s="74"/>
      <c r="C1163" s="74"/>
      <c r="D1163" s="73"/>
      <c r="E1163" s="75"/>
      <c r="F1163" s="75"/>
      <c r="G1163" s="76"/>
    </row>
    <row r="1164">
      <c r="A1164" s="73"/>
      <c r="B1164" s="74"/>
      <c r="C1164" s="74"/>
      <c r="D1164" s="73"/>
      <c r="E1164" s="75"/>
      <c r="F1164" s="75"/>
      <c r="G1164" s="76"/>
    </row>
    <row r="1165">
      <c r="A1165" s="73"/>
      <c r="B1165" s="74"/>
      <c r="C1165" s="74"/>
      <c r="D1165" s="73"/>
      <c r="E1165" s="75"/>
      <c r="F1165" s="75"/>
      <c r="G1165" s="76"/>
    </row>
    <row r="1166">
      <c r="A1166" s="73"/>
      <c r="B1166" s="74"/>
      <c r="C1166" s="74"/>
      <c r="D1166" s="73"/>
      <c r="E1166" s="75"/>
      <c r="F1166" s="75"/>
      <c r="G1166" s="76"/>
    </row>
    <row r="1167">
      <c r="A1167" s="73"/>
      <c r="B1167" s="74"/>
      <c r="C1167" s="74"/>
      <c r="D1167" s="73"/>
      <c r="E1167" s="75"/>
      <c r="F1167" s="75"/>
      <c r="G1167" s="76"/>
    </row>
    <row r="1168">
      <c r="A1168" s="73"/>
      <c r="B1168" s="74"/>
      <c r="C1168" s="74"/>
      <c r="D1168" s="73"/>
      <c r="E1168" s="75"/>
      <c r="F1168" s="75"/>
      <c r="G1168" s="76"/>
    </row>
    <row r="1169">
      <c r="A1169" s="73"/>
      <c r="B1169" s="74"/>
      <c r="C1169" s="74"/>
      <c r="D1169" s="73"/>
      <c r="E1169" s="75"/>
      <c r="F1169" s="75"/>
      <c r="G1169" s="76"/>
    </row>
    <row r="1170">
      <c r="A1170" s="73"/>
      <c r="B1170" s="74"/>
      <c r="C1170" s="74"/>
      <c r="D1170" s="73"/>
      <c r="E1170" s="75"/>
      <c r="F1170" s="75"/>
      <c r="G1170" s="76"/>
    </row>
    <row r="1171">
      <c r="A1171" s="73"/>
      <c r="B1171" s="74"/>
      <c r="C1171" s="74"/>
      <c r="D1171" s="73"/>
      <c r="E1171" s="75"/>
      <c r="F1171" s="75"/>
      <c r="G1171" s="76"/>
    </row>
    <row r="1172">
      <c r="A1172" s="73"/>
      <c r="B1172" s="74"/>
      <c r="C1172" s="74"/>
      <c r="D1172" s="73"/>
      <c r="E1172" s="75"/>
      <c r="F1172" s="75"/>
      <c r="G1172" s="76"/>
    </row>
    <row r="1173">
      <c r="A1173" s="73"/>
      <c r="B1173" s="74"/>
      <c r="C1173" s="74"/>
      <c r="D1173" s="73"/>
      <c r="E1173" s="75"/>
      <c r="F1173" s="75"/>
      <c r="G1173" s="76"/>
    </row>
    <row r="1174">
      <c r="A1174" s="73"/>
      <c r="B1174" s="74"/>
      <c r="C1174" s="74"/>
      <c r="D1174" s="73"/>
      <c r="E1174" s="75"/>
      <c r="F1174" s="75"/>
      <c r="G1174" s="76"/>
    </row>
    <row r="1175">
      <c r="A1175" s="73"/>
      <c r="B1175" s="74"/>
      <c r="C1175" s="74"/>
      <c r="D1175" s="73"/>
      <c r="E1175" s="75"/>
      <c r="F1175" s="75"/>
      <c r="G1175" s="76"/>
    </row>
    <row r="1176">
      <c r="A1176" s="73"/>
      <c r="B1176" s="74"/>
      <c r="C1176" s="74"/>
      <c r="D1176" s="73"/>
      <c r="E1176" s="75"/>
      <c r="F1176" s="75"/>
      <c r="G1176" s="76"/>
    </row>
    <row r="1177">
      <c r="A1177" s="73"/>
      <c r="B1177" s="74"/>
      <c r="C1177" s="74"/>
      <c r="D1177" s="73"/>
      <c r="E1177" s="75"/>
      <c r="F1177" s="75"/>
      <c r="G1177" s="76"/>
    </row>
    <row r="1178">
      <c r="A1178" s="73"/>
      <c r="B1178" s="74"/>
      <c r="C1178" s="74"/>
      <c r="D1178" s="73"/>
      <c r="E1178" s="75"/>
      <c r="F1178" s="75"/>
      <c r="G1178" s="76"/>
    </row>
    <row r="1179">
      <c r="A1179" s="73"/>
      <c r="B1179" s="74"/>
      <c r="C1179" s="74"/>
      <c r="D1179" s="73"/>
      <c r="E1179" s="75"/>
      <c r="F1179" s="75"/>
      <c r="G1179" s="76"/>
    </row>
    <row r="1180">
      <c r="A1180" s="73"/>
      <c r="B1180" s="74"/>
      <c r="C1180" s="74"/>
      <c r="D1180" s="73"/>
      <c r="E1180" s="75"/>
      <c r="F1180" s="75"/>
      <c r="G1180" s="76"/>
    </row>
    <row r="1181">
      <c r="A1181" s="73"/>
      <c r="B1181" s="74"/>
      <c r="C1181" s="74"/>
      <c r="D1181" s="73"/>
      <c r="E1181" s="75"/>
      <c r="F1181" s="75"/>
      <c r="G1181" s="76"/>
    </row>
    <row r="1182">
      <c r="A1182" s="73"/>
      <c r="B1182" s="74"/>
      <c r="C1182" s="74"/>
      <c r="D1182" s="73"/>
      <c r="E1182" s="75"/>
      <c r="F1182" s="75"/>
      <c r="G1182" s="76"/>
    </row>
    <row r="1183">
      <c r="A1183" s="73"/>
      <c r="B1183" s="74"/>
      <c r="C1183" s="74"/>
      <c r="D1183" s="73"/>
      <c r="E1183" s="75"/>
      <c r="F1183" s="75"/>
      <c r="G1183" s="76"/>
    </row>
    <row r="1184">
      <c r="A1184" s="73"/>
      <c r="B1184" s="74"/>
      <c r="C1184" s="74"/>
      <c r="D1184" s="73"/>
      <c r="E1184" s="75"/>
      <c r="F1184" s="75"/>
      <c r="G1184" s="76"/>
    </row>
    <row r="1185">
      <c r="A1185" s="73"/>
      <c r="B1185" s="74"/>
      <c r="C1185" s="74"/>
      <c r="D1185" s="73"/>
      <c r="E1185" s="75"/>
      <c r="F1185" s="75"/>
      <c r="G1185" s="76"/>
    </row>
    <row r="1186">
      <c r="A1186" s="73"/>
      <c r="B1186" s="74"/>
      <c r="C1186" s="74"/>
      <c r="D1186" s="73"/>
      <c r="E1186" s="75"/>
      <c r="F1186" s="75"/>
      <c r="G1186" s="76"/>
    </row>
    <row r="1187">
      <c r="A1187" s="73"/>
      <c r="B1187" s="74"/>
      <c r="C1187" s="74"/>
      <c r="D1187" s="73"/>
      <c r="E1187" s="75"/>
      <c r="F1187" s="75"/>
      <c r="G1187" s="76"/>
    </row>
    <row r="1188">
      <c r="A1188" s="73"/>
      <c r="B1188" s="74"/>
      <c r="C1188" s="74"/>
      <c r="D1188" s="73"/>
      <c r="E1188" s="75"/>
      <c r="F1188" s="75"/>
      <c r="G1188" s="76"/>
    </row>
    <row r="1189">
      <c r="A1189" s="73"/>
      <c r="B1189" s="74"/>
      <c r="C1189" s="74"/>
      <c r="D1189" s="73"/>
      <c r="E1189" s="75"/>
      <c r="F1189" s="75"/>
      <c r="G1189" s="76"/>
    </row>
    <row r="1190">
      <c r="A1190" s="73"/>
      <c r="B1190" s="74"/>
      <c r="C1190" s="74"/>
      <c r="D1190" s="73"/>
      <c r="E1190" s="75"/>
      <c r="F1190" s="75"/>
      <c r="G1190" s="76"/>
    </row>
    <row r="1191">
      <c r="A1191" s="73"/>
      <c r="B1191" s="74"/>
      <c r="C1191" s="74"/>
      <c r="D1191" s="73"/>
      <c r="E1191" s="75"/>
      <c r="F1191" s="75"/>
      <c r="G1191" s="76"/>
    </row>
    <row r="1192">
      <c r="A1192" s="73"/>
      <c r="B1192" s="74"/>
      <c r="C1192" s="74"/>
      <c r="D1192" s="73"/>
      <c r="E1192" s="75"/>
      <c r="F1192" s="75"/>
      <c r="G1192" s="76"/>
    </row>
    <row r="1193">
      <c r="A1193" s="73"/>
      <c r="B1193" s="74"/>
      <c r="C1193" s="74"/>
      <c r="D1193" s="73"/>
      <c r="E1193" s="75"/>
      <c r="F1193" s="75"/>
      <c r="G1193" s="76"/>
    </row>
    <row r="1194">
      <c r="A1194" s="73"/>
      <c r="B1194" s="74"/>
      <c r="C1194" s="74"/>
      <c r="D1194" s="73"/>
      <c r="E1194" s="75"/>
      <c r="F1194" s="75"/>
      <c r="G1194" s="76"/>
    </row>
    <row r="1195">
      <c r="A1195" s="73"/>
      <c r="B1195" s="74"/>
      <c r="C1195" s="74"/>
      <c r="D1195" s="73"/>
      <c r="E1195" s="75"/>
      <c r="F1195" s="75"/>
      <c r="G1195" s="76"/>
    </row>
    <row r="1196">
      <c r="A1196" s="73"/>
      <c r="B1196" s="74"/>
      <c r="C1196" s="74"/>
      <c r="D1196" s="73"/>
      <c r="E1196" s="75"/>
      <c r="F1196" s="75"/>
      <c r="G1196" s="76"/>
    </row>
    <row r="1197">
      <c r="A1197" s="73"/>
      <c r="B1197" s="74"/>
      <c r="C1197" s="74"/>
      <c r="D1197" s="73"/>
      <c r="E1197" s="75"/>
      <c r="F1197" s="75"/>
      <c r="G1197" s="76"/>
    </row>
    <row r="1198">
      <c r="A1198" s="73"/>
      <c r="B1198" s="74"/>
      <c r="C1198" s="74"/>
      <c r="D1198" s="73"/>
      <c r="E1198" s="75"/>
      <c r="F1198" s="75"/>
      <c r="G1198" s="76"/>
    </row>
    <row r="1199">
      <c r="A1199" s="73"/>
      <c r="B1199" s="74"/>
      <c r="C1199" s="74"/>
      <c r="D1199" s="73"/>
      <c r="E1199" s="75"/>
      <c r="F1199" s="75"/>
      <c r="G1199" s="76"/>
    </row>
    <row r="1200">
      <c r="A1200" s="73"/>
      <c r="B1200" s="74"/>
      <c r="C1200" s="74"/>
      <c r="D1200" s="73"/>
      <c r="E1200" s="75"/>
      <c r="F1200" s="75"/>
      <c r="G1200" s="76"/>
    </row>
    <row r="1201">
      <c r="A1201" s="73"/>
      <c r="B1201" s="74"/>
      <c r="C1201" s="74"/>
      <c r="D1201" s="73"/>
      <c r="E1201" s="75"/>
      <c r="F1201" s="75"/>
      <c r="G1201" s="76"/>
    </row>
    <row r="1202">
      <c r="A1202" s="73"/>
      <c r="B1202" s="74"/>
      <c r="C1202" s="74"/>
      <c r="D1202" s="73"/>
      <c r="E1202" s="75"/>
      <c r="F1202" s="75"/>
      <c r="G1202" s="76"/>
    </row>
    <row r="1203">
      <c r="A1203" s="73"/>
      <c r="B1203" s="74"/>
      <c r="C1203" s="74"/>
      <c r="D1203" s="73"/>
      <c r="E1203" s="75"/>
      <c r="F1203" s="75"/>
      <c r="G1203" s="76"/>
    </row>
    <row r="1204">
      <c r="A1204" s="73"/>
      <c r="B1204" s="74"/>
      <c r="C1204" s="74"/>
      <c r="D1204" s="73"/>
      <c r="E1204" s="75"/>
      <c r="F1204" s="75"/>
      <c r="G1204" s="76"/>
    </row>
    <row r="1205">
      <c r="A1205" s="73"/>
      <c r="B1205" s="74"/>
      <c r="C1205" s="74"/>
      <c r="D1205" s="73"/>
      <c r="E1205" s="75"/>
      <c r="F1205" s="75"/>
      <c r="G1205" s="76"/>
    </row>
    <row r="1206">
      <c r="A1206" s="73"/>
      <c r="B1206" s="74"/>
      <c r="C1206" s="74"/>
      <c r="D1206" s="73"/>
      <c r="E1206" s="75"/>
      <c r="F1206" s="75"/>
      <c r="G1206" s="76"/>
    </row>
    <row r="1207">
      <c r="A1207" s="73"/>
      <c r="B1207" s="74"/>
      <c r="C1207" s="74"/>
      <c r="D1207" s="73"/>
      <c r="E1207" s="75"/>
      <c r="F1207" s="75"/>
      <c r="G1207" s="76"/>
    </row>
    <row r="1208">
      <c r="A1208" s="73"/>
      <c r="B1208" s="74"/>
      <c r="C1208" s="74"/>
      <c r="D1208" s="73"/>
      <c r="E1208" s="75"/>
      <c r="F1208" s="75"/>
      <c r="G1208" s="76"/>
    </row>
    <row r="1209">
      <c r="A1209" s="73"/>
      <c r="B1209" s="74"/>
      <c r="C1209" s="74"/>
      <c r="D1209" s="73"/>
      <c r="E1209" s="75"/>
      <c r="F1209" s="75"/>
      <c r="G1209" s="76"/>
    </row>
    <row r="1210">
      <c r="A1210" s="73"/>
      <c r="B1210" s="74"/>
      <c r="C1210" s="74"/>
      <c r="D1210" s="73"/>
      <c r="E1210" s="75"/>
      <c r="F1210" s="75"/>
      <c r="G1210" s="76"/>
    </row>
    <row r="1211">
      <c r="A1211" s="73"/>
      <c r="B1211" s="74"/>
      <c r="C1211" s="74"/>
      <c r="D1211" s="73"/>
      <c r="E1211" s="75"/>
      <c r="F1211" s="75"/>
      <c r="G1211" s="76"/>
    </row>
    <row r="1212">
      <c r="A1212" s="73"/>
      <c r="B1212" s="74"/>
      <c r="C1212" s="74"/>
      <c r="D1212" s="73"/>
      <c r="E1212" s="75"/>
      <c r="F1212" s="75"/>
      <c r="G1212" s="76"/>
    </row>
    <row r="1213">
      <c r="A1213" s="73"/>
      <c r="B1213" s="74"/>
      <c r="C1213" s="74"/>
      <c r="D1213" s="73"/>
      <c r="E1213" s="75"/>
      <c r="F1213" s="75"/>
      <c r="G1213" s="76"/>
    </row>
    <row r="1214">
      <c r="A1214" s="73"/>
      <c r="B1214" s="74"/>
      <c r="C1214" s="74"/>
      <c r="D1214" s="73"/>
      <c r="E1214" s="75"/>
      <c r="F1214" s="75"/>
      <c r="G1214" s="76"/>
    </row>
    <row r="1215">
      <c r="A1215" s="73"/>
      <c r="B1215" s="74"/>
      <c r="C1215" s="74"/>
      <c r="D1215" s="73"/>
      <c r="E1215" s="75"/>
      <c r="F1215" s="75"/>
      <c r="G1215" s="76"/>
    </row>
    <row r="1216">
      <c r="A1216" s="73"/>
      <c r="B1216" s="74"/>
      <c r="C1216" s="74"/>
      <c r="D1216" s="73"/>
      <c r="E1216" s="75"/>
      <c r="F1216" s="75"/>
      <c r="G1216" s="76"/>
    </row>
    <row r="1217">
      <c r="A1217" s="73"/>
      <c r="B1217" s="74"/>
      <c r="C1217" s="74"/>
      <c r="D1217" s="73"/>
      <c r="E1217" s="75"/>
      <c r="F1217" s="75"/>
      <c r="G1217" s="76"/>
    </row>
    <row r="1218">
      <c r="A1218" s="73"/>
      <c r="B1218" s="74"/>
      <c r="C1218" s="74"/>
      <c r="D1218" s="73"/>
      <c r="E1218" s="75"/>
      <c r="F1218" s="75"/>
      <c r="G1218" s="76"/>
    </row>
    <row r="1219">
      <c r="A1219" s="73"/>
      <c r="B1219" s="74"/>
      <c r="C1219" s="74"/>
      <c r="D1219" s="73"/>
      <c r="E1219" s="75"/>
      <c r="F1219" s="75"/>
      <c r="G1219" s="76"/>
    </row>
    <row r="1220">
      <c r="A1220" s="73"/>
      <c r="B1220" s="74"/>
      <c r="C1220" s="74"/>
      <c r="D1220" s="73"/>
      <c r="E1220" s="75"/>
      <c r="F1220" s="75"/>
      <c r="G1220" s="76"/>
    </row>
    <row r="1221">
      <c r="A1221" s="73"/>
      <c r="B1221" s="74"/>
      <c r="C1221" s="74"/>
      <c r="D1221" s="73"/>
      <c r="E1221" s="75"/>
      <c r="F1221" s="75"/>
      <c r="G1221" s="76"/>
    </row>
    <row r="1222">
      <c r="A1222" s="73"/>
      <c r="B1222" s="74"/>
      <c r="C1222" s="74"/>
      <c r="D1222" s="73"/>
      <c r="E1222" s="75"/>
      <c r="F1222" s="75"/>
      <c r="G1222" s="76"/>
    </row>
    <row r="1223">
      <c r="A1223" s="73"/>
      <c r="B1223" s="74"/>
      <c r="C1223" s="74"/>
      <c r="D1223" s="73"/>
      <c r="E1223" s="75"/>
      <c r="F1223" s="75"/>
      <c r="G1223" s="76"/>
    </row>
    <row r="1224">
      <c r="A1224" s="73"/>
      <c r="B1224" s="74"/>
      <c r="C1224" s="74"/>
      <c r="D1224" s="73"/>
      <c r="E1224" s="75"/>
      <c r="F1224" s="75"/>
      <c r="G1224" s="76"/>
    </row>
    <row r="1225">
      <c r="A1225" s="73"/>
      <c r="B1225" s="74"/>
      <c r="C1225" s="74"/>
      <c r="D1225" s="73"/>
      <c r="E1225" s="75"/>
      <c r="F1225" s="75"/>
      <c r="G1225" s="76"/>
    </row>
    <row r="1226">
      <c r="A1226" s="73"/>
      <c r="B1226" s="74"/>
      <c r="C1226" s="74"/>
      <c r="D1226" s="73"/>
      <c r="E1226" s="75"/>
      <c r="F1226" s="75"/>
      <c r="G1226" s="76"/>
    </row>
    <row r="1227">
      <c r="A1227" s="73"/>
      <c r="B1227" s="74"/>
      <c r="C1227" s="74"/>
      <c r="D1227" s="73"/>
      <c r="E1227" s="75"/>
      <c r="F1227" s="75"/>
      <c r="G1227" s="76"/>
    </row>
    <row r="1228">
      <c r="A1228" s="73"/>
      <c r="B1228" s="74"/>
      <c r="C1228" s="74"/>
      <c r="D1228" s="73"/>
      <c r="E1228" s="75"/>
      <c r="F1228" s="75"/>
      <c r="G1228" s="76"/>
    </row>
    <row r="1229">
      <c r="A1229" s="73"/>
      <c r="B1229" s="74"/>
      <c r="C1229" s="74"/>
      <c r="D1229" s="73"/>
      <c r="E1229" s="75"/>
      <c r="F1229" s="75"/>
      <c r="G1229" s="76"/>
    </row>
    <row r="1230">
      <c r="A1230" s="73"/>
      <c r="B1230" s="74"/>
      <c r="C1230" s="74"/>
      <c r="D1230" s="73"/>
      <c r="E1230" s="75"/>
      <c r="F1230" s="75"/>
      <c r="G1230" s="76"/>
    </row>
    <row r="1231">
      <c r="A1231" s="73"/>
      <c r="B1231" s="74"/>
      <c r="C1231" s="74"/>
      <c r="D1231" s="73"/>
      <c r="E1231" s="75"/>
      <c r="F1231" s="75"/>
      <c r="G1231" s="76"/>
    </row>
    <row r="1232">
      <c r="A1232" s="73"/>
      <c r="B1232" s="74"/>
      <c r="C1232" s="74"/>
      <c r="D1232" s="73"/>
      <c r="E1232" s="75"/>
      <c r="F1232" s="75"/>
      <c r="G1232" s="76"/>
    </row>
    <row r="1233">
      <c r="A1233" s="73"/>
      <c r="B1233" s="74"/>
      <c r="C1233" s="74"/>
      <c r="D1233" s="73"/>
      <c r="E1233" s="75"/>
      <c r="F1233" s="75"/>
      <c r="G1233" s="76"/>
    </row>
    <row r="1234">
      <c r="A1234" s="73"/>
      <c r="B1234" s="74"/>
      <c r="C1234" s="74"/>
      <c r="D1234" s="73"/>
      <c r="E1234" s="75"/>
      <c r="F1234" s="75"/>
      <c r="G1234" s="76"/>
    </row>
    <row r="1235">
      <c r="A1235" s="73"/>
      <c r="B1235" s="74"/>
      <c r="C1235" s="74"/>
      <c r="D1235" s="73"/>
      <c r="E1235" s="75"/>
      <c r="F1235" s="75"/>
      <c r="G1235" s="76"/>
    </row>
    <row r="1236">
      <c r="A1236" s="73"/>
      <c r="B1236" s="74"/>
      <c r="C1236" s="74"/>
      <c r="D1236" s="73"/>
      <c r="E1236" s="75"/>
      <c r="F1236" s="75"/>
      <c r="G1236" s="76"/>
    </row>
    <row r="1237">
      <c r="A1237" s="73"/>
      <c r="B1237" s="74"/>
      <c r="C1237" s="74"/>
      <c r="D1237" s="73"/>
      <c r="E1237" s="75"/>
      <c r="F1237" s="75"/>
      <c r="G1237" s="76"/>
    </row>
    <row r="1238">
      <c r="A1238" s="73"/>
      <c r="B1238" s="74"/>
      <c r="C1238" s="74"/>
      <c r="D1238" s="73"/>
      <c r="E1238" s="75"/>
      <c r="F1238" s="75"/>
      <c r="G1238" s="76"/>
    </row>
    <row r="1239">
      <c r="A1239" s="73"/>
      <c r="B1239" s="74"/>
      <c r="C1239" s="74"/>
      <c r="D1239" s="73"/>
      <c r="E1239" s="75"/>
      <c r="F1239" s="75"/>
      <c r="G1239" s="76"/>
    </row>
    <row r="1240">
      <c r="A1240" s="73"/>
      <c r="B1240" s="74"/>
      <c r="C1240" s="74"/>
      <c r="D1240" s="73"/>
      <c r="E1240" s="75"/>
      <c r="F1240" s="75"/>
      <c r="G1240" s="76"/>
    </row>
    <row r="1241">
      <c r="A1241" s="73"/>
      <c r="B1241" s="74"/>
      <c r="C1241" s="74"/>
      <c r="D1241" s="73"/>
      <c r="E1241" s="75"/>
      <c r="F1241" s="75"/>
      <c r="G1241" s="76"/>
    </row>
    <row r="1242">
      <c r="A1242" s="73"/>
      <c r="B1242" s="74"/>
      <c r="C1242" s="74"/>
      <c r="D1242" s="73"/>
      <c r="E1242" s="75"/>
      <c r="F1242" s="75"/>
      <c r="G1242" s="76"/>
    </row>
    <row r="1243">
      <c r="A1243" s="73"/>
      <c r="B1243" s="74"/>
      <c r="C1243" s="74"/>
      <c r="D1243" s="73"/>
      <c r="E1243" s="75"/>
      <c r="F1243" s="75"/>
      <c r="G1243" s="76"/>
    </row>
    <row r="1244">
      <c r="A1244" s="73"/>
      <c r="B1244" s="74"/>
      <c r="C1244" s="74"/>
      <c r="D1244" s="73"/>
      <c r="E1244" s="75"/>
      <c r="F1244" s="75"/>
      <c r="G1244" s="76"/>
    </row>
    <row r="1245">
      <c r="A1245" s="73"/>
      <c r="B1245" s="74"/>
      <c r="C1245" s="74"/>
      <c r="D1245" s="73"/>
      <c r="E1245" s="75"/>
      <c r="F1245" s="75"/>
      <c r="G1245" s="76"/>
    </row>
    <row r="1246">
      <c r="A1246" s="73"/>
      <c r="B1246" s="74"/>
      <c r="C1246" s="74"/>
      <c r="D1246" s="73"/>
      <c r="E1246" s="75"/>
      <c r="F1246" s="75"/>
      <c r="G1246" s="76"/>
    </row>
    <row r="1247">
      <c r="A1247" s="73"/>
      <c r="B1247" s="74"/>
      <c r="C1247" s="74"/>
      <c r="D1247" s="73"/>
      <c r="E1247" s="75"/>
      <c r="F1247" s="75"/>
      <c r="G1247" s="76"/>
    </row>
    <row r="1248">
      <c r="A1248" s="73"/>
      <c r="B1248" s="74"/>
      <c r="C1248" s="74"/>
      <c r="D1248" s="73"/>
      <c r="E1248" s="75"/>
      <c r="F1248" s="75"/>
      <c r="G1248" s="76"/>
    </row>
    <row r="1249">
      <c r="A1249" s="73"/>
      <c r="B1249" s="74"/>
      <c r="C1249" s="74"/>
      <c r="D1249" s="73"/>
      <c r="E1249" s="75"/>
      <c r="F1249" s="75"/>
      <c r="G1249" s="76"/>
    </row>
    <row r="1250">
      <c r="A1250" s="73"/>
      <c r="B1250" s="74"/>
      <c r="C1250" s="74"/>
      <c r="D1250" s="73"/>
      <c r="E1250" s="75"/>
      <c r="F1250" s="75"/>
      <c r="G1250" s="76"/>
    </row>
    <row r="1251">
      <c r="A1251" s="73"/>
      <c r="B1251" s="74"/>
      <c r="C1251" s="74"/>
      <c r="D1251" s="73"/>
      <c r="E1251" s="75"/>
      <c r="F1251" s="75"/>
      <c r="G1251" s="76"/>
    </row>
    <row r="1252">
      <c r="A1252" s="73"/>
      <c r="B1252" s="74"/>
      <c r="C1252" s="74"/>
      <c r="D1252" s="73"/>
      <c r="E1252" s="75"/>
      <c r="F1252" s="75"/>
      <c r="G1252" s="76"/>
    </row>
    <row r="1253">
      <c r="A1253" s="73"/>
      <c r="B1253" s="74"/>
      <c r="C1253" s="74"/>
      <c r="D1253" s="73"/>
      <c r="E1253" s="75"/>
      <c r="F1253" s="75"/>
      <c r="G1253" s="76"/>
    </row>
    <row r="1254">
      <c r="A1254" s="73"/>
      <c r="B1254" s="74"/>
      <c r="C1254" s="74"/>
      <c r="D1254" s="73"/>
      <c r="E1254" s="75"/>
      <c r="F1254" s="75"/>
      <c r="G1254" s="76"/>
    </row>
    <row r="1255">
      <c r="A1255" s="73"/>
      <c r="B1255" s="74"/>
      <c r="C1255" s="74"/>
      <c r="D1255" s="73"/>
      <c r="E1255" s="75"/>
      <c r="F1255" s="75"/>
      <c r="G1255" s="76"/>
    </row>
    <row r="1256">
      <c r="A1256" s="73"/>
      <c r="B1256" s="74"/>
      <c r="C1256" s="74"/>
      <c r="D1256" s="73"/>
      <c r="E1256" s="75"/>
      <c r="F1256" s="75"/>
      <c r="G1256" s="76"/>
    </row>
    <row r="1257">
      <c r="A1257" s="73"/>
      <c r="B1257" s="74"/>
      <c r="C1257" s="74"/>
      <c r="D1257" s="73"/>
      <c r="E1257" s="75"/>
      <c r="F1257" s="75"/>
      <c r="G1257" s="76"/>
    </row>
    <row r="1258">
      <c r="A1258" s="73"/>
      <c r="B1258" s="74"/>
      <c r="C1258" s="74"/>
      <c r="D1258" s="73"/>
      <c r="E1258" s="75"/>
      <c r="F1258" s="75"/>
      <c r="G1258" s="76"/>
    </row>
    <row r="1259">
      <c r="A1259" s="73"/>
      <c r="B1259" s="74"/>
      <c r="C1259" s="74"/>
      <c r="D1259" s="73"/>
      <c r="E1259" s="75"/>
      <c r="F1259" s="75"/>
      <c r="G1259" s="76"/>
    </row>
    <row r="1260">
      <c r="A1260" s="73"/>
      <c r="B1260" s="74"/>
      <c r="C1260" s="74"/>
      <c r="D1260" s="73"/>
      <c r="E1260" s="75"/>
      <c r="F1260" s="75"/>
      <c r="G1260" s="76"/>
    </row>
    <row r="1261">
      <c r="A1261" s="73"/>
      <c r="B1261" s="74"/>
      <c r="C1261" s="74"/>
      <c r="D1261" s="73"/>
      <c r="E1261" s="75"/>
      <c r="F1261" s="75"/>
      <c r="G1261" s="76"/>
    </row>
    <row r="1262">
      <c r="A1262" s="73"/>
      <c r="B1262" s="74"/>
      <c r="C1262" s="74"/>
      <c r="D1262" s="73"/>
      <c r="E1262" s="75"/>
      <c r="F1262" s="75"/>
      <c r="G1262" s="76"/>
    </row>
    <row r="1263">
      <c r="A1263" s="73"/>
      <c r="B1263" s="74"/>
      <c r="C1263" s="74"/>
      <c r="D1263" s="73"/>
      <c r="E1263" s="75"/>
      <c r="F1263" s="75"/>
      <c r="G1263" s="76"/>
    </row>
    <row r="1264">
      <c r="A1264" s="73"/>
      <c r="B1264" s="74"/>
      <c r="C1264" s="74"/>
      <c r="D1264" s="73"/>
      <c r="E1264" s="75"/>
      <c r="F1264" s="75"/>
      <c r="G1264" s="76"/>
    </row>
    <row r="1265">
      <c r="A1265" s="73"/>
      <c r="B1265" s="74"/>
      <c r="C1265" s="74"/>
      <c r="D1265" s="73"/>
      <c r="E1265" s="75"/>
      <c r="F1265" s="75"/>
      <c r="G1265" s="76"/>
    </row>
    <row r="1266">
      <c r="A1266" s="73"/>
      <c r="B1266" s="74"/>
      <c r="C1266" s="74"/>
      <c r="D1266" s="73"/>
      <c r="E1266" s="75"/>
      <c r="F1266" s="75"/>
      <c r="G1266" s="76"/>
    </row>
    <row r="1267">
      <c r="A1267" s="73"/>
      <c r="B1267" s="74"/>
      <c r="C1267" s="74"/>
      <c r="D1267" s="73"/>
      <c r="E1267" s="75"/>
      <c r="F1267" s="75"/>
      <c r="G1267" s="76"/>
    </row>
    <row r="1268">
      <c r="A1268" s="73"/>
      <c r="B1268" s="74"/>
      <c r="C1268" s="74"/>
      <c r="D1268" s="73"/>
      <c r="E1268" s="75"/>
      <c r="F1268" s="75"/>
      <c r="G1268" s="76"/>
    </row>
    <row r="1269">
      <c r="A1269" s="73"/>
      <c r="B1269" s="74"/>
      <c r="C1269" s="74"/>
      <c r="D1269" s="73"/>
      <c r="E1269" s="75"/>
      <c r="F1269" s="75"/>
      <c r="G1269" s="76"/>
    </row>
    <row r="1270">
      <c r="A1270" s="73"/>
      <c r="B1270" s="74"/>
      <c r="C1270" s="74"/>
      <c r="D1270" s="73"/>
      <c r="E1270" s="75"/>
      <c r="F1270" s="75"/>
      <c r="G1270" s="76"/>
    </row>
    <row r="1271">
      <c r="A1271" s="73"/>
      <c r="B1271" s="74"/>
      <c r="C1271" s="74"/>
      <c r="D1271" s="73"/>
      <c r="E1271" s="75"/>
      <c r="F1271" s="75"/>
      <c r="G1271" s="76"/>
    </row>
    <row r="1272">
      <c r="A1272" s="73"/>
      <c r="B1272" s="74"/>
      <c r="C1272" s="74"/>
      <c r="D1272" s="73"/>
      <c r="E1272" s="75"/>
      <c r="F1272" s="75"/>
      <c r="G1272" s="76"/>
    </row>
    <row r="1273">
      <c r="A1273" s="73"/>
      <c r="B1273" s="74"/>
      <c r="C1273" s="74"/>
      <c r="D1273" s="73"/>
      <c r="E1273" s="75"/>
      <c r="F1273" s="75"/>
      <c r="G1273" s="76"/>
    </row>
    <row r="1274">
      <c r="A1274" s="73"/>
      <c r="B1274" s="74"/>
      <c r="C1274" s="74"/>
      <c r="D1274" s="73"/>
      <c r="E1274" s="75"/>
      <c r="F1274" s="75"/>
      <c r="G1274" s="76"/>
    </row>
    <row r="1275">
      <c r="A1275" s="73"/>
      <c r="B1275" s="74"/>
      <c r="C1275" s="74"/>
      <c r="D1275" s="73"/>
      <c r="E1275" s="75"/>
      <c r="F1275" s="75"/>
      <c r="G1275" s="76"/>
    </row>
    <row r="1276">
      <c r="A1276" s="73"/>
      <c r="B1276" s="74"/>
      <c r="C1276" s="74"/>
      <c r="D1276" s="73"/>
      <c r="E1276" s="75"/>
      <c r="F1276" s="75"/>
      <c r="G1276" s="76"/>
    </row>
    <row r="1277">
      <c r="A1277" s="73"/>
      <c r="B1277" s="74"/>
      <c r="C1277" s="74"/>
      <c r="D1277" s="73"/>
      <c r="E1277" s="75"/>
      <c r="F1277" s="75"/>
      <c r="G1277" s="76"/>
    </row>
    <row r="1278">
      <c r="A1278" s="73"/>
      <c r="B1278" s="74"/>
      <c r="C1278" s="74"/>
      <c r="D1278" s="73"/>
      <c r="E1278" s="75"/>
      <c r="F1278" s="75"/>
      <c r="G1278" s="76"/>
    </row>
    <row r="1279">
      <c r="A1279" s="73"/>
      <c r="B1279" s="74"/>
      <c r="C1279" s="74"/>
      <c r="D1279" s="73"/>
      <c r="E1279" s="75"/>
      <c r="F1279" s="75"/>
      <c r="G1279" s="76"/>
    </row>
    <row r="1280">
      <c r="A1280" s="73"/>
      <c r="B1280" s="74"/>
      <c r="C1280" s="74"/>
      <c r="D1280" s="73"/>
      <c r="E1280" s="75"/>
      <c r="F1280" s="75"/>
      <c r="G1280" s="76"/>
    </row>
    <row r="1281">
      <c r="A1281" s="73"/>
      <c r="B1281" s="74"/>
      <c r="C1281" s="74"/>
      <c r="D1281" s="73"/>
      <c r="E1281" s="75"/>
      <c r="F1281" s="75"/>
      <c r="G1281" s="76"/>
    </row>
    <row r="1282">
      <c r="A1282" s="73"/>
      <c r="B1282" s="74"/>
      <c r="C1282" s="74"/>
      <c r="D1282" s="73"/>
      <c r="E1282" s="75"/>
      <c r="F1282" s="75"/>
      <c r="G1282" s="76"/>
    </row>
    <row r="1283">
      <c r="A1283" s="73"/>
      <c r="B1283" s="74"/>
      <c r="C1283" s="74"/>
      <c r="D1283" s="73"/>
      <c r="E1283" s="75"/>
      <c r="F1283" s="75"/>
      <c r="G1283" s="76"/>
    </row>
    <row r="1284">
      <c r="A1284" s="73"/>
      <c r="B1284" s="74"/>
      <c r="C1284" s="74"/>
      <c r="D1284" s="73"/>
      <c r="E1284" s="75"/>
      <c r="F1284" s="75"/>
      <c r="G1284" s="76"/>
    </row>
    <row r="1285">
      <c r="A1285" s="73"/>
      <c r="B1285" s="74"/>
      <c r="C1285" s="74"/>
      <c r="D1285" s="73"/>
      <c r="E1285" s="75"/>
      <c r="F1285" s="75"/>
      <c r="G1285" s="76"/>
    </row>
    <row r="1286">
      <c r="A1286" s="73"/>
      <c r="B1286" s="74"/>
      <c r="C1286" s="74"/>
      <c r="D1286" s="73"/>
      <c r="E1286" s="75"/>
      <c r="F1286" s="75"/>
      <c r="G1286" s="76"/>
    </row>
    <row r="1287">
      <c r="A1287" s="73"/>
      <c r="B1287" s="74"/>
      <c r="C1287" s="74"/>
      <c r="D1287" s="73"/>
      <c r="E1287" s="75"/>
      <c r="F1287" s="75"/>
      <c r="G1287" s="76"/>
    </row>
    <row r="1288">
      <c r="A1288" s="73"/>
      <c r="B1288" s="74"/>
      <c r="C1288" s="74"/>
      <c r="D1288" s="73"/>
      <c r="E1288" s="75"/>
      <c r="F1288" s="75"/>
      <c r="G1288" s="76"/>
    </row>
    <row r="1289">
      <c r="A1289" s="73"/>
      <c r="B1289" s="74"/>
      <c r="C1289" s="74"/>
      <c r="D1289" s="73"/>
      <c r="E1289" s="75"/>
      <c r="F1289" s="75"/>
      <c r="G1289" s="76"/>
    </row>
    <row r="1290">
      <c r="A1290" s="73"/>
      <c r="B1290" s="74"/>
      <c r="C1290" s="74"/>
      <c r="D1290" s="73"/>
      <c r="E1290" s="75"/>
      <c r="F1290" s="75"/>
      <c r="G1290" s="76"/>
    </row>
    <row r="1291">
      <c r="A1291" s="73"/>
      <c r="B1291" s="74"/>
      <c r="C1291" s="74"/>
      <c r="D1291" s="73"/>
      <c r="E1291" s="75"/>
      <c r="F1291" s="75"/>
      <c r="G1291" s="76"/>
    </row>
    <row r="1292">
      <c r="A1292" s="73"/>
      <c r="B1292" s="74"/>
      <c r="C1292" s="74"/>
      <c r="D1292" s="73"/>
      <c r="E1292" s="75"/>
      <c r="F1292" s="75"/>
      <c r="G1292" s="76"/>
    </row>
    <row r="1293">
      <c r="A1293" s="73"/>
      <c r="B1293" s="74"/>
      <c r="C1293" s="74"/>
      <c r="D1293" s="73"/>
      <c r="E1293" s="75"/>
      <c r="F1293" s="75"/>
      <c r="G1293" s="76"/>
    </row>
    <row r="1294">
      <c r="A1294" s="73"/>
      <c r="B1294" s="74"/>
      <c r="C1294" s="74"/>
      <c r="D1294" s="73"/>
      <c r="E1294" s="75"/>
      <c r="F1294" s="75"/>
      <c r="G1294" s="76"/>
    </row>
    <row r="1295">
      <c r="A1295" s="73"/>
      <c r="B1295" s="74"/>
      <c r="C1295" s="74"/>
      <c r="D1295" s="73"/>
      <c r="E1295" s="75"/>
      <c r="F1295" s="75"/>
      <c r="G1295" s="76"/>
    </row>
    <row r="1296">
      <c r="A1296" s="73"/>
      <c r="B1296" s="74"/>
      <c r="C1296" s="74"/>
      <c r="D1296" s="73"/>
      <c r="E1296" s="75"/>
      <c r="F1296" s="75"/>
      <c r="G1296" s="76"/>
    </row>
    <row r="1297">
      <c r="A1297" s="73"/>
      <c r="B1297" s="74"/>
      <c r="C1297" s="74"/>
      <c r="D1297" s="73"/>
      <c r="E1297" s="75"/>
      <c r="F1297" s="75"/>
      <c r="G1297" s="76"/>
    </row>
    <row r="1298">
      <c r="A1298" s="73"/>
      <c r="B1298" s="74"/>
      <c r="C1298" s="74"/>
      <c r="D1298" s="73"/>
      <c r="E1298" s="75"/>
      <c r="F1298" s="75"/>
      <c r="G1298" s="76"/>
    </row>
    <row r="1299">
      <c r="A1299" s="73"/>
      <c r="B1299" s="74"/>
      <c r="C1299" s="74"/>
      <c r="D1299" s="73"/>
      <c r="E1299" s="75"/>
      <c r="F1299" s="75"/>
      <c r="G1299" s="76"/>
    </row>
    <row r="1300">
      <c r="A1300" s="73"/>
      <c r="B1300" s="74"/>
      <c r="C1300" s="74"/>
      <c r="D1300" s="73"/>
      <c r="E1300" s="75"/>
      <c r="F1300" s="75"/>
      <c r="G1300" s="76"/>
    </row>
    <row r="1301">
      <c r="A1301" s="73"/>
      <c r="B1301" s="74"/>
      <c r="C1301" s="74"/>
      <c r="D1301" s="73"/>
      <c r="E1301" s="75"/>
      <c r="F1301" s="75"/>
      <c r="G1301" s="76"/>
    </row>
    <row r="1302">
      <c r="A1302" s="73"/>
      <c r="B1302" s="74"/>
      <c r="C1302" s="74"/>
      <c r="D1302" s="73"/>
      <c r="E1302" s="75"/>
      <c r="F1302" s="75"/>
      <c r="G1302" s="76"/>
    </row>
    <row r="1303">
      <c r="A1303" s="73"/>
      <c r="B1303" s="74"/>
      <c r="C1303" s="74"/>
      <c r="D1303" s="73"/>
      <c r="E1303" s="75"/>
      <c r="F1303" s="75"/>
      <c r="G1303" s="76"/>
    </row>
    <row r="1304">
      <c r="A1304" s="73"/>
      <c r="B1304" s="74"/>
      <c r="C1304" s="74"/>
      <c r="D1304" s="73"/>
      <c r="E1304" s="75"/>
      <c r="F1304" s="75"/>
      <c r="G1304" s="76"/>
    </row>
    <row r="1305">
      <c r="A1305" s="73"/>
      <c r="B1305" s="74"/>
      <c r="C1305" s="74"/>
      <c r="D1305" s="73"/>
      <c r="E1305" s="75"/>
      <c r="F1305" s="75"/>
      <c r="G1305" s="76"/>
    </row>
    <row r="1306">
      <c r="A1306" s="73"/>
      <c r="B1306" s="74"/>
      <c r="C1306" s="74"/>
      <c r="D1306" s="73"/>
      <c r="E1306" s="75"/>
      <c r="F1306" s="75"/>
      <c r="G1306" s="76"/>
    </row>
    <row r="1307">
      <c r="A1307" s="73"/>
      <c r="B1307" s="74"/>
      <c r="C1307" s="74"/>
      <c r="D1307" s="73"/>
      <c r="E1307" s="75"/>
      <c r="F1307" s="75"/>
      <c r="G1307" s="76"/>
    </row>
    <row r="1308">
      <c r="A1308" s="73"/>
      <c r="B1308" s="74"/>
      <c r="C1308" s="74"/>
      <c r="D1308" s="73"/>
      <c r="E1308" s="75"/>
      <c r="F1308" s="75"/>
      <c r="G1308" s="76"/>
    </row>
    <row r="1309">
      <c r="A1309" s="73"/>
      <c r="B1309" s="74"/>
      <c r="C1309" s="74"/>
      <c r="D1309" s="73"/>
      <c r="E1309" s="75"/>
      <c r="F1309" s="75"/>
      <c r="G1309" s="76"/>
    </row>
    <row r="1310">
      <c r="A1310" s="73"/>
      <c r="B1310" s="74"/>
      <c r="C1310" s="74"/>
      <c r="D1310" s="73"/>
      <c r="E1310" s="75"/>
      <c r="F1310" s="75"/>
      <c r="G1310" s="76"/>
    </row>
    <row r="1311">
      <c r="A1311" s="73"/>
      <c r="B1311" s="74"/>
      <c r="C1311" s="74"/>
      <c r="D1311" s="73"/>
      <c r="E1311" s="75"/>
      <c r="F1311" s="75"/>
      <c r="G1311" s="76"/>
    </row>
    <row r="1312">
      <c r="A1312" s="73"/>
      <c r="B1312" s="74"/>
      <c r="C1312" s="74"/>
      <c r="D1312" s="73"/>
      <c r="E1312" s="75"/>
      <c r="F1312" s="75"/>
      <c r="G1312" s="76"/>
    </row>
    <row r="1313">
      <c r="A1313" s="73"/>
      <c r="B1313" s="74"/>
      <c r="C1313" s="74"/>
      <c r="D1313" s="73"/>
      <c r="E1313" s="75"/>
      <c r="F1313" s="75"/>
      <c r="G1313" s="76"/>
    </row>
    <row r="1314">
      <c r="A1314" s="73"/>
      <c r="B1314" s="74"/>
      <c r="C1314" s="74"/>
      <c r="D1314" s="73"/>
      <c r="E1314" s="75"/>
      <c r="F1314" s="75"/>
      <c r="G1314" s="76"/>
    </row>
    <row r="1315">
      <c r="A1315" s="73"/>
      <c r="B1315" s="74"/>
      <c r="C1315" s="74"/>
      <c r="D1315" s="73"/>
      <c r="E1315" s="75"/>
      <c r="F1315" s="75"/>
      <c r="G1315" s="76"/>
    </row>
    <row r="1316">
      <c r="A1316" s="73"/>
      <c r="B1316" s="74"/>
      <c r="C1316" s="74"/>
      <c r="D1316" s="73"/>
      <c r="E1316" s="75"/>
      <c r="F1316" s="75"/>
      <c r="G1316" s="76"/>
    </row>
    <row r="1317">
      <c r="A1317" s="73"/>
      <c r="B1317" s="74"/>
      <c r="C1317" s="74"/>
      <c r="D1317" s="73"/>
      <c r="E1317" s="75"/>
      <c r="F1317" s="75"/>
      <c r="G1317" s="76"/>
    </row>
    <row r="1318">
      <c r="A1318" s="73"/>
      <c r="B1318" s="74"/>
      <c r="C1318" s="74"/>
      <c r="D1318" s="73"/>
      <c r="E1318" s="75"/>
      <c r="F1318" s="75"/>
      <c r="G1318" s="76"/>
    </row>
    <row r="1319">
      <c r="A1319" s="73"/>
      <c r="B1319" s="74"/>
      <c r="C1319" s="74"/>
      <c r="D1319" s="73"/>
      <c r="E1319" s="75"/>
      <c r="F1319" s="75"/>
      <c r="G1319" s="76"/>
    </row>
    <row r="1320">
      <c r="A1320" s="73"/>
      <c r="B1320" s="74"/>
      <c r="C1320" s="74"/>
      <c r="D1320" s="73"/>
      <c r="E1320" s="75"/>
      <c r="F1320" s="75"/>
      <c r="G1320" s="76"/>
    </row>
    <row r="1321">
      <c r="A1321" s="73"/>
      <c r="B1321" s="74"/>
      <c r="C1321" s="74"/>
      <c r="D1321" s="73"/>
      <c r="E1321" s="75"/>
      <c r="F1321" s="75"/>
      <c r="G1321" s="76"/>
    </row>
    <row r="1322">
      <c r="A1322" s="73"/>
      <c r="B1322" s="74"/>
      <c r="C1322" s="74"/>
      <c r="D1322" s="73"/>
      <c r="E1322" s="75"/>
      <c r="F1322" s="75"/>
      <c r="G1322" s="76"/>
    </row>
    <row r="1323">
      <c r="A1323" s="73"/>
      <c r="B1323" s="74"/>
      <c r="C1323" s="74"/>
      <c r="D1323" s="73"/>
      <c r="E1323" s="75"/>
      <c r="F1323" s="75"/>
      <c r="G1323" s="76"/>
    </row>
    <row r="1324">
      <c r="A1324" s="73"/>
      <c r="B1324" s="74"/>
      <c r="C1324" s="74"/>
      <c r="D1324" s="73"/>
      <c r="E1324" s="75"/>
      <c r="F1324" s="75"/>
      <c r="G1324" s="76"/>
    </row>
    <row r="1325">
      <c r="A1325" s="73"/>
      <c r="B1325" s="74"/>
      <c r="C1325" s="74"/>
      <c r="D1325" s="73"/>
      <c r="E1325" s="75"/>
      <c r="F1325" s="75"/>
      <c r="G1325" s="76"/>
    </row>
    <row r="1326">
      <c r="A1326" s="73"/>
      <c r="B1326" s="74"/>
      <c r="C1326" s="74"/>
      <c r="D1326" s="73"/>
      <c r="E1326" s="75"/>
      <c r="F1326" s="75"/>
      <c r="G1326" s="76"/>
    </row>
    <row r="1327">
      <c r="A1327" s="73"/>
      <c r="B1327" s="74"/>
      <c r="C1327" s="74"/>
      <c r="D1327" s="73"/>
      <c r="E1327" s="75"/>
      <c r="F1327" s="75"/>
      <c r="G1327" s="76"/>
    </row>
    <row r="1328">
      <c r="A1328" s="73"/>
      <c r="B1328" s="74"/>
      <c r="C1328" s="74"/>
      <c r="D1328" s="73"/>
      <c r="E1328" s="75"/>
      <c r="F1328" s="75"/>
      <c r="G1328" s="76"/>
    </row>
    <row r="1329">
      <c r="A1329" s="73"/>
      <c r="B1329" s="74"/>
      <c r="C1329" s="74"/>
      <c r="D1329" s="73"/>
      <c r="E1329" s="75"/>
      <c r="F1329" s="75"/>
      <c r="G1329" s="76"/>
    </row>
    <row r="1330">
      <c r="A1330" s="73"/>
      <c r="B1330" s="74"/>
      <c r="C1330" s="74"/>
      <c r="D1330" s="73"/>
      <c r="E1330" s="75"/>
      <c r="F1330" s="75"/>
      <c r="G1330" s="76"/>
    </row>
    <row r="1331">
      <c r="A1331" s="73"/>
      <c r="B1331" s="74"/>
      <c r="C1331" s="74"/>
      <c r="D1331" s="73"/>
      <c r="E1331" s="75"/>
      <c r="F1331" s="75"/>
      <c r="G1331" s="76"/>
    </row>
    <row r="1332">
      <c r="A1332" s="73"/>
      <c r="B1332" s="74"/>
      <c r="C1332" s="74"/>
      <c r="D1332" s="73"/>
      <c r="E1332" s="75"/>
      <c r="F1332" s="75"/>
      <c r="G1332" s="76"/>
    </row>
    <row r="1333">
      <c r="A1333" s="73"/>
      <c r="B1333" s="74"/>
      <c r="C1333" s="74"/>
      <c r="D1333" s="73"/>
      <c r="E1333" s="75"/>
      <c r="F1333" s="75"/>
      <c r="G1333" s="76"/>
    </row>
    <row r="1334">
      <c r="A1334" s="73"/>
      <c r="B1334" s="74"/>
      <c r="C1334" s="74"/>
      <c r="D1334" s="73"/>
      <c r="E1334" s="75"/>
      <c r="F1334" s="75"/>
      <c r="G1334" s="76"/>
    </row>
    <row r="1335">
      <c r="A1335" s="73"/>
      <c r="B1335" s="74"/>
      <c r="C1335" s="74"/>
      <c r="D1335" s="73"/>
      <c r="E1335" s="75"/>
      <c r="F1335" s="75"/>
      <c r="G1335" s="76"/>
    </row>
    <row r="1336">
      <c r="A1336" s="73"/>
      <c r="B1336" s="74"/>
      <c r="C1336" s="74"/>
      <c r="D1336" s="73"/>
      <c r="E1336" s="75"/>
      <c r="F1336" s="75"/>
      <c r="G1336" s="76"/>
    </row>
    <row r="1337">
      <c r="A1337" s="73"/>
      <c r="B1337" s="74"/>
      <c r="C1337" s="74"/>
      <c r="D1337" s="73"/>
      <c r="E1337" s="75"/>
      <c r="F1337" s="75"/>
      <c r="G1337" s="76"/>
    </row>
    <row r="1338">
      <c r="A1338" s="73"/>
      <c r="B1338" s="74"/>
      <c r="C1338" s="74"/>
      <c r="D1338" s="73"/>
      <c r="E1338" s="75"/>
      <c r="F1338" s="75"/>
      <c r="G1338" s="76"/>
    </row>
    <row r="1339">
      <c r="A1339" s="73"/>
      <c r="B1339" s="74"/>
      <c r="C1339" s="74"/>
      <c r="D1339" s="73"/>
      <c r="E1339" s="75"/>
      <c r="F1339" s="75"/>
      <c r="G1339" s="76"/>
    </row>
    <row r="1340">
      <c r="A1340" s="73"/>
      <c r="B1340" s="74"/>
      <c r="C1340" s="74"/>
      <c r="D1340" s="73"/>
      <c r="E1340" s="75"/>
      <c r="F1340" s="75"/>
      <c r="G1340" s="76"/>
    </row>
    <row r="1341">
      <c r="A1341" s="73"/>
      <c r="B1341" s="74"/>
      <c r="C1341" s="74"/>
      <c r="D1341" s="73"/>
      <c r="E1341" s="75"/>
      <c r="F1341" s="75"/>
      <c r="G1341" s="76"/>
    </row>
    <row r="1342">
      <c r="A1342" s="73"/>
      <c r="B1342" s="74"/>
      <c r="C1342" s="74"/>
      <c r="D1342" s="73"/>
      <c r="E1342" s="75"/>
      <c r="F1342" s="75"/>
      <c r="G1342" s="76"/>
    </row>
    <row r="1343">
      <c r="A1343" s="73"/>
      <c r="B1343" s="74"/>
      <c r="C1343" s="74"/>
      <c r="D1343" s="73"/>
      <c r="E1343" s="75"/>
      <c r="F1343" s="75"/>
      <c r="G1343" s="76"/>
    </row>
    <row r="1344">
      <c r="A1344" s="73"/>
      <c r="B1344" s="74"/>
      <c r="C1344" s="74"/>
      <c r="D1344" s="73"/>
      <c r="E1344" s="75"/>
      <c r="F1344" s="75"/>
      <c r="G1344" s="76"/>
    </row>
    <row r="1345">
      <c r="A1345" s="73"/>
      <c r="B1345" s="74"/>
      <c r="C1345" s="74"/>
      <c r="D1345" s="73"/>
      <c r="E1345" s="75"/>
      <c r="F1345" s="75"/>
      <c r="G1345" s="76"/>
    </row>
    <row r="1346">
      <c r="A1346" s="73"/>
      <c r="B1346" s="74"/>
      <c r="C1346" s="74"/>
      <c r="D1346" s="73"/>
      <c r="E1346" s="75"/>
      <c r="F1346" s="75"/>
      <c r="G1346" s="76"/>
    </row>
    <row r="1347">
      <c r="A1347" s="73"/>
      <c r="B1347" s="74"/>
      <c r="C1347" s="74"/>
      <c r="D1347" s="73"/>
      <c r="E1347" s="75"/>
      <c r="F1347" s="75"/>
      <c r="G1347" s="76"/>
    </row>
    <row r="1348">
      <c r="A1348" s="73"/>
      <c r="B1348" s="74"/>
      <c r="C1348" s="74"/>
      <c r="D1348" s="73"/>
      <c r="E1348" s="75"/>
      <c r="F1348" s="75"/>
      <c r="G1348" s="76"/>
    </row>
    <row r="1349">
      <c r="A1349" s="73"/>
      <c r="B1349" s="74"/>
      <c r="C1349" s="74"/>
      <c r="D1349" s="73"/>
      <c r="E1349" s="75"/>
      <c r="F1349" s="75"/>
      <c r="G1349" s="76"/>
    </row>
    <row r="1350">
      <c r="A1350" s="73"/>
      <c r="B1350" s="74"/>
      <c r="C1350" s="74"/>
      <c r="D1350" s="73"/>
      <c r="E1350" s="75"/>
      <c r="F1350" s="75"/>
      <c r="G1350" s="76"/>
    </row>
    <row r="1351">
      <c r="A1351" s="73"/>
      <c r="B1351" s="74"/>
      <c r="C1351" s="74"/>
      <c r="D1351" s="73"/>
      <c r="E1351" s="75"/>
      <c r="F1351" s="75"/>
      <c r="G1351" s="76"/>
    </row>
    <row r="1352">
      <c r="A1352" s="73"/>
      <c r="B1352" s="74"/>
      <c r="C1352" s="74"/>
      <c r="D1352" s="73"/>
      <c r="E1352" s="75"/>
      <c r="F1352" s="75"/>
      <c r="G1352" s="76"/>
    </row>
    <row r="1353">
      <c r="A1353" s="73"/>
      <c r="B1353" s="74"/>
      <c r="C1353" s="74"/>
      <c r="D1353" s="73"/>
      <c r="E1353" s="75"/>
      <c r="F1353" s="75"/>
      <c r="G1353" s="76"/>
    </row>
    <row r="1354">
      <c r="A1354" s="73"/>
      <c r="B1354" s="74"/>
      <c r="C1354" s="74"/>
      <c r="D1354" s="73"/>
      <c r="E1354" s="75"/>
      <c r="F1354" s="75"/>
      <c r="G1354" s="76"/>
    </row>
    <row r="1355">
      <c r="A1355" s="73"/>
      <c r="B1355" s="74"/>
      <c r="C1355" s="74"/>
      <c r="D1355" s="73"/>
      <c r="E1355" s="75"/>
      <c r="F1355" s="75"/>
      <c r="G1355" s="76"/>
    </row>
    <row r="1356">
      <c r="A1356" s="73"/>
      <c r="B1356" s="74"/>
      <c r="C1356" s="74"/>
      <c r="D1356" s="73"/>
      <c r="E1356" s="75"/>
      <c r="F1356" s="75"/>
      <c r="G1356" s="76"/>
    </row>
    <row r="1357">
      <c r="A1357" s="73"/>
      <c r="B1357" s="74"/>
      <c r="C1357" s="74"/>
      <c r="D1357" s="73"/>
      <c r="E1357" s="75"/>
      <c r="F1357" s="75"/>
      <c r="G1357" s="76"/>
    </row>
    <row r="1358">
      <c r="A1358" s="73"/>
      <c r="B1358" s="74"/>
      <c r="C1358" s="74"/>
      <c r="D1358" s="73"/>
      <c r="E1358" s="75"/>
      <c r="F1358" s="75"/>
      <c r="G1358" s="76"/>
    </row>
    <row r="1359">
      <c r="A1359" s="73"/>
      <c r="B1359" s="74"/>
      <c r="C1359" s="74"/>
      <c r="D1359" s="73"/>
      <c r="E1359" s="75"/>
      <c r="F1359" s="75"/>
      <c r="G1359" s="76"/>
    </row>
    <row r="1360">
      <c r="A1360" s="73"/>
      <c r="B1360" s="74"/>
      <c r="C1360" s="74"/>
      <c r="D1360" s="73"/>
      <c r="E1360" s="75"/>
      <c r="F1360" s="75"/>
      <c r="G1360" s="76"/>
    </row>
    <row r="1361">
      <c r="A1361" s="73"/>
      <c r="B1361" s="74"/>
      <c r="C1361" s="74"/>
      <c r="D1361" s="73"/>
      <c r="E1361" s="75"/>
      <c r="F1361" s="75"/>
      <c r="G1361" s="76"/>
    </row>
    <row r="1362">
      <c r="A1362" s="73"/>
      <c r="B1362" s="74"/>
      <c r="C1362" s="74"/>
      <c r="D1362" s="73"/>
      <c r="E1362" s="75"/>
      <c r="F1362" s="75"/>
      <c r="G1362" s="76"/>
    </row>
    <row r="1363">
      <c r="A1363" s="73"/>
      <c r="B1363" s="74"/>
      <c r="C1363" s="74"/>
      <c r="D1363" s="73"/>
      <c r="E1363" s="75"/>
      <c r="F1363" s="75"/>
      <c r="G1363" s="76"/>
    </row>
    <row r="1364">
      <c r="A1364" s="73"/>
      <c r="B1364" s="74"/>
      <c r="C1364" s="74"/>
      <c r="D1364" s="73"/>
      <c r="E1364" s="75"/>
      <c r="F1364" s="75"/>
      <c r="G1364" s="76"/>
    </row>
    <row r="1365">
      <c r="A1365" s="73"/>
      <c r="B1365" s="74"/>
      <c r="C1365" s="74"/>
      <c r="D1365" s="73"/>
      <c r="E1365" s="75"/>
      <c r="F1365" s="75"/>
      <c r="G1365" s="76"/>
    </row>
    <row r="1366">
      <c r="A1366" s="73"/>
      <c r="B1366" s="74"/>
      <c r="C1366" s="74"/>
      <c r="D1366" s="73"/>
      <c r="E1366" s="75"/>
      <c r="F1366" s="75"/>
      <c r="G1366" s="76"/>
    </row>
    <row r="1367">
      <c r="A1367" s="73"/>
      <c r="B1367" s="74"/>
      <c r="C1367" s="74"/>
      <c r="D1367" s="73"/>
      <c r="E1367" s="75"/>
      <c r="F1367" s="75"/>
      <c r="G1367" s="76"/>
    </row>
    <row r="1368">
      <c r="A1368" s="73"/>
      <c r="B1368" s="74"/>
      <c r="C1368" s="74"/>
      <c r="D1368" s="73"/>
      <c r="E1368" s="75"/>
      <c r="F1368" s="75"/>
      <c r="G1368" s="76"/>
    </row>
    <row r="1369">
      <c r="A1369" s="73"/>
      <c r="B1369" s="74"/>
      <c r="C1369" s="74"/>
      <c r="D1369" s="73"/>
      <c r="E1369" s="75"/>
      <c r="F1369" s="75"/>
      <c r="G1369" s="76"/>
    </row>
    <row r="1370">
      <c r="A1370" s="73"/>
      <c r="B1370" s="74"/>
      <c r="C1370" s="74"/>
      <c r="D1370" s="73"/>
      <c r="E1370" s="75"/>
      <c r="F1370" s="75"/>
      <c r="G1370" s="76"/>
    </row>
    <row r="1371">
      <c r="A1371" s="73"/>
      <c r="B1371" s="74"/>
      <c r="C1371" s="74"/>
      <c r="D1371" s="73"/>
      <c r="E1371" s="75"/>
      <c r="F1371" s="75"/>
      <c r="G1371" s="76"/>
    </row>
    <row r="1372">
      <c r="A1372" s="73"/>
      <c r="B1372" s="74"/>
      <c r="C1372" s="74"/>
      <c r="D1372" s="73"/>
      <c r="E1372" s="75"/>
      <c r="F1372" s="75"/>
      <c r="G1372" s="76"/>
    </row>
    <row r="1373">
      <c r="A1373" s="73"/>
      <c r="B1373" s="74"/>
      <c r="C1373" s="74"/>
      <c r="D1373" s="73"/>
      <c r="E1373" s="75"/>
      <c r="F1373" s="75"/>
      <c r="G1373" s="76"/>
    </row>
    <row r="1374">
      <c r="A1374" s="73"/>
      <c r="B1374" s="74"/>
      <c r="C1374" s="74"/>
      <c r="D1374" s="73"/>
      <c r="E1374" s="75"/>
      <c r="F1374" s="75"/>
      <c r="G1374" s="76"/>
    </row>
    <row r="1375">
      <c r="A1375" s="73"/>
      <c r="B1375" s="74"/>
      <c r="C1375" s="74"/>
      <c r="D1375" s="73"/>
      <c r="E1375" s="75"/>
      <c r="F1375" s="75"/>
      <c r="G1375" s="76"/>
    </row>
    <row r="1376">
      <c r="A1376" s="73"/>
      <c r="B1376" s="74"/>
      <c r="C1376" s="74"/>
      <c r="D1376" s="73"/>
      <c r="E1376" s="75"/>
      <c r="F1376" s="75"/>
      <c r="G1376" s="76"/>
    </row>
    <row r="1377">
      <c r="A1377" s="73"/>
      <c r="B1377" s="74"/>
      <c r="C1377" s="74"/>
      <c r="D1377" s="73"/>
      <c r="E1377" s="75"/>
      <c r="F1377" s="75"/>
      <c r="G1377" s="76"/>
    </row>
    <row r="1378">
      <c r="A1378" s="73"/>
      <c r="B1378" s="74"/>
      <c r="C1378" s="74"/>
      <c r="D1378" s="73"/>
      <c r="E1378" s="75"/>
      <c r="F1378" s="75"/>
      <c r="G1378" s="76"/>
    </row>
    <row r="1379">
      <c r="A1379" s="73"/>
      <c r="B1379" s="74"/>
      <c r="C1379" s="74"/>
      <c r="D1379" s="73"/>
      <c r="E1379" s="75"/>
      <c r="F1379" s="75"/>
      <c r="G1379" s="76"/>
    </row>
    <row r="1380">
      <c r="A1380" s="73"/>
      <c r="B1380" s="74"/>
      <c r="C1380" s="74"/>
      <c r="D1380" s="73"/>
      <c r="E1380" s="75"/>
      <c r="F1380" s="75"/>
      <c r="G1380" s="76"/>
    </row>
    <row r="1381">
      <c r="A1381" s="73"/>
      <c r="B1381" s="74"/>
      <c r="C1381" s="74"/>
      <c r="D1381" s="73"/>
      <c r="E1381" s="75"/>
      <c r="F1381" s="75"/>
      <c r="G1381" s="76"/>
    </row>
    <row r="1382">
      <c r="A1382" s="73"/>
      <c r="B1382" s="74"/>
      <c r="C1382" s="74"/>
      <c r="D1382" s="73"/>
      <c r="E1382" s="75"/>
      <c r="F1382" s="75"/>
      <c r="G1382" s="76"/>
    </row>
    <row r="1383">
      <c r="A1383" s="73"/>
      <c r="B1383" s="74"/>
      <c r="C1383" s="74"/>
      <c r="D1383" s="73"/>
      <c r="E1383" s="75"/>
      <c r="F1383" s="75"/>
      <c r="G1383" s="76"/>
    </row>
    <row r="1384">
      <c r="A1384" s="73"/>
      <c r="B1384" s="74"/>
      <c r="C1384" s="74"/>
      <c r="D1384" s="73"/>
      <c r="E1384" s="75"/>
      <c r="F1384" s="75"/>
      <c r="G1384" s="76"/>
    </row>
    <row r="1385">
      <c r="A1385" s="73"/>
      <c r="B1385" s="74"/>
      <c r="C1385" s="74"/>
      <c r="D1385" s="73"/>
      <c r="E1385" s="75"/>
      <c r="F1385" s="75"/>
      <c r="G1385" s="76"/>
    </row>
    <row r="1386">
      <c r="A1386" s="73"/>
      <c r="B1386" s="74"/>
      <c r="C1386" s="74"/>
      <c r="D1386" s="73"/>
      <c r="E1386" s="75"/>
      <c r="F1386" s="75"/>
      <c r="G1386" s="76"/>
    </row>
    <row r="1387">
      <c r="A1387" s="73"/>
      <c r="B1387" s="74"/>
      <c r="C1387" s="74"/>
      <c r="D1387" s="73"/>
      <c r="E1387" s="75"/>
      <c r="F1387" s="75"/>
      <c r="G1387" s="76"/>
    </row>
    <row r="1388">
      <c r="A1388" s="73"/>
      <c r="B1388" s="74"/>
      <c r="C1388" s="74"/>
      <c r="D1388" s="73"/>
      <c r="E1388" s="75"/>
      <c r="F1388" s="75"/>
      <c r="G1388" s="76"/>
    </row>
    <row r="1389">
      <c r="A1389" s="73"/>
      <c r="B1389" s="74"/>
      <c r="C1389" s="74"/>
      <c r="D1389" s="73"/>
      <c r="E1389" s="75"/>
      <c r="F1389" s="75"/>
      <c r="G1389" s="76"/>
    </row>
    <row r="1390">
      <c r="A1390" s="73"/>
      <c r="B1390" s="74"/>
      <c r="C1390" s="74"/>
      <c r="D1390" s="73"/>
      <c r="E1390" s="75"/>
      <c r="F1390" s="75"/>
      <c r="G1390" s="76"/>
    </row>
    <row r="1391">
      <c r="A1391" s="73"/>
      <c r="B1391" s="74"/>
      <c r="C1391" s="74"/>
      <c r="D1391" s="73"/>
      <c r="E1391" s="75"/>
      <c r="F1391" s="75"/>
      <c r="G1391" s="76"/>
    </row>
    <row r="1392">
      <c r="A1392" s="73"/>
      <c r="B1392" s="74"/>
      <c r="C1392" s="74"/>
      <c r="D1392" s="73"/>
      <c r="E1392" s="75"/>
      <c r="F1392" s="75"/>
      <c r="G1392" s="76"/>
    </row>
    <row r="1393">
      <c r="A1393" s="73"/>
      <c r="B1393" s="74"/>
      <c r="C1393" s="74"/>
      <c r="D1393" s="73"/>
      <c r="E1393" s="75"/>
      <c r="F1393" s="75"/>
      <c r="G1393" s="76"/>
    </row>
    <row r="1394">
      <c r="A1394" s="73"/>
      <c r="B1394" s="74"/>
      <c r="C1394" s="74"/>
      <c r="D1394" s="73"/>
      <c r="E1394" s="75"/>
      <c r="F1394" s="75"/>
      <c r="G1394" s="76"/>
    </row>
    <row r="1395">
      <c r="A1395" s="73"/>
      <c r="B1395" s="74"/>
      <c r="C1395" s="74"/>
      <c r="D1395" s="73"/>
      <c r="E1395" s="75"/>
      <c r="F1395" s="75"/>
      <c r="G1395" s="76"/>
    </row>
    <row r="1396">
      <c r="A1396" s="73"/>
      <c r="B1396" s="74"/>
      <c r="C1396" s="74"/>
      <c r="D1396" s="73"/>
      <c r="E1396" s="75"/>
      <c r="F1396" s="75"/>
      <c r="G1396" s="76"/>
    </row>
    <row r="1397">
      <c r="A1397" s="73"/>
      <c r="B1397" s="74"/>
      <c r="C1397" s="74"/>
      <c r="D1397" s="73"/>
      <c r="E1397" s="75"/>
      <c r="F1397" s="75"/>
      <c r="G1397" s="76"/>
    </row>
    <row r="1398">
      <c r="A1398" s="73"/>
      <c r="B1398" s="74"/>
      <c r="C1398" s="74"/>
      <c r="D1398" s="73"/>
      <c r="E1398" s="75"/>
      <c r="F1398" s="75"/>
      <c r="G1398" s="76"/>
    </row>
    <row r="1399">
      <c r="A1399" s="73"/>
      <c r="B1399" s="74"/>
      <c r="C1399" s="74"/>
      <c r="D1399" s="73"/>
      <c r="E1399" s="75"/>
      <c r="F1399" s="75"/>
      <c r="G1399" s="76"/>
    </row>
    <row r="1400">
      <c r="A1400" s="73"/>
      <c r="B1400" s="74"/>
      <c r="C1400" s="74"/>
      <c r="D1400" s="73"/>
      <c r="E1400" s="75"/>
      <c r="F1400" s="75"/>
      <c r="G1400" s="76"/>
    </row>
    <row r="1401">
      <c r="A1401" s="73"/>
      <c r="B1401" s="74"/>
      <c r="C1401" s="74"/>
      <c r="D1401" s="73"/>
      <c r="E1401" s="75"/>
      <c r="F1401" s="75"/>
      <c r="G1401" s="76"/>
    </row>
    <row r="1402">
      <c r="A1402" s="73"/>
      <c r="B1402" s="74"/>
      <c r="C1402" s="74"/>
      <c r="D1402" s="73"/>
      <c r="E1402" s="75"/>
      <c r="F1402" s="75"/>
      <c r="G1402" s="76"/>
    </row>
    <row r="1403">
      <c r="A1403" s="73"/>
      <c r="B1403" s="74"/>
      <c r="C1403" s="74"/>
      <c r="D1403" s="73"/>
      <c r="E1403" s="75"/>
      <c r="F1403" s="75"/>
      <c r="G1403" s="76"/>
    </row>
    <row r="1404">
      <c r="A1404" s="73"/>
      <c r="B1404" s="74"/>
      <c r="C1404" s="74"/>
      <c r="D1404" s="73"/>
      <c r="E1404" s="75"/>
      <c r="F1404" s="75"/>
      <c r="G1404" s="76"/>
    </row>
    <row r="1405">
      <c r="A1405" s="73"/>
      <c r="B1405" s="74"/>
      <c r="C1405" s="74"/>
      <c r="D1405" s="73"/>
      <c r="E1405" s="75"/>
      <c r="F1405" s="75"/>
      <c r="G1405" s="76"/>
    </row>
    <row r="1406">
      <c r="A1406" s="73"/>
      <c r="B1406" s="74"/>
      <c r="C1406" s="74"/>
      <c r="D1406" s="73"/>
      <c r="E1406" s="75"/>
      <c r="F1406" s="75"/>
      <c r="G1406" s="76"/>
    </row>
    <row r="1407">
      <c r="A1407" s="73"/>
      <c r="B1407" s="74"/>
      <c r="C1407" s="74"/>
      <c r="D1407" s="73"/>
      <c r="E1407" s="75"/>
      <c r="F1407" s="75"/>
      <c r="G1407" s="76"/>
    </row>
    <row r="1408">
      <c r="A1408" s="73"/>
      <c r="B1408" s="74"/>
      <c r="C1408" s="74"/>
      <c r="D1408" s="73"/>
      <c r="E1408" s="75"/>
      <c r="F1408" s="75"/>
      <c r="G1408" s="76"/>
    </row>
    <row r="1409">
      <c r="A1409" s="73"/>
      <c r="B1409" s="74"/>
      <c r="C1409" s="74"/>
      <c r="D1409" s="73"/>
      <c r="E1409" s="75"/>
      <c r="F1409" s="75"/>
      <c r="G1409" s="76"/>
    </row>
    <row r="1410">
      <c r="A1410" s="73"/>
      <c r="B1410" s="74"/>
      <c r="C1410" s="74"/>
      <c r="D1410" s="73"/>
      <c r="E1410" s="75"/>
      <c r="F1410" s="75"/>
      <c r="G1410" s="76"/>
    </row>
    <row r="1411">
      <c r="A1411" s="73"/>
      <c r="B1411" s="74"/>
      <c r="C1411" s="74"/>
      <c r="D1411" s="73"/>
      <c r="E1411" s="75"/>
      <c r="F1411" s="75"/>
      <c r="G1411" s="76"/>
    </row>
    <row r="1412">
      <c r="A1412" s="73"/>
      <c r="B1412" s="74"/>
      <c r="C1412" s="74"/>
      <c r="D1412" s="73"/>
      <c r="E1412" s="75"/>
      <c r="F1412" s="75"/>
      <c r="G1412" s="76"/>
    </row>
    <row r="1413">
      <c r="A1413" s="73"/>
      <c r="B1413" s="74"/>
      <c r="C1413" s="74"/>
      <c r="D1413" s="73"/>
      <c r="E1413" s="75"/>
      <c r="F1413" s="75"/>
      <c r="G1413" s="76"/>
    </row>
    <row r="1414">
      <c r="A1414" s="73"/>
      <c r="B1414" s="74"/>
      <c r="C1414" s="74"/>
      <c r="D1414" s="73"/>
      <c r="E1414" s="75"/>
      <c r="F1414" s="75"/>
      <c r="G1414" s="76"/>
    </row>
    <row r="1415">
      <c r="A1415" s="73"/>
      <c r="B1415" s="74"/>
      <c r="C1415" s="74"/>
      <c r="D1415" s="73"/>
      <c r="E1415" s="75"/>
      <c r="F1415" s="75"/>
      <c r="G1415" s="76"/>
    </row>
    <row r="1416">
      <c r="A1416" s="73"/>
      <c r="B1416" s="74"/>
      <c r="C1416" s="74"/>
      <c r="D1416" s="73"/>
      <c r="E1416" s="75"/>
      <c r="F1416" s="75"/>
      <c r="G1416" s="76"/>
    </row>
    <row r="1417">
      <c r="A1417" s="73"/>
      <c r="B1417" s="74"/>
      <c r="C1417" s="74"/>
      <c r="D1417" s="73"/>
      <c r="E1417" s="75"/>
      <c r="F1417" s="75"/>
      <c r="G1417" s="76"/>
    </row>
    <row r="1418">
      <c r="A1418" s="73"/>
      <c r="B1418" s="74"/>
      <c r="C1418" s="74"/>
      <c r="D1418" s="73"/>
      <c r="E1418" s="75"/>
      <c r="F1418" s="75"/>
      <c r="G1418" s="76"/>
    </row>
    <row r="1419">
      <c r="A1419" s="73"/>
      <c r="B1419" s="74"/>
      <c r="C1419" s="74"/>
      <c r="D1419" s="73"/>
      <c r="E1419" s="75"/>
      <c r="F1419" s="75"/>
      <c r="G1419" s="76"/>
    </row>
    <row r="1420">
      <c r="A1420" s="73"/>
      <c r="B1420" s="74"/>
      <c r="C1420" s="74"/>
      <c r="D1420" s="73"/>
      <c r="E1420" s="75"/>
      <c r="F1420" s="75"/>
      <c r="G1420" s="76"/>
    </row>
    <row r="1421">
      <c r="A1421" s="73"/>
      <c r="B1421" s="74"/>
      <c r="C1421" s="74"/>
      <c r="D1421" s="73"/>
      <c r="E1421" s="75"/>
      <c r="F1421" s="75"/>
      <c r="G1421" s="76"/>
    </row>
    <row r="1422">
      <c r="A1422" s="73"/>
      <c r="B1422" s="74"/>
      <c r="C1422" s="74"/>
      <c r="D1422" s="73"/>
      <c r="E1422" s="75"/>
      <c r="F1422" s="75"/>
      <c r="G1422" s="76"/>
    </row>
    <row r="1423">
      <c r="A1423" s="73"/>
      <c r="B1423" s="74"/>
      <c r="C1423" s="74"/>
      <c r="D1423" s="73"/>
      <c r="E1423" s="75"/>
      <c r="F1423" s="75"/>
      <c r="G1423" s="76"/>
    </row>
    <row r="1424">
      <c r="A1424" s="73"/>
      <c r="B1424" s="74"/>
      <c r="C1424" s="74"/>
      <c r="D1424" s="73"/>
      <c r="E1424" s="75"/>
      <c r="F1424" s="75"/>
      <c r="G1424" s="76"/>
    </row>
    <row r="1425">
      <c r="A1425" s="73"/>
      <c r="B1425" s="74"/>
      <c r="C1425" s="74"/>
      <c r="D1425" s="73"/>
      <c r="E1425" s="75"/>
      <c r="F1425" s="75"/>
      <c r="G1425" s="76"/>
    </row>
    <row r="1426">
      <c r="A1426" s="73"/>
      <c r="B1426" s="74"/>
      <c r="C1426" s="74"/>
      <c r="D1426" s="73"/>
      <c r="E1426" s="75"/>
      <c r="F1426" s="75"/>
      <c r="G1426" s="76"/>
    </row>
    <row r="1427">
      <c r="A1427" s="73"/>
      <c r="B1427" s="74"/>
      <c r="C1427" s="74"/>
      <c r="D1427" s="73"/>
      <c r="E1427" s="75"/>
      <c r="F1427" s="75"/>
      <c r="G1427" s="76"/>
    </row>
    <row r="1428">
      <c r="A1428" s="73"/>
      <c r="B1428" s="74"/>
      <c r="C1428" s="74"/>
      <c r="D1428" s="73"/>
      <c r="E1428" s="75"/>
      <c r="F1428" s="75"/>
      <c r="G1428" s="76"/>
    </row>
    <row r="1429">
      <c r="A1429" s="73"/>
      <c r="B1429" s="74"/>
      <c r="C1429" s="74"/>
      <c r="D1429" s="73"/>
      <c r="E1429" s="75"/>
      <c r="F1429" s="75"/>
      <c r="G1429" s="76"/>
    </row>
    <row r="1430">
      <c r="A1430" s="73"/>
      <c r="B1430" s="74"/>
      <c r="C1430" s="74"/>
      <c r="D1430" s="73"/>
      <c r="E1430" s="75"/>
      <c r="F1430" s="75"/>
      <c r="G1430" s="76"/>
    </row>
    <row r="1431">
      <c r="A1431" s="73"/>
      <c r="B1431" s="74"/>
      <c r="C1431" s="74"/>
      <c r="D1431" s="73"/>
      <c r="E1431" s="75"/>
      <c r="F1431" s="75"/>
      <c r="G1431" s="76"/>
    </row>
    <row r="1432">
      <c r="A1432" s="73"/>
      <c r="B1432" s="74"/>
      <c r="C1432" s="74"/>
      <c r="D1432" s="73"/>
      <c r="E1432" s="75"/>
      <c r="F1432" s="75"/>
      <c r="G1432" s="76"/>
    </row>
    <row r="1433">
      <c r="A1433" s="73"/>
      <c r="B1433" s="74"/>
      <c r="C1433" s="74"/>
      <c r="D1433" s="73"/>
      <c r="E1433" s="75"/>
      <c r="F1433" s="75"/>
      <c r="G1433" s="76"/>
    </row>
    <row r="1434">
      <c r="A1434" s="73"/>
      <c r="B1434" s="74"/>
      <c r="C1434" s="74"/>
      <c r="D1434" s="73"/>
      <c r="E1434" s="75"/>
      <c r="F1434" s="75"/>
      <c r="G1434" s="76"/>
    </row>
    <row r="1435">
      <c r="A1435" s="73"/>
      <c r="B1435" s="74"/>
      <c r="C1435" s="74"/>
      <c r="D1435" s="73"/>
      <c r="E1435" s="75"/>
      <c r="F1435" s="75"/>
      <c r="G1435" s="76"/>
    </row>
    <row r="1436">
      <c r="A1436" s="73"/>
      <c r="B1436" s="74"/>
      <c r="C1436" s="74"/>
      <c r="D1436" s="73"/>
      <c r="E1436" s="75"/>
      <c r="F1436" s="75"/>
      <c r="G1436" s="76"/>
    </row>
    <row r="1437">
      <c r="A1437" s="73"/>
      <c r="B1437" s="74"/>
      <c r="C1437" s="74"/>
      <c r="D1437" s="73"/>
      <c r="E1437" s="75"/>
      <c r="F1437" s="75"/>
      <c r="G1437" s="76"/>
    </row>
    <row r="1438">
      <c r="A1438" s="73"/>
      <c r="B1438" s="74"/>
      <c r="C1438" s="74"/>
      <c r="D1438" s="73"/>
      <c r="E1438" s="75"/>
      <c r="F1438" s="75"/>
      <c r="G1438" s="76"/>
    </row>
    <row r="1439">
      <c r="A1439" s="73"/>
      <c r="B1439" s="74"/>
      <c r="C1439" s="74"/>
      <c r="D1439" s="73"/>
      <c r="E1439" s="75"/>
      <c r="F1439" s="75"/>
      <c r="G1439" s="76"/>
    </row>
    <row r="1440">
      <c r="A1440" s="73"/>
      <c r="B1440" s="74"/>
      <c r="C1440" s="74"/>
      <c r="D1440" s="73"/>
      <c r="E1440" s="75"/>
      <c r="F1440" s="75"/>
      <c r="G1440" s="76"/>
    </row>
    <row r="1441">
      <c r="A1441" s="73"/>
      <c r="B1441" s="74"/>
      <c r="C1441" s="74"/>
      <c r="D1441" s="73"/>
      <c r="E1441" s="75"/>
      <c r="F1441" s="75"/>
      <c r="G1441" s="76"/>
    </row>
    <row r="1442">
      <c r="A1442" s="73"/>
      <c r="B1442" s="74"/>
      <c r="C1442" s="74"/>
      <c r="D1442" s="73"/>
      <c r="E1442" s="75"/>
      <c r="F1442" s="75"/>
      <c r="G1442" s="76"/>
    </row>
    <row r="1443">
      <c r="A1443" s="73"/>
      <c r="B1443" s="74"/>
      <c r="C1443" s="74"/>
      <c r="D1443" s="73"/>
      <c r="E1443" s="75"/>
      <c r="F1443" s="75"/>
      <c r="G1443" s="76"/>
    </row>
    <row r="1444">
      <c r="A1444" s="73"/>
      <c r="B1444" s="74"/>
      <c r="C1444" s="74"/>
      <c r="D1444" s="73"/>
      <c r="E1444" s="75"/>
      <c r="F1444" s="75"/>
      <c r="G1444" s="76"/>
    </row>
    <row r="1445">
      <c r="A1445" s="73"/>
      <c r="B1445" s="74"/>
      <c r="C1445" s="74"/>
      <c r="D1445" s="73"/>
      <c r="E1445" s="75"/>
      <c r="F1445" s="75"/>
      <c r="G1445" s="76"/>
    </row>
    <row r="1446">
      <c r="A1446" s="73"/>
      <c r="B1446" s="74"/>
      <c r="C1446" s="74"/>
      <c r="D1446" s="73"/>
      <c r="E1446" s="75"/>
      <c r="F1446" s="75"/>
      <c r="G1446" s="76"/>
    </row>
    <row r="1447">
      <c r="A1447" s="73"/>
      <c r="B1447" s="74"/>
      <c r="C1447" s="74"/>
      <c r="D1447" s="73"/>
      <c r="E1447" s="75"/>
      <c r="F1447" s="75"/>
      <c r="G1447" s="76"/>
    </row>
    <row r="1448">
      <c r="A1448" s="73"/>
      <c r="B1448" s="74"/>
      <c r="C1448" s="74"/>
      <c r="D1448" s="73"/>
      <c r="E1448" s="75"/>
      <c r="F1448" s="75"/>
      <c r="G1448" s="76"/>
    </row>
    <row r="1449">
      <c r="A1449" s="73"/>
      <c r="B1449" s="74"/>
      <c r="C1449" s="74"/>
      <c r="D1449" s="73"/>
      <c r="E1449" s="75"/>
      <c r="F1449" s="75"/>
      <c r="G1449" s="76"/>
    </row>
    <row r="1450">
      <c r="A1450" s="73"/>
      <c r="B1450" s="74"/>
      <c r="C1450" s="74"/>
      <c r="D1450" s="73"/>
      <c r="E1450" s="75"/>
      <c r="F1450" s="75"/>
      <c r="G1450" s="76"/>
    </row>
    <row r="1451">
      <c r="A1451" s="73"/>
      <c r="B1451" s="74"/>
      <c r="C1451" s="74"/>
      <c r="D1451" s="73"/>
      <c r="E1451" s="75"/>
      <c r="F1451" s="75"/>
      <c r="G1451" s="76"/>
    </row>
    <row r="1452">
      <c r="A1452" s="73"/>
      <c r="B1452" s="74"/>
      <c r="C1452" s="74"/>
      <c r="D1452" s="73"/>
      <c r="E1452" s="75"/>
      <c r="F1452" s="75"/>
      <c r="G1452" s="76"/>
    </row>
    <row r="1453">
      <c r="A1453" s="73"/>
      <c r="B1453" s="74"/>
      <c r="C1453" s="74"/>
      <c r="D1453" s="73"/>
      <c r="E1453" s="75"/>
      <c r="F1453" s="75"/>
      <c r="G1453" s="76"/>
    </row>
    <row r="1454">
      <c r="A1454" s="73"/>
      <c r="B1454" s="74"/>
      <c r="C1454" s="74"/>
      <c r="D1454" s="73"/>
      <c r="E1454" s="75"/>
      <c r="F1454" s="75"/>
      <c r="G1454" s="76"/>
    </row>
    <row r="1455">
      <c r="A1455" s="73"/>
      <c r="B1455" s="74"/>
      <c r="C1455" s="74"/>
      <c r="D1455" s="73"/>
      <c r="E1455" s="75"/>
      <c r="F1455" s="75"/>
      <c r="G1455" s="76"/>
    </row>
    <row r="1456">
      <c r="A1456" s="73"/>
      <c r="B1456" s="74"/>
      <c r="C1456" s="74"/>
      <c r="D1456" s="73"/>
      <c r="E1456" s="75"/>
      <c r="F1456" s="75"/>
      <c r="G1456" s="76"/>
    </row>
    <row r="1457">
      <c r="A1457" s="73"/>
      <c r="B1457" s="74"/>
      <c r="C1457" s="74"/>
      <c r="D1457" s="73"/>
      <c r="E1457" s="75"/>
      <c r="F1457" s="75"/>
      <c r="G1457" s="76"/>
    </row>
    <row r="1458">
      <c r="A1458" s="73"/>
      <c r="B1458" s="74"/>
      <c r="C1458" s="74"/>
      <c r="D1458" s="73"/>
      <c r="E1458" s="75"/>
      <c r="F1458" s="75"/>
      <c r="G1458" s="76"/>
    </row>
    <row r="1459">
      <c r="A1459" s="73"/>
      <c r="B1459" s="74"/>
      <c r="C1459" s="74"/>
      <c r="D1459" s="73"/>
      <c r="E1459" s="75"/>
      <c r="F1459" s="75"/>
      <c r="G1459" s="76"/>
    </row>
    <row r="1460">
      <c r="A1460" s="73"/>
      <c r="B1460" s="74"/>
      <c r="C1460" s="74"/>
      <c r="D1460" s="73"/>
      <c r="E1460" s="75"/>
      <c r="F1460" s="75"/>
      <c r="G1460" s="76"/>
    </row>
    <row r="1461">
      <c r="A1461" s="73"/>
      <c r="B1461" s="74"/>
      <c r="C1461" s="74"/>
      <c r="D1461" s="73"/>
      <c r="E1461" s="75"/>
      <c r="F1461" s="75"/>
      <c r="G1461" s="76"/>
    </row>
    <row r="1462">
      <c r="A1462" s="73"/>
      <c r="B1462" s="74"/>
      <c r="C1462" s="74"/>
      <c r="D1462" s="73"/>
      <c r="E1462" s="75"/>
      <c r="F1462" s="75"/>
      <c r="G1462" s="76"/>
    </row>
    <row r="1463">
      <c r="A1463" s="73"/>
      <c r="B1463" s="74"/>
      <c r="C1463" s="74"/>
      <c r="D1463" s="73"/>
      <c r="E1463" s="75"/>
      <c r="F1463" s="75"/>
      <c r="G1463" s="76"/>
    </row>
    <row r="1464">
      <c r="A1464" s="73"/>
      <c r="B1464" s="74"/>
      <c r="C1464" s="74"/>
      <c r="D1464" s="73"/>
      <c r="E1464" s="75"/>
      <c r="F1464" s="75"/>
      <c r="G1464" s="76"/>
    </row>
    <row r="1465">
      <c r="A1465" s="73"/>
      <c r="B1465" s="74"/>
      <c r="C1465" s="74"/>
      <c r="D1465" s="73"/>
      <c r="E1465" s="75"/>
      <c r="F1465" s="75"/>
      <c r="G1465" s="76"/>
    </row>
    <row r="1466">
      <c r="A1466" s="73"/>
      <c r="B1466" s="74"/>
      <c r="C1466" s="74"/>
      <c r="D1466" s="73"/>
      <c r="E1466" s="75"/>
      <c r="F1466" s="75"/>
      <c r="G1466" s="76"/>
    </row>
    <row r="1467">
      <c r="A1467" s="73"/>
      <c r="B1467" s="74"/>
      <c r="C1467" s="74"/>
      <c r="D1467" s="73"/>
      <c r="E1467" s="75"/>
      <c r="F1467" s="75"/>
      <c r="G1467" s="76"/>
    </row>
    <row r="1468">
      <c r="A1468" s="73"/>
      <c r="B1468" s="74"/>
      <c r="C1468" s="74"/>
      <c r="D1468" s="73"/>
      <c r="E1468" s="75"/>
      <c r="F1468" s="75"/>
      <c r="G1468" s="76"/>
    </row>
    <row r="1469">
      <c r="A1469" s="73"/>
      <c r="B1469" s="74"/>
      <c r="C1469" s="74"/>
      <c r="D1469" s="73"/>
      <c r="E1469" s="75"/>
      <c r="F1469" s="75"/>
      <c r="G1469" s="76"/>
    </row>
    <row r="1470">
      <c r="A1470" s="73"/>
      <c r="B1470" s="74"/>
      <c r="C1470" s="74"/>
      <c r="D1470" s="73"/>
      <c r="E1470" s="75"/>
      <c r="F1470" s="75"/>
      <c r="G1470" s="76"/>
    </row>
    <row r="1471">
      <c r="A1471" s="73"/>
      <c r="B1471" s="74"/>
      <c r="C1471" s="74"/>
      <c r="D1471" s="73"/>
      <c r="E1471" s="75"/>
      <c r="F1471" s="75"/>
      <c r="G1471" s="76"/>
    </row>
    <row r="1472">
      <c r="A1472" s="73"/>
      <c r="B1472" s="74"/>
      <c r="C1472" s="74"/>
      <c r="D1472" s="73"/>
      <c r="E1472" s="75"/>
      <c r="F1472" s="75"/>
      <c r="G1472" s="76"/>
    </row>
    <row r="1473">
      <c r="A1473" s="73"/>
      <c r="B1473" s="74"/>
      <c r="C1473" s="74"/>
      <c r="D1473" s="73"/>
      <c r="E1473" s="75"/>
      <c r="F1473" s="75"/>
      <c r="G1473" s="76"/>
    </row>
    <row r="1474">
      <c r="A1474" s="73"/>
      <c r="B1474" s="74"/>
      <c r="C1474" s="74"/>
      <c r="D1474" s="73"/>
      <c r="E1474" s="75"/>
      <c r="F1474" s="75"/>
      <c r="G1474" s="76"/>
    </row>
    <row r="1475">
      <c r="A1475" s="73"/>
      <c r="B1475" s="74"/>
      <c r="C1475" s="74"/>
      <c r="D1475" s="73"/>
      <c r="E1475" s="75"/>
      <c r="F1475" s="75"/>
      <c r="G1475" s="76"/>
    </row>
    <row r="1476">
      <c r="A1476" s="73"/>
      <c r="B1476" s="74"/>
      <c r="C1476" s="74"/>
      <c r="D1476" s="73"/>
      <c r="E1476" s="75"/>
      <c r="F1476" s="75"/>
      <c r="G1476" s="76"/>
    </row>
    <row r="1477">
      <c r="A1477" s="73"/>
      <c r="B1477" s="74"/>
      <c r="C1477" s="74"/>
      <c r="D1477" s="73"/>
      <c r="E1477" s="75"/>
      <c r="F1477" s="75"/>
      <c r="G1477" s="76"/>
    </row>
    <row r="1478">
      <c r="A1478" s="73"/>
      <c r="B1478" s="74"/>
      <c r="C1478" s="74"/>
      <c r="D1478" s="73"/>
      <c r="E1478" s="75"/>
      <c r="F1478" s="75"/>
      <c r="G1478" s="76"/>
    </row>
    <row r="1479">
      <c r="A1479" s="73"/>
      <c r="B1479" s="74"/>
      <c r="C1479" s="74"/>
      <c r="D1479" s="73"/>
      <c r="E1479" s="75"/>
      <c r="F1479" s="75"/>
      <c r="G1479" s="76"/>
    </row>
    <row r="1480">
      <c r="A1480" s="73"/>
      <c r="B1480" s="74"/>
      <c r="C1480" s="74"/>
      <c r="D1480" s="73"/>
      <c r="E1480" s="75"/>
      <c r="F1480" s="75"/>
      <c r="G1480" s="76"/>
    </row>
    <row r="1481">
      <c r="A1481" s="73"/>
      <c r="B1481" s="74"/>
      <c r="C1481" s="74"/>
      <c r="D1481" s="73"/>
      <c r="E1481" s="75"/>
      <c r="F1481" s="75"/>
      <c r="G1481" s="76"/>
    </row>
    <row r="1482">
      <c r="A1482" s="73"/>
      <c r="B1482" s="74"/>
      <c r="C1482" s="74"/>
      <c r="D1482" s="73"/>
      <c r="E1482" s="75"/>
      <c r="F1482" s="75"/>
      <c r="G1482" s="76"/>
    </row>
    <row r="1483">
      <c r="A1483" s="73"/>
      <c r="B1483" s="74"/>
      <c r="C1483" s="74"/>
      <c r="D1483" s="73"/>
      <c r="E1483" s="75"/>
      <c r="F1483" s="75"/>
      <c r="G1483" s="76"/>
    </row>
    <row r="1484">
      <c r="A1484" s="73"/>
      <c r="B1484" s="74"/>
      <c r="C1484" s="74"/>
      <c r="D1484" s="73"/>
      <c r="E1484" s="75"/>
      <c r="F1484" s="75"/>
      <c r="G1484" s="76"/>
    </row>
    <row r="1485">
      <c r="A1485" s="73"/>
      <c r="B1485" s="74"/>
      <c r="C1485" s="74"/>
      <c r="D1485" s="73"/>
      <c r="E1485" s="75"/>
      <c r="F1485" s="75"/>
      <c r="G1485" s="76"/>
    </row>
    <row r="1486">
      <c r="A1486" s="73"/>
      <c r="B1486" s="74"/>
      <c r="C1486" s="74"/>
      <c r="D1486" s="73"/>
      <c r="E1486" s="75"/>
      <c r="F1486" s="75"/>
      <c r="G1486" s="76"/>
    </row>
    <row r="1487">
      <c r="A1487" s="73"/>
      <c r="B1487" s="74"/>
      <c r="C1487" s="74"/>
      <c r="D1487" s="73"/>
      <c r="E1487" s="75"/>
      <c r="F1487" s="75"/>
      <c r="G1487" s="76"/>
    </row>
    <row r="1488">
      <c r="A1488" s="73"/>
      <c r="B1488" s="74"/>
      <c r="C1488" s="74"/>
      <c r="D1488" s="73"/>
      <c r="E1488" s="75"/>
      <c r="F1488" s="75"/>
      <c r="G1488" s="76"/>
    </row>
    <row r="1489">
      <c r="A1489" s="73"/>
      <c r="B1489" s="74"/>
      <c r="C1489" s="74"/>
      <c r="D1489" s="73"/>
      <c r="E1489" s="75"/>
      <c r="F1489" s="75"/>
      <c r="G1489" s="76"/>
    </row>
    <row r="1490">
      <c r="A1490" s="73"/>
      <c r="B1490" s="74"/>
      <c r="C1490" s="74"/>
      <c r="D1490" s="73"/>
      <c r="E1490" s="75"/>
      <c r="F1490" s="75"/>
      <c r="G1490" s="76"/>
    </row>
    <row r="1491">
      <c r="A1491" s="73"/>
      <c r="B1491" s="74"/>
      <c r="C1491" s="74"/>
      <c r="D1491" s="73"/>
      <c r="E1491" s="75"/>
      <c r="F1491" s="75"/>
      <c r="G1491" s="76"/>
    </row>
    <row r="1492">
      <c r="A1492" s="73"/>
      <c r="B1492" s="74"/>
      <c r="C1492" s="74"/>
      <c r="D1492" s="73"/>
      <c r="E1492" s="75"/>
      <c r="F1492" s="75"/>
      <c r="G1492" s="76"/>
    </row>
    <row r="1493">
      <c r="A1493" s="73"/>
      <c r="B1493" s="74"/>
      <c r="C1493" s="74"/>
      <c r="D1493" s="73"/>
      <c r="E1493" s="75"/>
      <c r="F1493" s="75"/>
      <c r="G1493" s="76"/>
    </row>
    <row r="1494">
      <c r="A1494" s="73"/>
      <c r="B1494" s="74"/>
      <c r="C1494" s="74"/>
      <c r="D1494" s="73"/>
      <c r="E1494" s="75"/>
      <c r="F1494" s="75"/>
      <c r="G1494" s="76"/>
    </row>
    <row r="1495">
      <c r="A1495" s="73"/>
      <c r="B1495" s="74"/>
      <c r="C1495" s="74"/>
      <c r="D1495" s="73"/>
      <c r="E1495" s="75"/>
      <c r="F1495" s="75"/>
      <c r="G1495" s="76"/>
    </row>
    <row r="1496">
      <c r="A1496" s="73"/>
      <c r="B1496" s="74"/>
      <c r="C1496" s="74"/>
      <c r="D1496" s="73"/>
      <c r="E1496" s="75"/>
      <c r="F1496" s="75"/>
      <c r="G1496" s="76"/>
    </row>
    <row r="1497">
      <c r="A1497" s="73"/>
      <c r="B1497" s="74"/>
      <c r="C1497" s="74"/>
      <c r="D1497" s="73"/>
      <c r="E1497" s="75"/>
      <c r="F1497" s="75"/>
      <c r="G1497" s="76"/>
    </row>
    <row r="1498">
      <c r="A1498" s="73"/>
      <c r="B1498" s="74"/>
      <c r="C1498" s="74"/>
      <c r="D1498" s="73"/>
      <c r="E1498" s="75"/>
      <c r="F1498" s="75"/>
      <c r="G1498" s="76"/>
    </row>
    <row r="1499">
      <c r="A1499" s="73"/>
      <c r="B1499" s="74"/>
      <c r="C1499" s="74"/>
      <c r="D1499" s="73"/>
      <c r="E1499" s="75"/>
      <c r="F1499" s="75"/>
      <c r="G1499" s="76"/>
    </row>
    <row r="1500">
      <c r="A1500" s="73"/>
      <c r="B1500" s="74"/>
      <c r="C1500" s="74"/>
      <c r="D1500" s="73"/>
      <c r="E1500" s="75"/>
      <c r="F1500" s="75"/>
      <c r="G1500" s="76"/>
    </row>
    <row r="1501">
      <c r="A1501" s="73"/>
      <c r="B1501" s="74"/>
      <c r="C1501" s="74"/>
      <c r="D1501" s="73"/>
      <c r="E1501" s="75"/>
      <c r="F1501" s="75"/>
      <c r="G1501" s="76"/>
    </row>
    <row r="1502">
      <c r="A1502" s="73"/>
      <c r="B1502" s="74"/>
      <c r="C1502" s="74"/>
      <c r="D1502" s="73"/>
      <c r="E1502" s="75"/>
      <c r="F1502" s="75"/>
      <c r="G1502" s="76"/>
    </row>
    <row r="1503">
      <c r="A1503" s="73"/>
      <c r="B1503" s="74"/>
      <c r="C1503" s="74"/>
      <c r="D1503" s="73"/>
      <c r="E1503" s="75"/>
      <c r="F1503" s="75"/>
      <c r="G1503" s="76"/>
    </row>
    <row r="1504">
      <c r="A1504" s="73"/>
      <c r="B1504" s="74"/>
      <c r="C1504" s="74"/>
      <c r="D1504" s="73"/>
      <c r="E1504" s="75"/>
      <c r="F1504" s="75"/>
      <c r="G1504" s="76"/>
    </row>
    <row r="1505">
      <c r="A1505" s="73"/>
      <c r="B1505" s="74"/>
      <c r="C1505" s="74"/>
      <c r="D1505" s="73"/>
      <c r="E1505" s="75"/>
      <c r="F1505" s="75"/>
      <c r="G1505" s="76"/>
    </row>
    <row r="1506">
      <c r="A1506" s="73"/>
      <c r="B1506" s="74"/>
      <c r="C1506" s="74"/>
      <c r="D1506" s="73"/>
      <c r="E1506" s="75"/>
      <c r="F1506" s="75"/>
      <c r="G1506" s="76"/>
    </row>
    <row r="1507">
      <c r="A1507" s="73"/>
      <c r="B1507" s="74"/>
      <c r="C1507" s="74"/>
      <c r="D1507" s="73"/>
      <c r="E1507" s="75"/>
      <c r="F1507" s="75"/>
      <c r="G1507" s="76"/>
    </row>
    <row r="1508">
      <c r="A1508" s="73"/>
      <c r="B1508" s="74"/>
      <c r="C1508" s="74"/>
      <c r="D1508" s="73"/>
      <c r="E1508" s="75"/>
      <c r="F1508" s="75"/>
      <c r="G1508" s="76"/>
    </row>
    <row r="1509">
      <c r="A1509" s="73"/>
      <c r="B1509" s="74"/>
      <c r="C1509" s="74"/>
      <c r="D1509" s="73"/>
      <c r="E1509" s="75"/>
      <c r="F1509" s="75"/>
      <c r="G1509" s="76"/>
    </row>
    <row r="1510">
      <c r="A1510" s="73"/>
      <c r="B1510" s="74"/>
      <c r="C1510" s="74"/>
      <c r="D1510" s="73"/>
      <c r="E1510" s="75"/>
      <c r="F1510" s="75"/>
      <c r="G1510" s="76"/>
    </row>
    <row r="1511">
      <c r="A1511" s="73"/>
      <c r="B1511" s="74"/>
      <c r="C1511" s="74"/>
      <c r="D1511" s="73"/>
      <c r="E1511" s="75"/>
      <c r="F1511" s="75"/>
      <c r="G1511" s="76"/>
    </row>
    <row r="1512">
      <c r="A1512" s="73"/>
      <c r="B1512" s="74"/>
      <c r="C1512" s="74"/>
      <c r="D1512" s="73"/>
      <c r="E1512" s="75"/>
      <c r="F1512" s="75"/>
      <c r="G1512" s="76"/>
    </row>
    <row r="1513">
      <c r="A1513" s="73"/>
      <c r="B1513" s="74"/>
      <c r="C1513" s="74"/>
      <c r="D1513" s="73"/>
      <c r="E1513" s="75"/>
      <c r="F1513" s="75"/>
      <c r="G1513" s="76"/>
    </row>
    <row r="1514">
      <c r="A1514" s="73"/>
      <c r="B1514" s="74"/>
      <c r="C1514" s="74"/>
      <c r="D1514" s="73"/>
      <c r="E1514" s="75"/>
      <c r="F1514" s="75"/>
      <c r="G1514" s="76"/>
    </row>
    <row r="1515">
      <c r="A1515" s="73"/>
      <c r="B1515" s="74"/>
      <c r="C1515" s="74"/>
      <c r="D1515" s="73"/>
      <c r="E1515" s="75"/>
      <c r="F1515" s="75"/>
      <c r="G1515" s="76"/>
    </row>
    <row r="1516">
      <c r="A1516" s="73"/>
      <c r="B1516" s="74"/>
      <c r="C1516" s="74"/>
      <c r="D1516" s="73"/>
      <c r="E1516" s="75"/>
      <c r="F1516" s="75"/>
      <c r="G1516" s="76"/>
    </row>
    <row r="1517">
      <c r="A1517" s="73"/>
      <c r="B1517" s="74"/>
      <c r="C1517" s="74"/>
      <c r="D1517" s="73"/>
      <c r="E1517" s="75"/>
      <c r="F1517" s="75"/>
      <c r="G1517" s="76"/>
    </row>
    <row r="1518">
      <c r="A1518" s="73"/>
      <c r="B1518" s="74"/>
      <c r="C1518" s="74"/>
      <c r="D1518" s="73"/>
      <c r="E1518" s="75"/>
      <c r="F1518" s="75"/>
      <c r="G1518" s="76"/>
    </row>
    <row r="1519">
      <c r="A1519" s="73"/>
      <c r="B1519" s="74"/>
      <c r="C1519" s="74"/>
      <c r="D1519" s="73"/>
      <c r="E1519" s="75"/>
      <c r="F1519" s="75"/>
      <c r="G1519" s="76"/>
    </row>
    <row r="1520">
      <c r="A1520" s="73"/>
      <c r="B1520" s="74"/>
      <c r="C1520" s="74"/>
      <c r="D1520" s="73"/>
      <c r="E1520" s="75"/>
      <c r="F1520" s="75"/>
      <c r="G1520" s="76"/>
    </row>
    <row r="1521">
      <c r="A1521" s="73"/>
      <c r="B1521" s="74"/>
      <c r="C1521" s="74"/>
      <c r="D1521" s="73"/>
      <c r="E1521" s="75"/>
      <c r="F1521" s="75"/>
      <c r="G1521" s="76"/>
    </row>
    <row r="1522">
      <c r="A1522" s="73"/>
      <c r="B1522" s="74"/>
      <c r="C1522" s="74"/>
      <c r="D1522" s="73"/>
      <c r="E1522" s="75"/>
      <c r="F1522" s="75"/>
      <c r="G1522" s="76"/>
    </row>
    <row r="1523">
      <c r="A1523" s="73"/>
      <c r="B1523" s="74"/>
      <c r="C1523" s="74"/>
      <c r="D1523" s="73"/>
      <c r="E1523" s="75"/>
      <c r="F1523" s="75"/>
      <c r="G1523" s="76"/>
    </row>
    <row r="1524">
      <c r="A1524" s="73"/>
      <c r="B1524" s="74"/>
      <c r="C1524" s="74"/>
      <c r="D1524" s="73"/>
      <c r="E1524" s="75"/>
      <c r="F1524" s="75"/>
      <c r="G1524" s="76"/>
    </row>
    <row r="1525">
      <c r="A1525" s="73"/>
      <c r="B1525" s="74"/>
      <c r="C1525" s="74"/>
      <c r="D1525" s="73"/>
      <c r="E1525" s="75"/>
      <c r="F1525" s="75"/>
      <c r="G1525" s="76"/>
    </row>
    <row r="1526">
      <c r="A1526" s="73"/>
      <c r="B1526" s="74"/>
      <c r="C1526" s="74"/>
      <c r="D1526" s="73"/>
      <c r="E1526" s="75"/>
      <c r="F1526" s="75"/>
      <c r="G1526" s="76"/>
    </row>
    <row r="1527">
      <c r="A1527" s="73"/>
      <c r="B1527" s="74"/>
      <c r="C1527" s="74"/>
      <c r="D1527" s="73"/>
      <c r="E1527" s="75"/>
      <c r="F1527" s="75"/>
      <c r="G1527" s="76"/>
    </row>
    <row r="1528">
      <c r="A1528" s="73"/>
      <c r="B1528" s="74"/>
      <c r="C1528" s="74"/>
      <c r="D1528" s="73"/>
      <c r="E1528" s="75"/>
      <c r="F1528" s="75"/>
      <c r="G1528" s="76"/>
    </row>
    <row r="1529">
      <c r="A1529" s="73"/>
      <c r="B1529" s="74"/>
      <c r="C1529" s="74"/>
      <c r="D1529" s="73"/>
      <c r="E1529" s="75"/>
      <c r="F1529" s="75"/>
      <c r="G1529" s="76"/>
    </row>
    <row r="1530">
      <c r="A1530" s="73"/>
      <c r="B1530" s="74"/>
      <c r="C1530" s="74"/>
      <c r="D1530" s="73"/>
      <c r="E1530" s="75"/>
      <c r="F1530" s="75"/>
      <c r="G1530" s="76"/>
    </row>
    <row r="1531">
      <c r="A1531" s="73"/>
      <c r="B1531" s="74"/>
      <c r="C1531" s="74"/>
      <c r="D1531" s="73"/>
      <c r="E1531" s="75"/>
      <c r="F1531" s="75"/>
      <c r="G1531" s="76"/>
    </row>
    <row r="1532">
      <c r="A1532" s="73"/>
      <c r="B1532" s="74"/>
      <c r="C1532" s="74"/>
      <c r="D1532" s="73"/>
      <c r="E1532" s="75"/>
      <c r="F1532" s="75"/>
      <c r="G1532" s="76"/>
    </row>
    <row r="1533">
      <c r="A1533" s="73"/>
      <c r="B1533" s="74"/>
      <c r="C1533" s="74"/>
      <c r="D1533" s="73"/>
      <c r="E1533" s="75"/>
      <c r="F1533" s="75"/>
      <c r="G1533" s="76"/>
    </row>
    <row r="1534">
      <c r="A1534" s="73"/>
      <c r="B1534" s="74"/>
      <c r="C1534" s="74"/>
      <c r="D1534" s="73"/>
      <c r="E1534" s="75"/>
      <c r="F1534" s="75"/>
      <c r="G1534" s="76"/>
    </row>
    <row r="1535">
      <c r="A1535" s="73"/>
      <c r="B1535" s="74"/>
      <c r="C1535" s="74"/>
      <c r="D1535" s="73"/>
      <c r="E1535" s="75"/>
      <c r="F1535" s="75"/>
      <c r="G1535" s="76"/>
    </row>
    <row r="1536">
      <c r="A1536" s="73"/>
      <c r="B1536" s="74"/>
      <c r="C1536" s="74"/>
      <c r="D1536" s="73"/>
      <c r="E1536" s="75"/>
      <c r="F1536" s="75"/>
      <c r="G1536" s="76"/>
    </row>
    <row r="1537">
      <c r="A1537" s="73"/>
      <c r="B1537" s="74"/>
      <c r="C1537" s="74"/>
      <c r="D1537" s="73"/>
      <c r="E1537" s="75"/>
      <c r="F1537" s="75"/>
      <c r="G1537" s="76"/>
    </row>
    <row r="1538">
      <c r="A1538" s="73"/>
      <c r="B1538" s="74"/>
      <c r="C1538" s="74"/>
      <c r="D1538" s="73"/>
      <c r="E1538" s="75"/>
      <c r="F1538" s="75"/>
      <c r="G1538" s="76"/>
    </row>
    <row r="1539">
      <c r="A1539" s="73"/>
      <c r="B1539" s="74"/>
      <c r="C1539" s="74"/>
      <c r="D1539" s="73"/>
      <c r="E1539" s="75"/>
      <c r="F1539" s="75"/>
      <c r="G1539" s="76"/>
    </row>
    <row r="1540">
      <c r="A1540" s="73"/>
      <c r="B1540" s="74"/>
      <c r="C1540" s="74"/>
      <c r="D1540" s="73"/>
      <c r="E1540" s="75"/>
      <c r="F1540" s="75"/>
      <c r="G1540" s="76"/>
    </row>
    <row r="1541">
      <c r="A1541" s="73"/>
      <c r="B1541" s="74"/>
      <c r="C1541" s="74"/>
      <c r="D1541" s="73"/>
      <c r="E1541" s="75"/>
      <c r="F1541" s="75"/>
      <c r="G1541" s="76"/>
    </row>
    <row r="1542">
      <c r="A1542" s="73"/>
      <c r="B1542" s="74"/>
      <c r="C1542" s="74"/>
      <c r="D1542" s="73"/>
      <c r="E1542" s="75"/>
      <c r="F1542" s="75"/>
      <c r="G1542" s="76"/>
    </row>
    <row r="1543">
      <c r="A1543" s="73"/>
      <c r="B1543" s="74"/>
      <c r="C1543" s="74"/>
      <c r="D1543" s="73"/>
      <c r="E1543" s="75"/>
      <c r="F1543" s="75"/>
      <c r="G1543" s="76"/>
    </row>
    <row r="1544">
      <c r="A1544" s="73"/>
      <c r="B1544" s="74"/>
      <c r="C1544" s="74"/>
      <c r="D1544" s="73"/>
      <c r="E1544" s="75"/>
      <c r="F1544" s="75"/>
      <c r="G1544" s="76"/>
    </row>
    <row r="1545">
      <c r="A1545" s="73"/>
      <c r="B1545" s="74"/>
      <c r="C1545" s="74"/>
      <c r="D1545" s="73"/>
      <c r="E1545" s="75"/>
      <c r="F1545" s="75"/>
      <c r="G1545" s="76"/>
    </row>
    <row r="1546">
      <c r="A1546" s="73"/>
      <c r="B1546" s="74"/>
      <c r="C1546" s="74"/>
      <c r="D1546" s="73"/>
      <c r="E1546" s="75"/>
      <c r="F1546" s="75"/>
      <c r="G1546" s="76"/>
    </row>
    <row r="1547">
      <c r="A1547" s="73"/>
      <c r="B1547" s="74"/>
      <c r="C1547" s="74"/>
      <c r="D1547" s="73"/>
      <c r="E1547" s="75"/>
      <c r="F1547" s="75"/>
      <c r="G1547" s="76"/>
    </row>
    <row r="1548">
      <c r="A1548" s="73"/>
      <c r="B1548" s="74"/>
      <c r="C1548" s="74"/>
      <c r="D1548" s="73"/>
      <c r="E1548" s="75"/>
      <c r="F1548" s="75"/>
      <c r="G1548" s="76"/>
    </row>
    <row r="1549">
      <c r="A1549" s="73"/>
      <c r="B1549" s="74"/>
      <c r="C1549" s="74"/>
      <c r="D1549" s="73"/>
      <c r="E1549" s="75"/>
      <c r="F1549" s="75"/>
      <c r="G1549" s="76"/>
    </row>
    <row r="1550">
      <c r="A1550" s="73"/>
      <c r="B1550" s="74"/>
      <c r="C1550" s="74"/>
      <c r="D1550" s="73"/>
      <c r="E1550" s="75"/>
      <c r="F1550" s="75"/>
      <c r="G1550" s="76"/>
    </row>
    <row r="1551">
      <c r="A1551" s="73"/>
      <c r="B1551" s="74"/>
      <c r="C1551" s="74"/>
      <c r="D1551" s="73"/>
      <c r="E1551" s="75"/>
      <c r="F1551" s="75"/>
      <c r="G1551" s="76"/>
    </row>
    <row r="1552">
      <c r="A1552" s="73"/>
      <c r="B1552" s="74"/>
      <c r="C1552" s="74"/>
      <c r="D1552" s="73"/>
      <c r="E1552" s="75"/>
      <c r="F1552" s="75"/>
      <c r="G1552" s="76"/>
    </row>
    <row r="1553">
      <c r="A1553" s="73"/>
      <c r="B1553" s="74"/>
      <c r="C1553" s="74"/>
      <c r="D1553" s="73"/>
      <c r="E1553" s="75"/>
      <c r="F1553" s="75"/>
      <c r="G1553" s="76"/>
    </row>
    <row r="1554">
      <c r="A1554" s="73"/>
      <c r="B1554" s="74"/>
      <c r="C1554" s="74"/>
      <c r="D1554" s="73"/>
      <c r="E1554" s="75"/>
      <c r="F1554" s="75"/>
      <c r="G1554" s="76"/>
    </row>
    <row r="1555">
      <c r="A1555" s="73"/>
      <c r="B1555" s="74"/>
      <c r="C1555" s="74"/>
      <c r="D1555" s="73"/>
      <c r="E1555" s="75"/>
      <c r="F1555" s="75"/>
      <c r="G1555" s="76"/>
    </row>
    <row r="1556">
      <c r="A1556" s="73"/>
      <c r="B1556" s="74"/>
      <c r="C1556" s="74"/>
      <c r="D1556" s="73"/>
      <c r="E1556" s="75"/>
      <c r="F1556" s="75"/>
      <c r="G1556" s="76"/>
    </row>
    <row r="1557">
      <c r="A1557" s="73"/>
      <c r="B1557" s="74"/>
      <c r="C1557" s="74"/>
      <c r="D1557" s="73"/>
      <c r="E1557" s="75"/>
      <c r="F1557" s="75"/>
      <c r="G1557" s="76"/>
    </row>
    <row r="1558">
      <c r="A1558" s="73"/>
      <c r="B1558" s="74"/>
      <c r="C1558" s="74"/>
      <c r="D1558" s="73"/>
      <c r="E1558" s="75"/>
      <c r="F1558" s="75"/>
      <c r="G1558" s="76"/>
    </row>
    <row r="1559">
      <c r="A1559" s="73"/>
      <c r="B1559" s="74"/>
      <c r="C1559" s="74"/>
      <c r="D1559" s="73"/>
      <c r="E1559" s="75"/>
      <c r="F1559" s="75"/>
      <c r="G1559" s="76"/>
    </row>
    <row r="1560">
      <c r="A1560" s="73"/>
      <c r="B1560" s="74"/>
      <c r="C1560" s="74"/>
      <c r="D1560" s="73"/>
      <c r="E1560" s="75"/>
      <c r="F1560" s="75"/>
      <c r="G1560" s="76"/>
    </row>
    <row r="1561">
      <c r="A1561" s="73"/>
      <c r="B1561" s="74"/>
      <c r="C1561" s="74"/>
      <c r="D1561" s="73"/>
      <c r="E1561" s="75"/>
      <c r="F1561" s="75"/>
      <c r="G1561" s="76"/>
    </row>
    <row r="1562">
      <c r="A1562" s="73"/>
      <c r="B1562" s="74"/>
      <c r="C1562" s="74"/>
      <c r="D1562" s="73"/>
      <c r="E1562" s="75"/>
      <c r="F1562" s="75"/>
      <c r="G1562" s="76"/>
    </row>
    <row r="1563">
      <c r="A1563" s="73"/>
      <c r="B1563" s="74"/>
      <c r="C1563" s="74"/>
      <c r="D1563" s="73"/>
      <c r="E1563" s="75"/>
      <c r="F1563" s="75"/>
      <c r="G1563" s="76"/>
    </row>
    <row r="1564">
      <c r="A1564" s="73"/>
      <c r="B1564" s="74"/>
      <c r="C1564" s="74"/>
      <c r="D1564" s="73"/>
      <c r="E1564" s="75"/>
      <c r="F1564" s="75"/>
      <c r="G1564" s="76"/>
    </row>
    <row r="1565">
      <c r="A1565" s="73"/>
      <c r="B1565" s="74"/>
      <c r="C1565" s="74"/>
      <c r="D1565" s="73"/>
      <c r="E1565" s="75"/>
      <c r="F1565" s="75"/>
      <c r="G1565" s="76"/>
    </row>
    <row r="1566">
      <c r="A1566" s="73"/>
      <c r="B1566" s="74"/>
      <c r="C1566" s="74"/>
      <c r="D1566" s="73"/>
      <c r="E1566" s="75"/>
      <c r="F1566" s="75"/>
      <c r="G1566" s="76"/>
    </row>
    <row r="1567">
      <c r="A1567" s="73"/>
      <c r="B1567" s="74"/>
      <c r="C1567" s="74"/>
      <c r="D1567" s="73"/>
      <c r="E1567" s="75"/>
      <c r="F1567" s="75"/>
      <c r="G1567" s="76"/>
    </row>
    <row r="1568">
      <c r="A1568" s="73"/>
      <c r="B1568" s="74"/>
      <c r="C1568" s="74"/>
      <c r="D1568" s="73"/>
      <c r="E1568" s="75"/>
      <c r="F1568" s="75"/>
      <c r="G1568" s="76"/>
    </row>
    <row r="1569">
      <c r="A1569" s="73"/>
      <c r="B1569" s="74"/>
      <c r="C1569" s="74"/>
      <c r="D1569" s="73"/>
      <c r="E1569" s="75"/>
      <c r="F1569" s="75"/>
      <c r="G1569" s="76"/>
    </row>
    <row r="1570">
      <c r="A1570" s="73"/>
      <c r="B1570" s="74"/>
      <c r="C1570" s="74"/>
      <c r="D1570" s="73"/>
      <c r="E1570" s="75"/>
      <c r="F1570" s="75"/>
      <c r="G1570" s="76"/>
    </row>
    <row r="1571">
      <c r="A1571" s="73"/>
      <c r="B1571" s="74"/>
      <c r="C1571" s="74"/>
      <c r="D1571" s="73"/>
      <c r="E1571" s="75"/>
      <c r="F1571" s="75"/>
      <c r="G1571" s="76"/>
    </row>
    <row r="1572">
      <c r="A1572" s="73"/>
      <c r="B1572" s="74"/>
      <c r="C1572" s="74"/>
      <c r="D1572" s="73"/>
      <c r="E1572" s="75"/>
      <c r="F1572" s="75"/>
      <c r="G1572" s="76"/>
    </row>
    <row r="1573">
      <c r="A1573" s="73"/>
      <c r="B1573" s="74"/>
      <c r="C1573" s="74"/>
      <c r="D1573" s="73"/>
      <c r="E1573" s="75"/>
      <c r="F1573" s="75"/>
      <c r="G1573" s="76"/>
    </row>
    <row r="1574">
      <c r="A1574" s="73"/>
      <c r="B1574" s="74"/>
      <c r="C1574" s="74"/>
      <c r="D1574" s="73"/>
      <c r="E1574" s="75"/>
      <c r="F1574" s="75"/>
      <c r="G1574" s="76"/>
    </row>
    <row r="1575">
      <c r="A1575" s="73"/>
      <c r="B1575" s="74"/>
      <c r="C1575" s="74"/>
      <c r="D1575" s="73"/>
      <c r="E1575" s="75"/>
      <c r="F1575" s="75"/>
      <c r="G1575" s="76"/>
    </row>
    <row r="1576">
      <c r="A1576" s="73"/>
      <c r="B1576" s="74"/>
      <c r="C1576" s="74"/>
      <c r="D1576" s="73"/>
      <c r="E1576" s="75"/>
      <c r="F1576" s="75"/>
      <c r="G1576" s="76"/>
    </row>
    <row r="1577">
      <c r="A1577" s="73"/>
      <c r="B1577" s="74"/>
      <c r="C1577" s="74"/>
      <c r="D1577" s="73"/>
      <c r="E1577" s="75"/>
      <c r="F1577" s="75"/>
      <c r="G1577" s="76"/>
    </row>
    <row r="1578">
      <c r="A1578" s="73"/>
      <c r="B1578" s="74"/>
      <c r="C1578" s="74"/>
      <c r="D1578" s="73"/>
      <c r="E1578" s="75"/>
      <c r="F1578" s="75"/>
      <c r="G1578" s="76"/>
    </row>
    <row r="1579">
      <c r="A1579" s="73"/>
      <c r="B1579" s="74"/>
      <c r="C1579" s="74"/>
      <c r="D1579" s="73"/>
      <c r="E1579" s="75"/>
      <c r="F1579" s="75"/>
      <c r="G1579" s="76"/>
    </row>
    <row r="1580">
      <c r="A1580" s="73"/>
      <c r="B1580" s="74"/>
      <c r="C1580" s="74"/>
      <c r="D1580" s="73"/>
      <c r="E1580" s="75"/>
      <c r="F1580" s="75"/>
      <c r="G1580" s="76"/>
    </row>
    <row r="1581">
      <c r="A1581" s="73"/>
      <c r="B1581" s="74"/>
      <c r="C1581" s="74"/>
      <c r="D1581" s="73"/>
      <c r="E1581" s="75"/>
      <c r="F1581" s="75"/>
      <c r="G1581" s="76"/>
    </row>
    <row r="1582">
      <c r="A1582" s="73"/>
      <c r="B1582" s="74"/>
      <c r="C1582" s="74"/>
      <c r="D1582" s="73"/>
      <c r="E1582" s="75"/>
      <c r="F1582" s="75"/>
      <c r="G1582" s="76"/>
    </row>
    <row r="1583">
      <c r="A1583" s="73"/>
      <c r="B1583" s="74"/>
      <c r="C1583" s="74"/>
      <c r="D1583" s="73"/>
      <c r="E1583" s="75"/>
      <c r="F1583" s="75"/>
      <c r="G1583" s="76"/>
    </row>
    <row r="1584">
      <c r="A1584" s="73"/>
      <c r="B1584" s="74"/>
      <c r="C1584" s="74"/>
      <c r="D1584" s="73"/>
      <c r="E1584" s="75"/>
      <c r="F1584" s="75"/>
      <c r="G1584" s="76"/>
    </row>
    <row r="1585">
      <c r="A1585" s="73"/>
      <c r="B1585" s="74"/>
      <c r="C1585" s="74"/>
      <c r="D1585" s="73"/>
      <c r="E1585" s="75"/>
      <c r="F1585" s="75"/>
      <c r="G1585" s="76"/>
    </row>
    <row r="1586">
      <c r="A1586" s="73"/>
      <c r="B1586" s="74"/>
      <c r="C1586" s="74"/>
      <c r="D1586" s="73"/>
      <c r="E1586" s="75"/>
      <c r="F1586" s="75"/>
      <c r="G1586" s="76"/>
    </row>
    <row r="1587">
      <c r="A1587" s="73"/>
      <c r="B1587" s="74"/>
      <c r="C1587" s="74"/>
      <c r="D1587" s="73"/>
      <c r="E1587" s="75"/>
      <c r="F1587" s="75"/>
      <c r="G1587" s="76"/>
    </row>
    <row r="1588">
      <c r="A1588" s="73"/>
      <c r="B1588" s="74"/>
      <c r="C1588" s="74"/>
      <c r="D1588" s="73"/>
      <c r="E1588" s="75"/>
      <c r="F1588" s="75"/>
      <c r="G1588" s="76"/>
    </row>
    <row r="1589">
      <c r="A1589" s="73"/>
      <c r="B1589" s="74"/>
      <c r="C1589" s="74"/>
      <c r="D1589" s="73"/>
      <c r="E1589" s="75"/>
      <c r="F1589" s="75"/>
      <c r="G1589" s="76"/>
    </row>
    <row r="1590">
      <c r="A1590" s="73"/>
      <c r="B1590" s="74"/>
      <c r="C1590" s="74"/>
      <c r="D1590" s="73"/>
      <c r="E1590" s="75"/>
      <c r="F1590" s="75"/>
      <c r="G1590" s="76"/>
    </row>
    <row r="1591">
      <c r="A1591" s="73"/>
      <c r="B1591" s="74"/>
      <c r="C1591" s="74"/>
      <c r="D1591" s="73"/>
      <c r="E1591" s="75"/>
      <c r="F1591" s="75"/>
      <c r="G1591" s="76"/>
    </row>
    <row r="1592">
      <c r="A1592" s="73"/>
      <c r="B1592" s="74"/>
      <c r="C1592" s="74"/>
      <c r="D1592" s="73"/>
      <c r="E1592" s="75"/>
      <c r="F1592" s="75"/>
      <c r="G1592" s="76"/>
    </row>
    <row r="1593">
      <c r="A1593" s="73"/>
      <c r="B1593" s="74"/>
      <c r="C1593" s="74"/>
      <c r="D1593" s="73"/>
      <c r="E1593" s="75"/>
      <c r="F1593" s="75"/>
      <c r="G1593" s="76"/>
    </row>
    <row r="1594">
      <c r="A1594" s="73"/>
      <c r="B1594" s="74"/>
      <c r="C1594" s="74"/>
      <c r="D1594" s="73"/>
      <c r="E1594" s="75"/>
      <c r="F1594" s="75"/>
      <c r="G1594" s="76"/>
    </row>
    <row r="1595">
      <c r="A1595" s="73"/>
      <c r="B1595" s="74"/>
      <c r="C1595" s="74"/>
      <c r="D1595" s="73"/>
      <c r="E1595" s="75"/>
      <c r="F1595" s="75"/>
      <c r="G1595" s="76"/>
    </row>
    <row r="1596">
      <c r="A1596" s="73"/>
      <c r="B1596" s="74"/>
      <c r="C1596" s="74"/>
      <c r="D1596" s="73"/>
      <c r="E1596" s="75"/>
      <c r="F1596" s="75"/>
      <c r="G1596" s="76"/>
    </row>
    <row r="1597">
      <c r="A1597" s="73"/>
      <c r="B1597" s="74"/>
      <c r="C1597" s="74"/>
      <c r="D1597" s="73"/>
      <c r="E1597" s="75"/>
      <c r="F1597" s="75"/>
      <c r="G1597" s="76"/>
    </row>
    <row r="1598">
      <c r="A1598" s="73"/>
      <c r="B1598" s="74"/>
      <c r="C1598" s="74"/>
      <c r="D1598" s="73"/>
      <c r="E1598" s="75"/>
      <c r="F1598" s="75"/>
      <c r="G1598" s="76"/>
    </row>
    <row r="1599">
      <c r="A1599" s="73"/>
      <c r="B1599" s="74"/>
      <c r="C1599" s="74"/>
      <c r="D1599" s="73"/>
      <c r="E1599" s="75"/>
      <c r="F1599" s="75"/>
      <c r="G1599" s="76"/>
    </row>
    <row r="1600">
      <c r="A1600" s="73"/>
      <c r="B1600" s="74"/>
      <c r="C1600" s="74"/>
      <c r="D1600" s="73"/>
      <c r="E1600" s="75"/>
      <c r="F1600" s="75"/>
      <c r="G1600" s="76"/>
    </row>
    <row r="1601">
      <c r="A1601" s="73"/>
      <c r="B1601" s="74"/>
      <c r="C1601" s="74"/>
      <c r="D1601" s="73"/>
      <c r="E1601" s="75"/>
      <c r="F1601" s="75"/>
      <c r="G1601" s="76"/>
    </row>
    <row r="1602">
      <c r="A1602" s="73"/>
      <c r="B1602" s="74"/>
      <c r="C1602" s="74"/>
      <c r="D1602" s="73"/>
      <c r="E1602" s="75"/>
      <c r="F1602" s="75"/>
      <c r="G1602" s="76"/>
    </row>
    <row r="1603">
      <c r="A1603" s="73"/>
      <c r="B1603" s="74"/>
      <c r="C1603" s="74"/>
      <c r="D1603" s="73"/>
      <c r="E1603" s="75"/>
      <c r="F1603" s="75"/>
      <c r="G1603" s="76"/>
    </row>
    <row r="1604">
      <c r="A1604" s="73"/>
      <c r="B1604" s="74"/>
      <c r="C1604" s="74"/>
      <c r="D1604" s="73"/>
      <c r="E1604" s="75"/>
      <c r="F1604" s="75"/>
      <c r="G1604" s="76"/>
    </row>
    <row r="1605">
      <c r="A1605" s="73"/>
      <c r="B1605" s="74"/>
      <c r="C1605" s="74"/>
      <c r="D1605" s="73"/>
      <c r="E1605" s="75"/>
      <c r="F1605" s="75"/>
      <c r="G1605" s="76"/>
    </row>
    <row r="1606">
      <c r="A1606" s="73"/>
      <c r="B1606" s="74"/>
      <c r="C1606" s="74"/>
      <c r="D1606" s="73"/>
      <c r="E1606" s="75"/>
      <c r="F1606" s="75"/>
      <c r="G1606" s="76"/>
    </row>
    <row r="1607">
      <c r="A1607" s="73"/>
      <c r="B1607" s="74"/>
      <c r="C1607" s="74"/>
      <c r="D1607" s="73"/>
      <c r="E1607" s="75"/>
      <c r="F1607" s="75"/>
      <c r="G1607" s="76"/>
    </row>
    <row r="1608">
      <c r="A1608" s="73"/>
      <c r="B1608" s="74"/>
      <c r="C1608" s="74"/>
      <c r="D1608" s="73"/>
      <c r="E1608" s="75"/>
      <c r="F1608" s="75"/>
      <c r="G1608" s="76"/>
    </row>
    <row r="1609">
      <c r="A1609" s="73"/>
      <c r="B1609" s="74"/>
      <c r="C1609" s="74"/>
      <c r="D1609" s="73"/>
      <c r="E1609" s="75"/>
      <c r="F1609" s="75"/>
      <c r="G1609" s="76"/>
    </row>
    <row r="1610">
      <c r="A1610" s="73"/>
      <c r="B1610" s="74"/>
      <c r="C1610" s="74"/>
      <c r="D1610" s="73"/>
      <c r="E1610" s="75"/>
      <c r="F1610" s="75"/>
      <c r="G1610" s="76"/>
    </row>
    <row r="1611">
      <c r="A1611" s="73"/>
      <c r="B1611" s="74"/>
      <c r="C1611" s="74"/>
      <c r="D1611" s="73"/>
      <c r="E1611" s="75"/>
      <c r="F1611" s="75"/>
      <c r="G1611" s="76"/>
    </row>
    <row r="1612">
      <c r="A1612" s="73"/>
      <c r="B1612" s="74"/>
      <c r="C1612" s="74"/>
      <c r="D1612" s="73"/>
      <c r="E1612" s="75"/>
      <c r="F1612" s="75"/>
      <c r="G1612" s="76"/>
    </row>
    <row r="1613">
      <c r="A1613" s="73"/>
      <c r="B1613" s="74"/>
      <c r="C1613" s="74"/>
      <c r="D1613" s="73"/>
      <c r="E1613" s="75"/>
      <c r="F1613" s="75"/>
      <c r="G1613" s="76"/>
    </row>
    <row r="1614">
      <c r="A1614" s="73"/>
      <c r="B1614" s="74"/>
      <c r="C1614" s="74"/>
      <c r="D1614" s="73"/>
      <c r="E1614" s="75"/>
      <c r="F1614" s="75"/>
      <c r="G1614" s="76"/>
    </row>
    <row r="1615">
      <c r="A1615" s="73"/>
      <c r="B1615" s="74"/>
      <c r="C1615" s="74"/>
      <c r="D1615" s="73"/>
      <c r="E1615" s="75"/>
      <c r="F1615" s="75"/>
      <c r="G1615" s="76"/>
    </row>
    <row r="1616">
      <c r="A1616" s="73"/>
      <c r="B1616" s="74"/>
      <c r="C1616" s="74"/>
      <c r="D1616" s="73"/>
      <c r="E1616" s="75"/>
      <c r="F1616" s="75"/>
      <c r="G1616" s="76"/>
    </row>
    <row r="1617">
      <c r="A1617" s="73"/>
      <c r="B1617" s="74"/>
      <c r="C1617" s="74"/>
      <c r="D1617" s="73"/>
      <c r="E1617" s="75"/>
      <c r="F1617" s="75"/>
      <c r="G1617" s="76"/>
    </row>
    <row r="1618">
      <c r="A1618" s="73"/>
      <c r="B1618" s="74"/>
      <c r="C1618" s="74"/>
      <c r="D1618" s="73"/>
      <c r="E1618" s="75"/>
      <c r="F1618" s="75"/>
      <c r="G1618" s="76"/>
    </row>
    <row r="1619">
      <c r="A1619" s="73"/>
      <c r="B1619" s="74"/>
      <c r="C1619" s="74"/>
      <c r="D1619" s="73"/>
      <c r="E1619" s="75"/>
      <c r="F1619" s="75"/>
      <c r="G1619" s="76"/>
    </row>
    <row r="1620">
      <c r="A1620" s="73"/>
      <c r="B1620" s="74"/>
      <c r="C1620" s="74"/>
      <c r="D1620" s="73"/>
      <c r="E1620" s="75"/>
      <c r="F1620" s="75"/>
      <c r="G1620" s="76"/>
    </row>
    <row r="1621">
      <c r="A1621" s="73"/>
      <c r="B1621" s="74"/>
      <c r="C1621" s="74"/>
      <c r="D1621" s="73"/>
      <c r="E1621" s="75"/>
      <c r="F1621" s="75"/>
      <c r="G1621" s="76"/>
    </row>
    <row r="1622">
      <c r="A1622" s="73"/>
      <c r="B1622" s="74"/>
      <c r="C1622" s="74"/>
      <c r="D1622" s="73"/>
      <c r="E1622" s="75"/>
      <c r="F1622" s="75"/>
      <c r="G1622" s="76"/>
    </row>
    <row r="1623">
      <c r="A1623" s="73"/>
      <c r="B1623" s="74"/>
      <c r="C1623" s="74"/>
      <c r="D1623" s="73"/>
      <c r="E1623" s="75"/>
      <c r="F1623" s="75"/>
      <c r="G1623" s="76"/>
    </row>
    <row r="1624">
      <c r="A1624" s="73"/>
      <c r="B1624" s="74"/>
      <c r="C1624" s="74"/>
      <c r="D1624" s="73"/>
      <c r="E1624" s="75"/>
      <c r="F1624" s="75"/>
      <c r="G1624" s="76"/>
    </row>
    <row r="1625">
      <c r="A1625" s="73"/>
      <c r="B1625" s="74"/>
      <c r="C1625" s="74"/>
      <c r="D1625" s="73"/>
      <c r="E1625" s="75"/>
      <c r="F1625" s="75"/>
      <c r="G1625" s="76"/>
    </row>
    <row r="1626">
      <c r="A1626" s="73"/>
      <c r="B1626" s="74"/>
      <c r="C1626" s="74"/>
      <c r="D1626" s="73"/>
      <c r="E1626" s="75"/>
      <c r="F1626" s="75"/>
      <c r="G1626" s="76"/>
    </row>
    <row r="1627">
      <c r="A1627" s="73"/>
      <c r="B1627" s="74"/>
      <c r="C1627" s="74"/>
      <c r="D1627" s="73"/>
      <c r="E1627" s="75"/>
      <c r="F1627" s="75"/>
      <c r="G1627" s="76"/>
    </row>
    <row r="1628">
      <c r="A1628" s="73"/>
      <c r="B1628" s="74"/>
      <c r="C1628" s="74"/>
      <c r="D1628" s="73"/>
      <c r="E1628" s="75"/>
      <c r="F1628" s="75"/>
      <c r="G1628" s="76"/>
    </row>
    <row r="1629">
      <c r="A1629" s="73"/>
      <c r="B1629" s="74"/>
      <c r="C1629" s="74"/>
      <c r="D1629" s="73"/>
      <c r="E1629" s="75"/>
      <c r="F1629" s="75"/>
      <c r="G1629" s="76"/>
    </row>
    <row r="1630">
      <c r="A1630" s="73"/>
      <c r="B1630" s="74"/>
      <c r="C1630" s="74"/>
      <c r="D1630" s="73"/>
      <c r="E1630" s="75"/>
      <c r="F1630" s="75"/>
      <c r="G1630" s="76"/>
    </row>
    <row r="1631">
      <c r="A1631" s="73"/>
      <c r="B1631" s="74"/>
      <c r="C1631" s="74"/>
      <c r="D1631" s="73"/>
      <c r="E1631" s="75"/>
      <c r="F1631" s="75"/>
      <c r="G1631" s="76"/>
    </row>
    <row r="1632">
      <c r="A1632" s="73"/>
      <c r="B1632" s="74"/>
      <c r="C1632" s="74"/>
      <c r="D1632" s="73"/>
      <c r="E1632" s="75"/>
      <c r="F1632" s="75"/>
      <c r="G1632" s="76"/>
    </row>
    <row r="1633">
      <c r="A1633" s="73"/>
      <c r="B1633" s="74"/>
      <c r="C1633" s="74"/>
      <c r="D1633" s="73"/>
      <c r="E1633" s="75"/>
      <c r="F1633" s="75"/>
      <c r="G1633" s="76"/>
    </row>
    <row r="1634">
      <c r="A1634" s="73"/>
      <c r="B1634" s="74"/>
      <c r="C1634" s="74"/>
      <c r="D1634" s="73"/>
      <c r="E1634" s="75"/>
      <c r="F1634" s="75"/>
      <c r="G1634" s="76"/>
    </row>
    <row r="1635">
      <c r="A1635" s="73"/>
      <c r="B1635" s="74"/>
      <c r="C1635" s="74"/>
      <c r="D1635" s="73"/>
      <c r="E1635" s="75"/>
      <c r="F1635" s="75"/>
      <c r="G1635" s="76"/>
    </row>
    <row r="1636">
      <c r="A1636" s="73"/>
      <c r="B1636" s="74"/>
      <c r="C1636" s="74"/>
      <c r="D1636" s="73"/>
      <c r="E1636" s="75"/>
      <c r="F1636" s="75"/>
      <c r="G1636" s="76"/>
    </row>
    <row r="1637">
      <c r="A1637" s="73"/>
      <c r="B1637" s="74"/>
      <c r="C1637" s="74"/>
      <c r="D1637" s="73"/>
      <c r="E1637" s="75"/>
      <c r="F1637" s="75"/>
      <c r="G1637" s="76"/>
    </row>
    <row r="1638">
      <c r="A1638" s="73"/>
      <c r="B1638" s="74"/>
      <c r="C1638" s="74"/>
      <c r="D1638" s="73"/>
      <c r="E1638" s="75"/>
      <c r="F1638" s="75"/>
      <c r="G1638" s="76"/>
    </row>
    <row r="1639">
      <c r="A1639" s="73"/>
      <c r="B1639" s="74"/>
      <c r="C1639" s="74"/>
      <c r="D1639" s="73"/>
      <c r="E1639" s="75"/>
      <c r="F1639" s="75"/>
      <c r="G1639" s="76"/>
    </row>
    <row r="1640">
      <c r="A1640" s="73"/>
      <c r="B1640" s="74"/>
      <c r="C1640" s="74"/>
      <c r="D1640" s="73"/>
      <c r="E1640" s="75"/>
      <c r="F1640" s="75"/>
      <c r="G1640" s="76"/>
    </row>
    <row r="1641">
      <c r="A1641" s="73"/>
      <c r="B1641" s="74"/>
      <c r="C1641" s="74"/>
      <c r="D1641" s="73"/>
      <c r="E1641" s="75"/>
      <c r="F1641" s="75"/>
      <c r="G1641" s="76"/>
    </row>
    <row r="1642">
      <c r="A1642" s="73"/>
      <c r="B1642" s="74"/>
      <c r="C1642" s="74"/>
      <c r="D1642" s="73"/>
      <c r="E1642" s="75"/>
      <c r="F1642" s="75"/>
      <c r="G1642" s="76"/>
    </row>
    <row r="1643">
      <c r="A1643" s="73"/>
      <c r="B1643" s="74"/>
      <c r="C1643" s="74"/>
      <c r="D1643" s="73"/>
      <c r="E1643" s="75"/>
      <c r="F1643" s="75"/>
      <c r="G1643" s="76"/>
    </row>
    <row r="1644">
      <c r="A1644" s="73"/>
      <c r="B1644" s="74"/>
      <c r="C1644" s="74"/>
      <c r="D1644" s="73"/>
      <c r="E1644" s="75"/>
      <c r="F1644" s="75"/>
      <c r="G1644" s="76"/>
    </row>
    <row r="1645">
      <c r="A1645" s="73"/>
      <c r="B1645" s="74"/>
      <c r="C1645" s="74"/>
      <c r="D1645" s="73"/>
      <c r="E1645" s="75"/>
      <c r="F1645" s="75"/>
      <c r="G1645" s="76"/>
    </row>
    <row r="1646">
      <c r="A1646" s="73"/>
      <c r="B1646" s="74"/>
      <c r="C1646" s="74"/>
      <c r="D1646" s="73"/>
      <c r="E1646" s="75"/>
      <c r="F1646" s="75"/>
      <c r="G1646" s="76"/>
    </row>
    <row r="1647">
      <c r="A1647" s="73"/>
      <c r="B1647" s="74"/>
      <c r="C1647" s="74"/>
      <c r="D1647" s="73"/>
      <c r="E1647" s="75"/>
      <c r="F1647" s="75"/>
      <c r="G1647" s="76"/>
    </row>
    <row r="1648">
      <c r="A1648" s="73"/>
      <c r="B1648" s="74"/>
      <c r="C1648" s="74"/>
      <c r="D1648" s="73"/>
      <c r="E1648" s="75"/>
      <c r="F1648" s="75"/>
      <c r="G1648" s="76"/>
    </row>
    <row r="1649">
      <c r="A1649" s="73"/>
      <c r="B1649" s="74"/>
      <c r="C1649" s="74"/>
      <c r="D1649" s="73"/>
      <c r="E1649" s="75"/>
      <c r="F1649" s="75"/>
      <c r="G1649" s="76"/>
    </row>
    <row r="1650">
      <c r="A1650" s="73"/>
      <c r="B1650" s="74"/>
      <c r="C1650" s="74"/>
      <c r="D1650" s="73"/>
      <c r="E1650" s="75"/>
      <c r="F1650" s="75"/>
      <c r="G1650" s="76"/>
    </row>
    <row r="1651">
      <c r="A1651" s="73"/>
      <c r="B1651" s="74"/>
      <c r="C1651" s="74"/>
      <c r="D1651" s="73"/>
      <c r="E1651" s="75"/>
      <c r="F1651" s="75"/>
      <c r="G1651" s="76"/>
    </row>
    <row r="1652">
      <c r="A1652" s="73"/>
      <c r="B1652" s="74"/>
      <c r="C1652" s="74"/>
      <c r="D1652" s="73"/>
      <c r="E1652" s="75"/>
      <c r="F1652" s="75"/>
      <c r="G1652" s="76"/>
    </row>
    <row r="1653">
      <c r="A1653" s="73"/>
      <c r="B1653" s="74"/>
      <c r="C1653" s="74"/>
      <c r="D1653" s="73"/>
      <c r="E1653" s="75"/>
      <c r="F1653" s="75"/>
      <c r="G1653" s="76"/>
    </row>
    <row r="1654">
      <c r="A1654" s="73"/>
      <c r="B1654" s="74"/>
      <c r="C1654" s="74"/>
      <c r="D1654" s="73"/>
      <c r="E1654" s="75"/>
      <c r="F1654" s="75"/>
      <c r="G1654" s="76"/>
    </row>
    <row r="1655">
      <c r="A1655" s="73"/>
      <c r="B1655" s="74"/>
      <c r="C1655" s="74"/>
      <c r="D1655" s="73"/>
      <c r="E1655" s="75"/>
      <c r="F1655" s="75"/>
      <c r="G1655" s="76"/>
    </row>
    <row r="1656">
      <c r="A1656" s="73"/>
      <c r="B1656" s="74"/>
      <c r="C1656" s="74"/>
      <c r="D1656" s="73"/>
      <c r="E1656" s="75"/>
      <c r="F1656" s="75"/>
      <c r="G1656" s="76"/>
    </row>
    <row r="1657">
      <c r="A1657" s="73"/>
      <c r="B1657" s="74"/>
      <c r="C1657" s="74"/>
      <c r="D1657" s="73"/>
      <c r="E1657" s="75"/>
      <c r="F1657" s="75"/>
      <c r="G1657" s="76"/>
    </row>
    <row r="1658">
      <c r="A1658" s="73"/>
      <c r="B1658" s="74"/>
      <c r="C1658" s="74"/>
      <c r="D1658" s="73"/>
      <c r="E1658" s="75"/>
      <c r="F1658" s="75"/>
      <c r="G1658" s="76"/>
    </row>
    <row r="1659">
      <c r="A1659" s="73"/>
      <c r="B1659" s="74"/>
      <c r="C1659" s="74"/>
      <c r="D1659" s="73"/>
      <c r="E1659" s="75"/>
      <c r="F1659" s="75"/>
      <c r="G1659" s="76"/>
    </row>
    <row r="1660">
      <c r="A1660" s="73"/>
      <c r="B1660" s="74"/>
      <c r="C1660" s="74"/>
      <c r="D1660" s="73"/>
      <c r="E1660" s="75"/>
      <c r="F1660" s="75"/>
      <c r="G1660" s="76"/>
    </row>
    <row r="1661">
      <c r="A1661" s="73"/>
      <c r="B1661" s="74"/>
      <c r="C1661" s="74"/>
      <c r="D1661" s="73"/>
      <c r="E1661" s="75"/>
      <c r="F1661" s="75"/>
      <c r="G1661" s="76"/>
    </row>
    <row r="1662">
      <c r="A1662" s="73"/>
      <c r="B1662" s="74"/>
      <c r="C1662" s="74"/>
      <c r="D1662" s="73"/>
      <c r="E1662" s="75"/>
      <c r="F1662" s="75"/>
      <c r="G1662" s="76"/>
    </row>
    <row r="1663">
      <c r="A1663" s="73"/>
      <c r="B1663" s="74"/>
      <c r="C1663" s="74"/>
      <c r="D1663" s="73"/>
      <c r="E1663" s="75"/>
      <c r="F1663" s="75"/>
      <c r="G1663" s="76"/>
    </row>
    <row r="1664">
      <c r="A1664" s="73"/>
      <c r="B1664" s="74"/>
      <c r="C1664" s="74"/>
      <c r="D1664" s="73"/>
      <c r="E1664" s="75"/>
      <c r="F1664" s="75"/>
      <c r="G1664" s="76"/>
    </row>
    <row r="1665">
      <c r="A1665" s="73"/>
      <c r="B1665" s="74"/>
      <c r="C1665" s="74"/>
      <c r="D1665" s="73"/>
      <c r="E1665" s="75"/>
      <c r="F1665" s="75"/>
      <c r="G1665" s="76"/>
    </row>
    <row r="1666">
      <c r="A1666" s="73"/>
      <c r="B1666" s="74"/>
      <c r="C1666" s="74"/>
      <c r="D1666" s="73"/>
      <c r="E1666" s="75"/>
      <c r="F1666" s="75"/>
      <c r="G1666" s="76"/>
    </row>
    <row r="1667">
      <c r="A1667" s="73"/>
      <c r="B1667" s="74"/>
      <c r="C1667" s="74"/>
      <c r="D1667" s="73"/>
      <c r="E1667" s="75"/>
      <c r="F1667" s="75"/>
      <c r="G1667" s="76"/>
    </row>
    <row r="1668">
      <c r="A1668" s="73"/>
      <c r="B1668" s="74"/>
      <c r="C1668" s="74"/>
      <c r="D1668" s="73"/>
      <c r="E1668" s="75"/>
      <c r="F1668" s="75"/>
      <c r="G1668" s="76"/>
    </row>
    <row r="1669">
      <c r="A1669" s="73"/>
      <c r="B1669" s="74"/>
      <c r="C1669" s="74"/>
      <c r="D1669" s="73"/>
      <c r="E1669" s="75"/>
      <c r="F1669" s="75"/>
      <c r="G1669" s="76"/>
    </row>
    <row r="1670">
      <c r="A1670" s="73"/>
      <c r="B1670" s="74"/>
      <c r="C1670" s="74"/>
      <c r="D1670" s="73"/>
      <c r="E1670" s="75"/>
      <c r="F1670" s="75"/>
      <c r="G1670" s="76"/>
    </row>
    <row r="1671">
      <c r="A1671" s="73"/>
      <c r="B1671" s="74"/>
      <c r="C1671" s="74"/>
      <c r="D1671" s="73"/>
      <c r="E1671" s="75"/>
      <c r="F1671" s="75"/>
      <c r="G1671" s="76"/>
    </row>
    <row r="1672">
      <c r="A1672" s="73"/>
      <c r="B1672" s="74"/>
      <c r="C1672" s="74"/>
      <c r="D1672" s="73"/>
      <c r="E1672" s="75"/>
      <c r="F1672" s="75"/>
      <c r="G1672" s="76"/>
    </row>
    <row r="1673">
      <c r="A1673" s="73"/>
      <c r="B1673" s="74"/>
      <c r="C1673" s="74"/>
      <c r="D1673" s="73"/>
      <c r="E1673" s="75"/>
      <c r="F1673" s="75"/>
      <c r="G1673" s="76"/>
    </row>
    <row r="1674">
      <c r="A1674" s="73"/>
      <c r="B1674" s="74"/>
      <c r="C1674" s="74"/>
      <c r="D1674" s="73"/>
      <c r="E1674" s="75"/>
      <c r="F1674" s="75"/>
      <c r="G1674" s="76"/>
    </row>
    <row r="1675">
      <c r="A1675" s="73"/>
      <c r="B1675" s="74"/>
      <c r="C1675" s="74"/>
      <c r="D1675" s="73"/>
      <c r="E1675" s="75"/>
      <c r="F1675" s="75"/>
      <c r="G1675" s="76"/>
    </row>
    <row r="1676">
      <c r="A1676" s="73"/>
      <c r="B1676" s="74"/>
      <c r="C1676" s="74"/>
      <c r="D1676" s="73"/>
      <c r="E1676" s="75"/>
      <c r="F1676" s="75"/>
      <c r="G1676" s="76"/>
    </row>
    <row r="1677">
      <c r="A1677" s="73"/>
      <c r="B1677" s="74"/>
      <c r="C1677" s="74"/>
      <c r="D1677" s="73"/>
      <c r="E1677" s="75"/>
      <c r="F1677" s="75"/>
      <c r="G1677" s="76"/>
    </row>
    <row r="1678">
      <c r="A1678" s="73"/>
      <c r="B1678" s="74"/>
      <c r="C1678" s="74"/>
      <c r="D1678" s="73"/>
      <c r="E1678" s="75"/>
      <c r="F1678" s="75"/>
      <c r="G1678" s="76"/>
    </row>
    <row r="1679">
      <c r="A1679" s="73"/>
      <c r="B1679" s="74"/>
      <c r="C1679" s="74"/>
      <c r="D1679" s="73"/>
      <c r="E1679" s="75"/>
      <c r="F1679" s="75"/>
      <c r="G1679" s="76"/>
    </row>
    <row r="1680">
      <c r="A1680" s="73"/>
      <c r="B1680" s="74"/>
      <c r="C1680" s="74"/>
      <c r="D1680" s="73"/>
      <c r="E1680" s="75"/>
      <c r="F1680" s="75"/>
      <c r="G1680" s="76"/>
    </row>
    <row r="1681">
      <c r="A1681" s="73"/>
      <c r="B1681" s="74"/>
      <c r="C1681" s="74"/>
      <c r="D1681" s="73"/>
      <c r="E1681" s="75"/>
      <c r="F1681" s="75"/>
      <c r="G1681" s="76"/>
    </row>
    <row r="1682">
      <c r="A1682" s="73"/>
      <c r="B1682" s="74"/>
      <c r="C1682" s="74"/>
      <c r="D1682" s="73"/>
      <c r="E1682" s="75"/>
      <c r="F1682" s="75"/>
      <c r="G1682" s="76"/>
    </row>
    <row r="1683">
      <c r="A1683" s="73"/>
      <c r="B1683" s="74"/>
      <c r="C1683" s="74"/>
      <c r="D1683" s="73"/>
      <c r="E1683" s="75"/>
      <c r="F1683" s="75"/>
      <c r="G1683" s="76"/>
    </row>
    <row r="1684">
      <c r="A1684" s="73"/>
      <c r="B1684" s="74"/>
      <c r="C1684" s="74"/>
      <c r="D1684" s="73"/>
      <c r="E1684" s="75"/>
      <c r="F1684" s="75"/>
      <c r="G1684" s="76"/>
    </row>
    <row r="1685">
      <c r="A1685" s="73"/>
      <c r="B1685" s="74"/>
      <c r="C1685" s="74"/>
      <c r="D1685" s="73"/>
      <c r="E1685" s="75"/>
      <c r="F1685" s="75"/>
      <c r="G1685" s="76"/>
    </row>
    <row r="1686">
      <c r="A1686" s="73"/>
      <c r="B1686" s="74"/>
      <c r="C1686" s="74"/>
      <c r="D1686" s="73"/>
      <c r="E1686" s="75"/>
      <c r="F1686" s="75"/>
      <c r="G1686" s="76"/>
    </row>
    <row r="1687">
      <c r="A1687" s="73"/>
      <c r="B1687" s="74"/>
      <c r="C1687" s="74"/>
      <c r="D1687" s="73"/>
      <c r="E1687" s="75"/>
      <c r="F1687" s="75"/>
      <c r="G1687" s="76"/>
    </row>
    <row r="1688">
      <c r="A1688" s="73"/>
      <c r="B1688" s="74"/>
      <c r="C1688" s="74"/>
      <c r="D1688" s="73"/>
      <c r="E1688" s="75"/>
      <c r="F1688" s="75"/>
      <c r="G1688" s="76"/>
    </row>
    <row r="1689">
      <c r="A1689" s="73"/>
      <c r="B1689" s="74"/>
      <c r="C1689" s="74"/>
      <c r="D1689" s="73"/>
      <c r="E1689" s="75"/>
      <c r="F1689" s="75"/>
      <c r="G1689" s="76"/>
    </row>
    <row r="1690">
      <c r="A1690" s="73"/>
      <c r="B1690" s="74"/>
      <c r="C1690" s="74"/>
      <c r="D1690" s="73"/>
      <c r="E1690" s="75"/>
      <c r="F1690" s="75"/>
      <c r="G1690" s="76"/>
    </row>
    <row r="1691">
      <c r="A1691" s="73"/>
      <c r="B1691" s="74"/>
      <c r="C1691" s="74"/>
      <c r="D1691" s="73"/>
      <c r="E1691" s="75"/>
      <c r="F1691" s="75"/>
      <c r="G1691" s="76"/>
    </row>
    <row r="1692">
      <c r="A1692" s="73"/>
      <c r="B1692" s="74"/>
      <c r="C1692" s="74"/>
      <c r="D1692" s="73"/>
      <c r="E1692" s="75"/>
      <c r="F1692" s="75"/>
      <c r="G1692" s="76"/>
    </row>
    <row r="1693">
      <c r="A1693" s="73"/>
      <c r="B1693" s="74"/>
      <c r="C1693" s="74"/>
      <c r="D1693" s="73"/>
      <c r="E1693" s="75"/>
      <c r="F1693" s="75"/>
      <c r="G1693" s="76"/>
    </row>
    <row r="1694">
      <c r="A1694" s="73"/>
      <c r="B1694" s="74"/>
      <c r="C1694" s="74"/>
      <c r="D1694" s="73"/>
      <c r="E1694" s="75"/>
      <c r="F1694" s="75"/>
      <c r="G1694" s="76"/>
    </row>
    <row r="1695">
      <c r="A1695" s="73"/>
      <c r="B1695" s="74"/>
      <c r="C1695" s="74"/>
      <c r="D1695" s="73"/>
      <c r="E1695" s="75"/>
      <c r="F1695" s="75"/>
      <c r="G1695" s="76"/>
    </row>
    <row r="1696">
      <c r="A1696" s="73"/>
      <c r="B1696" s="74"/>
      <c r="C1696" s="74"/>
      <c r="D1696" s="73"/>
      <c r="E1696" s="75"/>
      <c r="F1696" s="75"/>
      <c r="G1696" s="76"/>
    </row>
    <row r="1697">
      <c r="A1697" s="73"/>
      <c r="B1697" s="74"/>
      <c r="C1697" s="74"/>
      <c r="D1697" s="73"/>
      <c r="E1697" s="75"/>
      <c r="F1697" s="75"/>
      <c r="G1697" s="76"/>
    </row>
    <row r="1698">
      <c r="A1698" s="73"/>
      <c r="B1698" s="74"/>
      <c r="C1698" s="74"/>
      <c r="D1698" s="73"/>
      <c r="E1698" s="75"/>
      <c r="F1698" s="75"/>
      <c r="G1698" s="76"/>
    </row>
    <row r="1699">
      <c r="A1699" s="73"/>
      <c r="B1699" s="74"/>
      <c r="C1699" s="74"/>
      <c r="D1699" s="73"/>
      <c r="E1699" s="75"/>
      <c r="F1699" s="75"/>
      <c r="G1699" s="76"/>
    </row>
    <row r="1700">
      <c r="A1700" s="73"/>
      <c r="B1700" s="74"/>
      <c r="C1700" s="74"/>
      <c r="D1700" s="73"/>
      <c r="E1700" s="75"/>
      <c r="F1700" s="75"/>
      <c r="G1700" s="76"/>
    </row>
    <row r="1701">
      <c r="A1701" s="73"/>
      <c r="B1701" s="74"/>
      <c r="C1701" s="74"/>
      <c r="D1701" s="73"/>
      <c r="E1701" s="75"/>
      <c r="F1701" s="75"/>
      <c r="G1701" s="76"/>
    </row>
    <row r="1702">
      <c r="A1702" s="73"/>
      <c r="B1702" s="74"/>
      <c r="C1702" s="74"/>
      <c r="D1702" s="73"/>
      <c r="E1702" s="75"/>
      <c r="F1702" s="75"/>
      <c r="G1702" s="76"/>
    </row>
    <row r="1703">
      <c r="A1703" s="73"/>
      <c r="B1703" s="74"/>
      <c r="C1703" s="74"/>
      <c r="D1703" s="73"/>
      <c r="E1703" s="75"/>
      <c r="F1703" s="75"/>
      <c r="G1703" s="76"/>
    </row>
    <row r="1704">
      <c r="A1704" s="73"/>
      <c r="B1704" s="74"/>
      <c r="C1704" s="74"/>
      <c r="D1704" s="73"/>
      <c r="E1704" s="75"/>
      <c r="F1704" s="75"/>
      <c r="G1704" s="76"/>
    </row>
    <row r="1705">
      <c r="A1705" s="73"/>
      <c r="B1705" s="74"/>
      <c r="C1705" s="74"/>
      <c r="D1705" s="73"/>
      <c r="E1705" s="75"/>
      <c r="F1705" s="75"/>
      <c r="G1705" s="76"/>
    </row>
    <row r="1706">
      <c r="A1706" s="73"/>
      <c r="B1706" s="74"/>
      <c r="C1706" s="74"/>
      <c r="D1706" s="73"/>
      <c r="E1706" s="75"/>
      <c r="F1706" s="75"/>
      <c r="G1706" s="76"/>
    </row>
    <row r="1707">
      <c r="A1707" s="73"/>
      <c r="B1707" s="74"/>
      <c r="C1707" s="74"/>
      <c r="D1707" s="73"/>
      <c r="E1707" s="75"/>
      <c r="F1707" s="75"/>
      <c r="G1707" s="76"/>
    </row>
    <row r="1708">
      <c r="A1708" s="73"/>
      <c r="B1708" s="74"/>
      <c r="C1708" s="74"/>
      <c r="D1708" s="73"/>
      <c r="E1708" s="75"/>
      <c r="F1708" s="75"/>
      <c r="G1708" s="76"/>
    </row>
    <row r="1709">
      <c r="A1709" s="73"/>
      <c r="B1709" s="74"/>
      <c r="C1709" s="74"/>
      <c r="D1709" s="73"/>
      <c r="E1709" s="75"/>
      <c r="F1709" s="75"/>
      <c r="G1709" s="76"/>
    </row>
    <row r="1710">
      <c r="A1710" s="73"/>
      <c r="B1710" s="74"/>
      <c r="C1710" s="74"/>
      <c r="D1710" s="73"/>
      <c r="E1710" s="75"/>
      <c r="F1710" s="75"/>
      <c r="G1710" s="76"/>
    </row>
    <row r="1711">
      <c r="A1711" s="73"/>
      <c r="B1711" s="74"/>
      <c r="C1711" s="74"/>
      <c r="D1711" s="73"/>
      <c r="E1711" s="75"/>
      <c r="F1711" s="75"/>
      <c r="G1711" s="76"/>
    </row>
    <row r="1712">
      <c r="A1712" s="73"/>
      <c r="B1712" s="74"/>
      <c r="C1712" s="74"/>
      <c r="D1712" s="73"/>
      <c r="E1712" s="75"/>
      <c r="F1712" s="75"/>
      <c r="G1712" s="76"/>
    </row>
    <row r="1713">
      <c r="A1713" s="73"/>
      <c r="B1713" s="74"/>
      <c r="C1713" s="74"/>
      <c r="D1713" s="73"/>
      <c r="E1713" s="75"/>
      <c r="F1713" s="75"/>
      <c r="G1713" s="76"/>
    </row>
    <row r="1714">
      <c r="A1714" s="73"/>
      <c r="B1714" s="74"/>
      <c r="C1714" s="74"/>
      <c r="D1714" s="73"/>
      <c r="E1714" s="75"/>
      <c r="F1714" s="75"/>
      <c r="G1714" s="76"/>
    </row>
    <row r="1715">
      <c r="A1715" s="73"/>
      <c r="B1715" s="74"/>
      <c r="C1715" s="74"/>
      <c r="D1715" s="73"/>
      <c r="E1715" s="75"/>
      <c r="F1715" s="75"/>
      <c r="G1715" s="76"/>
    </row>
    <row r="1716">
      <c r="A1716" s="73"/>
      <c r="B1716" s="74"/>
      <c r="C1716" s="74"/>
      <c r="D1716" s="73"/>
      <c r="E1716" s="75"/>
      <c r="F1716" s="75"/>
      <c r="G1716" s="76"/>
    </row>
    <row r="1717">
      <c r="A1717" s="73"/>
      <c r="B1717" s="74"/>
      <c r="C1717" s="74"/>
      <c r="D1717" s="73"/>
      <c r="E1717" s="75"/>
      <c r="F1717" s="75"/>
      <c r="G1717" s="76"/>
    </row>
    <row r="1718">
      <c r="A1718" s="73"/>
      <c r="B1718" s="74"/>
      <c r="C1718" s="74"/>
      <c r="D1718" s="73"/>
      <c r="E1718" s="75"/>
      <c r="F1718" s="75"/>
      <c r="G1718" s="76"/>
    </row>
    <row r="1719">
      <c r="A1719" s="73"/>
      <c r="B1719" s="74"/>
      <c r="C1719" s="74"/>
      <c r="D1719" s="73"/>
      <c r="E1719" s="75"/>
      <c r="F1719" s="75"/>
      <c r="G1719" s="76"/>
    </row>
    <row r="1720">
      <c r="A1720" s="73"/>
      <c r="B1720" s="74"/>
      <c r="C1720" s="74"/>
      <c r="D1720" s="73"/>
      <c r="E1720" s="75"/>
      <c r="F1720" s="75"/>
      <c r="G1720" s="76"/>
    </row>
    <row r="1721">
      <c r="A1721" s="73"/>
      <c r="B1721" s="74"/>
      <c r="C1721" s="74"/>
      <c r="D1721" s="73"/>
      <c r="E1721" s="75"/>
      <c r="F1721" s="75"/>
      <c r="G1721" s="76"/>
    </row>
    <row r="1722">
      <c r="A1722" s="73"/>
      <c r="B1722" s="74"/>
      <c r="C1722" s="74"/>
      <c r="D1722" s="73"/>
      <c r="E1722" s="75"/>
      <c r="F1722" s="75"/>
      <c r="G1722" s="76"/>
    </row>
    <row r="1723">
      <c r="A1723" s="73"/>
      <c r="B1723" s="74"/>
      <c r="C1723" s="74"/>
      <c r="D1723" s="73"/>
      <c r="E1723" s="75"/>
      <c r="F1723" s="75"/>
      <c r="G1723" s="76"/>
    </row>
    <row r="1724">
      <c r="A1724" s="73"/>
      <c r="B1724" s="74"/>
      <c r="C1724" s="74"/>
      <c r="D1724" s="73"/>
      <c r="E1724" s="75"/>
      <c r="F1724" s="75"/>
      <c r="G1724" s="76"/>
    </row>
    <row r="1725">
      <c r="A1725" s="73"/>
      <c r="B1725" s="74"/>
      <c r="C1725" s="74"/>
      <c r="D1725" s="73"/>
      <c r="E1725" s="75"/>
      <c r="F1725" s="75"/>
      <c r="G1725" s="76"/>
    </row>
    <row r="1726">
      <c r="A1726" s="73"/>
      <c r="B1726" s="74"/>
      <c r="C1726" s="74"/>
      <c r="D1726" s="73"/>
      <c r="E1726" s="75"/>
      <c r="F1726" s="75"/>
      <c r="G1726" s="76"/>
    </row>
    <row r="1727">
      <c r="A1727" s="73"/>
      <c r="B1727" s="74"/>
      <c r="C1727" s="74"/>
      <c r="D1727" s="73"/>
      <c r="E1727" s="75"/>
      <c r="F1727" s="75"/>
      <c r="G1727" s="76"/>
    </row>
    <row r="1728">
      <c r="A1728" s="73"/>
      <c r="B1728" s="74"/>
      <c r="C1728" s="74"/>
      <c r="D1728" s="73"/>
      <c r="E1728" s="75"/>
      <c r="F1728" s="75"/>
      <c r="G1728" s="76"/>
    </row>
    <row r="1729">
      <c r="A1729" s="73"/>
      <c r="B1729" s="74"/>
      <c r="C1729" s="74"/>
      <c r="D1729" s="73"/>
      <c r="E1729" s="75"/>
      <c r="F1729" s="75"/>
      <c r="G1729" s="76"/>
    </row>
    <row r="1730">
      <c r="A1730" s="73"/>
      <c r="B1730" s="74"/>
      <c r="C1730" s="74"/>
      <c r="D1730" s="73"/>
      <c r="E1730" s="75"/>
      <c r="F1730" s="75"/>
      <c r="G1730" s="76"/>
    </row>
    <row r="1731">
      <c r="A1731" s="73"/>
      <c r="B1731" s="74"/>
      <c r="C1731" s="74"/>
      <c r="D1731" s="73"/>
      <c r="E1731" s="75"/>
      <c r="F1731" s="75"/>
      <c r="G1731" s="76"/>
    </row>
    <row r="1732">
      <c r="A1732" s="73"/>
      <c r="B1732" s="74"/>
      <c r="C1732" s="74"/>
      <c r="D1732" s="73"/>
      <c r="E1732" s="75"/>
      <c r="F1732" s="75"/>
      <c r="G1732" s="76"/>
    </row>
    <row r="1733">
      <c r="A1733" s="73"/>
      <c r="B1733" s="74"/>
      <c r="C1733" s="74"/>
      <c r="D1733" s="73"/>
      <c r="E1733" s="75"/>
      <c r="F1733" s="75"/>
      <c r="G1733" s="76"/>
    </row>
    <row r="1734">
      <c r="A1734" s="73"/>
      <c r="B1734" s="74"/>
      <c r="C1734" s="74"/>
      <c r="D1734" s="73"/>
      <c r="E1734" s="75"/>
      <c r="F1734" s="75"/>
      <c r="G1734" s="76"/>
    </row>
    <row r="1735">
      <c r="A1735" s="73"/>
      <c r="B1735" s="74"/>
      <c r="C1735" s="74"/>
      <c r="D1735" s="73"/>
      <c r="E1735" s="75"/>
      <c r="F1735" s="75"/>
      <c r="G1735" s="76"/>
    </row>
    <row r="1736">
      <c r="A1736" s="73"/>
      <c r="B1736" s="74"/>
      <c r="C1736" s="74"/>
      <c r="D1736" s="73"/>
      <c r="E1736" s="75"/>
      <c r="F1736" s="75"/>
      <c r="G1736" s="76"/>
    </row>
    <row r="1737">
      <c r="A1737" s="73"/>
      <c r="B1737" s="74"/>
      <c r="C1737" s="74"/>
      <c r="D1737" s="73"/>
      <c r="E1737" s="75"/>
      <c r="F1737" s="75"/>
      <c r="G1737" s="76"/>
    </row>
    <row r="1738">
      <c r="A1738" s="73"/>
      <c r="B1738" s="74"/>
      <c r="C1738" s="74"/>
      <c r="D1738" s="73"/>
      <c r="E1738" s="75"/>
      <c r="F1738" s="75"/>
      <c r="G1738" s="76"/>
    </row>
    <row r="1739">
      <c r="A1739" s="73"/>
      <c r="B1739" s="74"/>
      <c r="C1739" s="74"/>
      <c r="D1739" s="73"/>
      <c r="E1739" s="75"/>
      <c r="F1739" s="75"/>
      <c r="G1739" s="76"/>
    </row>
    <row r="1740">
      <c r="A1740" s="73"/>
      <c r="B1740" s="74"/>
      <c r="C1740" s="74"/>
      <c r="D1740" s="73"/>
      <c r="E1740" s="75"/>
      <c r="F1740" s="75"/>
      <c r="G1740" s="76"/>
    </row>
    <row r="1741">
      <c r="A1741" s="73"/>
      <c r="B1741" s="74"/>
      <c r="C1741" s="74"/>
      <c r="D1741" s="73"/>
      <c r="E1741" s="75"/>
      <c r="F1741" s="75"/>
      <c r="G1741" s="76"/>
    </row>
    <row r="1742">
      <c r="A1742" s="73"/>
      <c r="B1742" s="74"/>
      <c r="C1742" s="74"/>
      <c r="D1742" s="73"/>
      <c r="E1742" s="75"/>
      <c r="F1742" s="75"/>
      <c r="G1742" s="76"/>
    </row>
    <row r="1743">
      <c r="A1743" s="73"/>
      <c r="B1743" s="74"/>
      <c r="C1743" s="74"/>
      <c r="D1743" s="73"/>
      <c r="E1743" s="75"/>
      <c r="F1743" s="75"/>
      <c r="G1743" s="76"/>
    </row>
    <row r="1744">
      <c r="A1744" s="73"/>
      <c r="B1744" s="74"/>
      <c r="C1744" s="74"/>
      <c r="D1744" s="73"/>
      <c r="E1744" s="75"/>
      <c r="F1744" s="75"/>
      <c r="G1744" s="76"/>
    </row>
    <row r="1745">
      <c r="A1745" s="73"/>
      <c r="B1745" s="74"/>
      <c r="C1745" s="74"/>
      <c r="D1745" s="73"/>
      <c r="E1745" s="75"/>
      <c r="F1745" s="75"/>
      <c r="G1745" s="76"/>
    </row>
    <row r="1746">
      <c r="A1746" s="73"/>
      <c r="B1746" s="74"/>
      <c r="C1746" s="74"/>
      <c r="D1746" s="73"/>
      <c r="E1746" s="75"/>
      <c r="F1746" s="75"/>
      <c r="G1746" s="76"/>
    </row>
    <row r="1747">
      <c r="A1747" s="73"/>
      <c r="B1747" s="74"/>
      <c r="C1747" s="74"/>
      <c r="D1747" s="73"/>
      <c r="E1747" s="75"/>
      <c r="F1747" s="75"/>
      <c r="G1747" s="76"/>
    </row>
    <row r="1748">
      <c r="A1748" s="73"/>
      <c r="B1748" s="74"/>
      <c r="C1748" s="74"/>
      <c r="D1748" s="73"/>
      <c r="E1748" s="75"/>
      <c r="F1748" s="75"/>
      <c r="G1748" s="76"/>
    </row>
    <row r="1749">
      <c r="A1749" s="73"/>
      <c r="B1749" s="74"/>
      <c r="C1749" s="74"/>
      <c r="D1749" s="73"/>
      <c r="E1749" s="75"/>
      <c r="F1749" s="75"/>
      <c r="G1749" s="76"/>
    </row>
    <row r="1750">
      <c r="A1750" s="73"/>
      <c r="B1750" s="74"/>
      <c r="C1750" s="74"/>
      <c r="D1750" s="73"/>
      <c r="E1750" s="75"/>
      <c r="F1750" s="75"/>
      <c r="G1750" s="76"/>
    </row>
    <row r="1751">
      <c r="A1751" s="73"/>
      <c r="B1751" s="74"/>
      <c r="C1751" s="74"/>
      <c r="D1751" s="73"/>
      <c r="E1751" s="75"/>
      <c r="F1751" s="75"/>
      <c r="G1751" s="76"/>
    </row>
    <row r="1752">
      <c r="A1752" s="73"/>
      <c r="B1752" s="74"/>
      <c r="C1752" s="74"/>
      <c r="D1752" s="73"/>
      <c r="E1752" s="75"/>
      <c r="F1752" s="75"/>
      <c r="G1752" s="76"/>
    </row>
    <row r="1753">
      <c r="A1753" s="73"/>
      <c r="B1753" s="74"/>
      <c r="C1753" s="74"/>
      <c r="D1753" s="73"/>
      <c r="E1753" s="75"/>
      <c r="F1753" s="75"/>
      <c r="G1753" s="76"/>
    </row>
    <row r="1754">
      <c r="A1754" s="73"/>
      <c r="B1754" s="74"/>
      <c r="C1754" s="74"/>
      <c r="D1754" s="73"/>
      <c r="E1754" s="75"/>
      <c r="F1754" s="75"/>
      <c r="G1754" s="76"/>
    </row>
    <row r="1755">
      <c r="A1755" s="73"/>
      <c r="B1755" s="74"/>
      <c r="C1755" s="74"/>
      <c r="D1755" s="73"/>
      <c r="E1755" s="75"/>
      <c r="F1755" s="75"/>
      <c r="G1755" s="76"/>
    </row>
    <row r="1756">
      <c r="A1756" s="73"/>
      <c r="B1756" s="74"/>
      <c r="C1756" s="74"/>
      <c r="D1756" s="73"/>
      <c r="E1756" s="75"/>
      <c r="F1756" s="75"/>
      <c r="G1756" s="76"/>
    </row>
    <row r="1757">
      <c r="A1757" s="73"/>
      <c r="B1757" s="74"/>
      <c r="C1757" s="74"/>
      <c r="D1757" s="73"/>
      <c r="E1757" s="75"/>
      <c r="F1757" s="75"/>
      <c r="G1757" s="76"/>
    </row>
    <row r="1758">
      <c r="A1758" s="73"/>
      <c r="B1758" s="74"/>
      <c r="C1758" s="74"/>
      <c r="D1758" s="73"/>
      <c r="E1758" s="75"/>
      <c r="F1758" s="75"/>
      <c r="G1758" s="76"/>
    </row>
    <row r="1759">
      <c r="A1759" s="73"/>
      <c r="B1759" s="74"/>
      <c r="C1759" s="74"/>
      <c r="D1759" s="73"/>
      <c r="E1759" s="75"/>
      <c r="F1759" s="75"/>
      <c r="G1759" s="76"/>
    </row>
    <row r="1760">
      <c r="A1760" s="73"/>
      <c r="B1760" s="74"/>
      <c r="C1760" s="74"/>
      <c r="D1760" s="73"/>
      <c r="E1760" s="75"/>
      <c r="F1760" s="75"/>
      <c r="G1760" s="76"/>
    </row>
    <row r="1761">
      <c r="A1761" s="73"/>
      <c r="B1761" s="74"/>
      <c r="C1761" s="74"/>
      <c r="D1761" s="73"/>
      <c r="E1761" s="75"/>
      <c r="F1761" s="75"/>
      <c r="G1761" s="76"/>
    </row>
    <row r="1762">
      <c r="A1762" s="73"/>
      <c r="B1762" s="74"/>
      <c r="C1762" s="74"/>
      <c r="D1762" s="73"/>
      <c r="E1762" s="75"/>
      <c r="F1762" s="75"/>
      <c r="G1762" s="76"/>
    </row>
    <row r="1763">
      <c r="A1763" s="73"/>
      <c r="B1763" s="74"/>
      <c r="C1763" s="74"/>
      <c r="D1763" s="73"/>
      <c r="E1763" s="75"/>
      <c r="F1763" s="75"/>
      <c r="G1763" s="76"/>
    </row>
    <row r="1764">
      <c r="A1764" s="73"/>
      <c r="B1764" s="74"/>
      <c r="C1764" s="74"/>
      <c r="D1764" s="73"/>
      <c r="E1764" s="75"/>
      <c r="F1764" s="75"/>
      <c r="G1764" s="76"/>
    </row>
    <row r="1765">
      <c r="A1765" s="73"/>
      <c r="B1765" s="74"/>
      <c r="C1765" s="74"/>
      <c r="D1765" s="73"/>
      <c r="E1765" s="75"/>
      <c r="F1765" s="75"/>
      <c r="G1765" s="76"/>
    </row>
    <row r="1766">
      <c r="A1766" s="73"/>
      <c r="B1766" s="74"/>
      <c r="C1766" s="74"/>
      <c r="D1766" s="73"/>
      <c r="E1766" s="75"/>
      <c r="F1766" s="75"/>
      <c r="G1766" s="76"/>
    </row>
    <row r="1767">
      <c r="A1767" s="73"/>
      <c r="B1767" s="74"/>
      <c r="C1767" s="74"/>
      <c r="D1767" s="73"/>
      <c r="E1767" s="75"/>
      <c r="F1767" s="75"/>
      <c r="G1767" s="76"/>
    </row>
    <row r="1768">
      <c r="A1768" s="73"/>
      <c r="B1768" s="74"/>
      <c r="C1768" s="74"/>
      <c r="D1768" s="73"/>
      <c r="E1768" s="75"/>
      <c r="F1768" s="75"/>
      <c r="G1768" s="76"/>
    </row>
    <row r="1769">
      <c r="A1769" s="73"/>
      <c r="B1769" s="74"/>
      <c r="C1769" s="74"/>
      <c r="D1769" s="73"/>
      <c r="E1769" s="75"/>
      <c r="F1769" s="75"/>
      <c r="G1769" s="76"/>
    </row>
    <row r="1770">
      <c r="A1770" s="73"/>
      <c r="B1770" s="74"/>
      <c r="C1770" s="74"/>
      <c r="D1770" s="73"/>
      <c r="E1770" s="75"/>
      <c r="F1770" s="75"/>
      <c r="G1770" s="76"/>
    </row>
    <row r="1771">
      <c r="A1771" s="73"/>
      <c r="B1771" s="74"/>
      <c r="C1771" s="74"/>
      <c r="D1771" s="73"/>
      <c r="E1771" s="75"/>
      <c r="F1771" s="75"/>
      <c r="G1771" s="76"/>
    </row>
    <row r="1772">
      <c r="A1772" s="73"/>
      <c r="B1772" s="74"/>
      <c r="C1772" s="74"/>
      <c r="D1772" s="73"/>
      <c r="E1772" s="75"/>
      <c r="F1772" s="75"/>
      <c r="G1772" s="76"/>
    </row>
    <row r="1773">
      <c r="A1773" s="73"/>
      <c r="B1773" s="74"/>
      <c r="C1773" s="74"/>
      <c r="D1773" s="73"/>
      <c r="E1773" s="75"/>
      <c r="F1773" s="75"/>
      <c r="G1773" s="76"/>
    </row>
    <row r="1774">
      <c r="A1774" s="73"/>
      <c r="B1774" s="74"/>
      <c r="C1774" s="74"/>
      <c r="D1774" s="73"/>
      <c r="E1774" s="75"/>
      <c r="F1774" s="75"/>
      <c r="G1774" s="76"/>
    </row>
    <row r="1775">
      <c r="A1775" s="73"/>
      <c r="B1775" s="74"/>
      <c r="C1775" s="74"/>
      <c r="D1775" s="73"/>
      <c r="E1775" s="75"/>
      <c r="F1775" s="75"/>
      <c r="G1775" s="76"/>
    </row>
    <row r="1776">
      <c r="A1776" s="73"/>
      <c r="B1776" s="74"/>
      <c r="C1776" s="74"/>
      <c r="D1776" s="73"/>
      <c r="E1776" s="75"/>
      <c r="F1776" s="75"/>
      <c r="G1776" s="76"/>
    </row>
    <row r="1777">
      <c r="A1777" s="73"/>
      <c r="B1777" s="74"/>
      <c r="C1777" s="74"/>
      <c r="D1777" s="73"/>
      <c r="E1777" s="75"/>
      <c r="F1777" s="75"/>
      <c r="G1777" s="76"/>
    </row>
    <row r="1778">
      <c r="A1778" s="73"/>
      <c r="B1778" s="74"/>
      <c r="C1778" s="74"/>
      <c r="D1778" s="73"/>
      <c r="E1778" s="75"/>
      <c r="F1778" s="75"/>
      <c r="G1778" s="76"/>
    </row>
    <row r="1779">
      <c r="A1779" s="73"/>
      <c r="B1779" s="74"/>
      <c r="C1779" s="74"/>
      <c r="D1779" s="73"/>
      <c r="E1779" s="75"/>
      <c r="F1779" s="75"/>
      <c r="G1779" s="76"/>
    </row>
    <row r="1780">
      <c r="A1780" s="73"/>
      <c r="B1780" s="74"/>
      <c r="C1780" s="74"/>
      <c r="D1780" s="73"/>
      <c r="E1780" s="75"/>
      <c r="F1780" s="75"/>
      <c r="G1780" s="76"/>
    </row>
    <row r="1781">
      <c r="A1781" s="73"/>
      <c r="B1781" s="74"/>
      <c r="C1781" s="74"/>
      <c r="D1781" s="73"/>
      <c r="E1781" s="75"/>
      <c r="F1781" s="75"/>
      <c r="G1781" s="76"/>
    </row>
    <row r="1782">
      <c r="A1782" s="73"/>
      <c r="B1782" s="74"/>
      <c r="C1782" s="74"/>
      <c r="D1782" s="73"/>
      <c r="E1782" s="75"/>
      <c r="F1782" s="75"/>
      <c r="G1782" s="76"/>
    </row>
    <row r="1783">
      <c r="A1783" s="73"/>
      <c r="B1783" s="74"/>
      <c r="C1783" s="74"/>
      <c r="D1783" s="73"/>
      <c r="E1783" s="75"/>
      <c r="F1783" s="75"/>
      <c r="G1783" s="76"/>
    </row>
    <row r="1784">
      <c r="A1784" s="73"/>
      <c r="B1784" s="74"/>
      <c r="C1784" s="74"/>
      <c r="D1784" s="73"/>
      <c r="E1784" s="75"/>
      <c r="F1784" s="75"/>
      <c r="G1784" s="76"/>
    </row>
    <row r="1785">
      <c r="A1785" s="73"/>
      <c r="B1785" s="74"/>
      <c r="C1785" s="74"/>
      <c r="D1785" s="73"/>
      <c r="E1785" s="75"/>
      <c r="F1785" s="75"/>
      <c r="G1785" s="76"/>
    </row>
    <row r="1786">
      <c r="A1786" s="73"/>
      <c r="B1786" s="74"/>
      <c r="C1786" s="74"/>
      <c r="D1786" s="73"/>
      <c r="E1786" s="75"/>
      <c r="F1786" s="75"/>
      <c r="G1786" s="76"/>
    </row>
    <row r="1787">
      <c r="A1787" s="73"/>
      <c r="B1787" s="74"/>
      <c r="C1787" s="74"/>
      <c r="D1787" s="73"/>
      <c r="E1787" s="75"/>
      <c r="F1787" s="75"/>
      <c r="G1787" s="76"/>
    </row>
    <row r="1788">
      <c r="A1788" s="73"/>
      <c r="B1788" s="74"/>
      <c r="C1788" s="74"/>
      <c r="D1788" s="73"/>
      <c r="E1788" s="75"/>
      <c r="F1788" s="75"/>
      <c r="G1788" s="76"/>
    </row>
    <row r="1789">
      <c r="A1789" s="73"/>
      <c r="B1789" s="74"/>
      <c r="C1789" s="74"/>
      <c r="D1789" s="73"/>
      <c r="E1789" s="75"/>
      <c r="F1789" s="75"/>
      <c r="G1789" s="76"/>
    </row>
    <row r="1790">
      <c r="A1790" s="73"/>
      <c r="B1790" s="74"/>
      <c r="C1790" s="74"/>
      <c r="D1790" s="73"/>
      <c r="E1790" s="75"/>
      <c r="F1790" s="75"/>
      <c r="G1790" s="76"/>
    </row>
    <row r="1791">
      <c r="A1791" s="73"/>
      <c r="B1791" s="74"/>
      <c r="C1791" s="74"/>
      <c r="D1791" s="73"/>
      <c r="E1791" s="75"/>
      <c r="F1791" s="75"/>
      <c r="G1791" s="76"/>
    </row>
    <row r="1792">
      <c r="A1792" s="73"/>
      <c r="B1792" s="74"/>
      <c r="C1792" s="74"/>
      <c r="D1792" s="73"/>
      <c r="E1792" s="75"/>
      <c r="F1792" s="75"/>
      <c r="G1792" s="76"/>
    </row>
    <row r="1793">
      <c r="A1793" s="73"/>
      <c r="B1793" s="74"/>
      <c r="C1793" s="74"/>
      <c r="D1793" s="73"/>
      <c r="E1793" s="75"/>
      <c r="F1793" s="75"/>
      <c r="G1793" s="76"/>
    </row>
    <row r="1794">
      <c r="A1794" s="73"/>
      <c r="B1794" s="74"/>
      <c r="C1794" s="74"/>
      <c r="D1794" s="73"/>
      <c r="E1794" s="75"/>
      <c r="F1794" s="75"/>
      <c r="G1794" s="76"/>
    </row>
    <row r="1795">
      <c r="A1795" s="73"/>
      <c r="B1795" s="74"/>
      <c r="C1795" s="74"/>
      <c r="D1795" s="73"/>
      <c r="E1795" s="75"/>
      <c r="F1795" s="75"/>
      <c r="G1795" s="76"/>
    </row>
    <row r="1796">
      <c r="A1796" s="73"/>
      <c r="B1796" s="74"/>
      <c r="C1796" s="74"/>
      <c r="D1796" s="73"/>
      <c r="E1796" s="75"/>
      <c r="F1796" s="75"/>
      <c r="G1796" s="76"/>
    </row>
    <row r="1797">
      <c r="A1797" s="73"/>
      <c r="B1797" s="74"/>
      <c r="C1797" s="74"/>
      <c r="D1797" s="73"/>
      <c r="E1797" s="75"/>
      <c r="F1797" s="75"/>
      <c r="G1797" s="76"/>
    </row>
    <row r="1798">
      <c r="A1798" s="73"/>
      <c r="B1798" s="74"/>
      <c r="C1798" s="74"/>
      <c r="D1798" s="73"/>
      <c r="E1798" s="75"/>
      <c r="F1798" s="75"/>
      <c r="G1798" s="76"/>
    </row>
    <row r="1799">
      <c r="A1799" s="73"/>
      <c r="B1799" s="74"/>
      <c r="C1799" s="74"/>
      <c r="D1799" s="73"/>
      <c r="E1799" s="75"/>
      <c r="F1799" s="75"/>
      <c r="G1799" s="76"/>
    </row>
    <row r="1800">
      <c r="A1800" s="73"/>
      <c r="B1800" s="74"/>
      <c r="C1800" s="74"/>
      <c r="D1800" s="73"/>
      <c r="E1800" s="75"/>
      <c r="F1800" s="75"/>
      <c r="G1800" s="76"/>
    </row>
    <row r="1801">
      <c r="A1801" s="73"/>
      <c r="B1801" s="74"/>
      <c r="C1801" s="74"/>
      <c r="D1801" s="73"/>
      <c r="E1801" s="75"/>
      <c r="F1801" s="75"/>
      <c r="G1801" s="76"/>
    </row>
    <row r="1802">
      <c r="A1802" s="73"/>
      <c r="B1802" s="74"/>
      <c r="C1802" s="74"/>
      <c r="D1802" s="73"/>
      <c r="E1802" s="75"/>
      <c r="F1802" s="75"/>
      <c r="G1802" s="76"/>
    </row>
    <row r="1803">
      <c r="A1803" s="73"/>
      <c r="B1803" s="74"/>
      <c r="C1803" s="74"/>
      <c r="D1803" s="73"/>
      <c r="E1803" s="75"/>
      <c r="F1803" s="75"/>
      <c r="G1803" s="76"/>
    </row>
    <row r="1804">
      <c r="A1804" s="73"/>
      <c r="B1804" s="74"/>
      <c r="C1804" s="74"/>
      <c r="D1804" s="73"/>
      <c r="E1804" s="75"/>
      <c r="F1804" s="75"/>
      <c r="G1804" s="76"/>
    </row>
    <row r="1805">
      <c r="A1805" s="73"/>
      <c r="B1805" s="74"/>
      <c r="C1805" s="74"/>
      <c r="D1805" s="73"/>
      <c r="E1805" s="75"/>
      <c r="F1805" s="75"/>
      <c r="G1805" s="76"/>
    </row>
    <row r="1806">
      <c r="A1806" s="73"/>
      <c r="B1806" s="74"/>
      <c r="C1806" s="74"/>
      <c r="D1806" s="73"/>
      <c r="E1806" s="75"/>
      <c r="F1806" s="75"/>
      <c r="G1806" s="76"/>
    </row>
    <row r="1807">
      <c r="A1807" s="73"/>
      <c r="B1807" s="74"/>
      <c r="C1807" s="74"/>
      <c r="D1807" s="73"/>
      <c r="E1807" s="75"/>
      <c r="F1807" s="75"/>
      <c r="G1807" s="76"/>
    </row>
    <row r="1808">
      <c r="A1808" s="73"/>
      <c r="B1808" s="74"/>
      <c r="C1808" s="74"/>
      <c r="D1808" s="73"/>
      <c r="E1808" s="75"/>
      <c r="F1808" s="75"/>
      <c r="G1808" s="76"/>
    </row>
    <row r="1809">
      <c r="A1809" s="73"/>
      <c r="B1809" s="74"/>
      <c r="C1809" s="74"/>
      <c r="D1809" s="73"/>
      <c r="E1809" s="75"/>
      <c r="F1809" s="75"/>
      <c r="G1809" s="76"/>
    </row>
    <row r="1810">
      <c r="A1810" s="73"/>
      <c r="B1810" s="74"/>
      <c r="C1810" s="74"/>
      <c r="D1810" s="73"/>
      <c r="E1810" s="75"/>
      <c r="F1810" s="75"/>
      <c r="G1810" s="76"/>
    </row>
    <row r="1811">
      <c r="A1811" s="73"/>
      <c r="B1811" s="74"/>
      <c r="C1811" s="74"/>
      <c r="D1811" s="73"/>
      <c r="E1811" s="75"/>
      <c r="F1811" s="75"/>
      <c r="G1811" s="76"/>
    </row>
    <row r="1812">
      <c r="A1812" s="73"/>
      <c r="B1812" s="74"/>
      <c r="C1812" s="74"/>
      <c r="D1812" s="73"/>
      <c r="E1812" s="75"/>
      <c r="F1812" s="75"/>
      <c r="G1812" s="76"/>
    </row>
    <row r="1813">
      <c r="A1813" s="73"/>
      <c r="B1813" s="74"/>
      <c r="C1813" s="74"/>
      <c r="D1813" s="73"/>
      <c r="E1813" s="75"/>
      <c r="F1813" s="75"/>
      <c r="G1813" s="76"/>
    </row>
    <row r="1814">
      <c r="A1814" s="73"/>
      <c r="B1814" s="74"/>
      <c r="C1814" s="74"/>
      <c r="D1814" s="73"/>
      <c r="E1814" s="75"/>
      <c r="F1814" s="75"/>
      <c r="G1814" s="76"/>
    </row>
    <row r="1815">
      <c r="A1815" s="73"/>
      <c r="B1815" s="74"/>
      <c r="C1815" s="74"/>
      <c r="D1815" s="73"/>
      <c r="E1815" s="75"/>
      <c r="F1815" s="75"/>
      <c r="G1815" s="76"/>
    </row>
    <row r="1816">
      <c r="A1816" s="73"/>
      <c r="B1816" s="74"/>
      <c r="C1816" s="74"/>
      <c r="D1816" s="73"/>
      <c r="E1816" s="75"/>
      <c r="F1816" s="75"/>
      <c r="G1816" s="76"/>
    </row>
    <row r="1817">
      <c r="A1817" s="73"/>
      <c r="B1817" s="74"/>
      <c r="C1817" s="74"/>
      <c r="D1817" s="73"/>
      <c r="E1817" s="75"/>
      <c r="F1817" s="75"/>
      <c r="G1817" s="76"/>
    </row>
    <row r="1818">
      <c r="A1818" s="73"/>
      <c r="B1818" s="74"/>
      <c r="C1818" s="74"/>
      <c r="D1818" s="73"/>
      <c r="E1818" s="75"/>
      <c r="F1818" s="75"/>
      <c r="G1818" s="76"/>
    </row>
    <row r="1819">
      <c r="A1819" s="73"/>
      <c r="B1819" s="74"/>
      <c r="C1819" s="74"/>
      <c r="D1819" s="73"/>
      <c r="E1819" s="75"/>
      <c r="F1819" s="75"/>
      <c r="G1819" s="76"/>
    </row>
    <row r="1820">
      <c r="A1820" s="73"/>
      <c r="B1820" s="74"/>
      <c r="C1820" s="74"/>
      <c r="D1820" s="73"/>
      <c r="E1820" s="75"/>
      <c r="F1820" s="75"/>
      <c r="G1820" s="76"/>
    </row>
    <row r="1821">
      <c r="A1821" s="73"/>
      <c r="B1821" s="74"/>
      <c r="C1821" s="74"/>
      <c r="D1821" s="73"/>
      <c r="E1821" s="75"/>
      <c r="F1821" s="75"/>
      <c r="G1821" s="76"/>
    </row>
    <row r="1822">
      <c r="A1822" s="73"/>
      <c r="B1822" s="74"/>
      <c r="C1822" s="74"/>
      <c r="D1822" s="73"/>
      <c r="E1822" s="75"/>
      <c r="F1822" s="75"/>
      <c r="G1822" s="76"/>
    </row>
    <row r="1823">
      <c r="A1823" s="73"/>
      <c r="B1823" s="74"/>
      <c r="C1823" s="74"/>
      <c r="D1823" s="73"/>
      <c r="E1823" s="75"/>
      <c r="F1823" s="75"/>
      <c r="G1823" s="76"/>
    </row>
    <row r="1824">
      <c r="A1824" s="73"/>
      <c r="B1824" s="74"/>
      <c r="C1824" s="74"/>
      <c r="D1824" s="73"/>
      <c r="E1824" s="75"/>
      <c r="F1824" s="75"/>
      <c r="G1824" s="76"/>
    </row>
    <row r="1825">
      <c r="A1825" s="73"/>
      <c r="B1825" s="74"/>
      <c r="C1825" s="74"/>
      <c r="D1825" s="73"/>
      <c r="E1825" s="75"/>
      <c r="F1825" s="75"/>
      <c r="G1825" s="76"/>
    </row>
    <row r="1826">
      <c r="A1826" s="73"/>
      <c r="B1826" s="74"/>
      <c r="C1826" s="74"/>
      <c r="D1826" s="73"/>
      <c r="E1826" s="75"/>
      <c r="F1826" s="75"/>
      <c r="G1826" s="76"/>
    </row>
    <row r="1827">
      <c r="A1827" s="73"/>
      <c r="B1827" s="74"/>
      <c r="C1827" s="74"/>
      <c r="D1827" s="73"/>
      <c r="E1827" s="75"/>
      <c r="F1827" s="75"/>
      <c r="G1827" s="76"/>
    </row>
    <row r="1828">
      <c r="A1828" s="73"/>
      <c r="B1828" s="74"/>
      <c r="C1828" s="74"/>
      <c r="D1828" s="73"/>
      <c r="E1828" s="75"/>
      <c r="F1828" s="75"/>
      <c r="G1828" s="76"/>
    </row>
    <row r="1829">
      <c r="A1829" s="73"/>
      <c r="B1829" s="74"/>
      <c r="C1829" s="74"/>
      <c r="D1829" s="73"/>
      <c r="E1829" s="75"/>
      <c r="F1829" s="75"/>
      <c r="G1829" s="76"/>
    </row>
    <row r="1830">
      <c r="A1830" s="73"/>
      <c r="B1830" s="74"/>
      <c r="C1830" s="74"/>
      <c r="D1830" s="73"/>
      <c r="E1830" s="75"/>
      <c r="F1830" s="75"/>
      <c r="G1830" s="76"/>
    </row>
    <row r="1831">
      <c r="A1831" s="73"/>
      <c r="B1831" s="74"/>
      <c r="C1831" s="74"/>
      <c r="D1831" s="73"/>
      <c r="E1831" s="75"/>
      <c r="F1831" s="75"/>
      <c r="G1831" s="76"/>
    </row>
    <row r="1832">
      <c r="A1832" s="73"/>
      <c r="B1832" s="74"/>
      <c r="C1832" s="74"/>
      <c r="D1832" s="73"/>
      <c r="E1832" s="75"/>
      <c r="F1832" s="75"/>
      <c r="G1832" s="76"/>
    </row>
    <row r="1833">
      <c r="A1833" s="73"/>
      <c r="B1833" s="74"/>
      <c r="C1833" s="74"/>
      <c r="D1833" s="73"/>
      <c r="E1833" s="75"/>
      <c r="F1833" s="75"/>
      <c r="G1833" s="76"/>
    </row>
    <row r="1834">
      <c r="A1834" s="73"/>
      <c r="B1834" s="74"/>
      <c r="C1834" s="74"/>
      <c r="D1834" s="73"/>
      <c r="E1834" s="75"/>
      <c r="F1834" s="75"/>
      <c r="G1834" s="76"/>
    </row>
    <row r="1835">
      <c r="A1835" s="73"/>
      <c r="B1835" s="74"/>
      <c r="C1835" s="74"/>
      <c r="D1835" s="73"/>
      <c r="E1835" s="75"/>
      <c r="F1835" s="75"/>
      <c r="G1835" s="76"/>
    </row>
    <row r="1836">
      <c r="A1836" s="73"/>
      <c r="B1836" s="74"/>
      <c r="C1836" s="74"/>
      <c r="D1836" s="73"/>
      <c r="E1836" s="75"/>
      <c r="F1836" s="75"/>
      <c r="G1836" s="76"/>
    </row>
    <row r="1837">
      <c r="A1837" s="73"/>
      <c r="B1837" s="74"/>
      <c r="C1837" s="74"/>
      <c r="D1837" s="73"/>
      <c r="E1837" s="75"/>
      <c r="F1837" s="75"/>
      <c r="G1837" s="76"/>
    </row>
    <row r="1838">
      <c r="A1838" s="73"/>
      <c r="B1838" s="74"/>
      <c r="C1838" s="74"/>
      <c r="D1838" s="73"/>
      <c r="E1838" s="75"/>
      <c r="F1838" s="75"/>
      <c r="G1838" s="76"/>
    </row>
    <row r="1839">
      <c r="A1839" s="73"/>
      <c r="B1839" s="74"/>
      <c r="C1839" s="74"/>
      <c r="D1839" s="73"/>
      <c r="E1839" s="75"/>
      <c r="F1839" s="75"/>
      <c r="G1839" s="76"/>
    </row>
    <row r="1840">
      <c r="A1840" s="73"/>
      <c r="B1840" s="74"/>
      <c r="C1840" s="74"/>
      <c r="D1840" s="73"/>
      <c r="E1840" s="75"/>
      <c r="F1840" s="75"/>
      <c r="G1840" s="76"/>
    </row>
    <row r="1841">
      <c r="A1841" s="73"/>
      <c r="B1841" s="74"/>
      <c r="C1841" s="74"/>
      <c r="D1841" s="73"/>
      <c r="E1841" s="75"/>
      <c r="F1841" s="75"/>
      <c r="G1841" s="76"/>
    </row>
    <row r="1842">
      <c r="A1842" s="73"/>
      <c r="B1842" s="74"/>
      <c r="C1842" s="74"/>
      <c r="D1842" s="73"/>
      <c r="E1842" s="75"/>
      <c r="F1842" s="75"/>
      <c r="G1842" s="76"/>
    </row>
    <row r="1843">
      <c r="A1843" s="73"/>
      <c r="B1843" s="74"/>
      <c r="C1843" s="74"/>
      <c r="D1843" s="73"/>
      <c r="E1843" s="75"/>
      <c r="F1843" s="75"/>
      <c r="G1843" s="76"/>
    </row>
    <row r="1844">
      <c r="A1844" s="73"/>
      <c r="B1844" s="74"/>
      <c r="C1844" s="74"/>
      <c r="D1844" s="73"/>
      <c r="E1844" s="75"/>
      <c r="F1844" s="75"/>
      <c r="G1844" s="76"/>
    </row>
    <row r="1845">
      <c r="A1845" s="73"/>
      <c r="B1845" s="74"/>
      <c r="C1845" s="74"/>
      <c r="D1845" s="73"/>
      <c r="E1845" s="75"/>
      <c r="F1845" s="75"/>
      <c r="G1845" s="76"/>
    </row>
    <row r="1846">
      <c r="A1846" s="73"/>
      <c r="B1846" s="74"/>
      <c r="C1846" s="74"/>
      <c r="D1846" s="73"/>
      <c r="E1846" s="75"/>
      <c r="F1846" s="75"/>
      <c r="G1846" s="76"/>
    </row>
    <row r="1847">
      <c r="A1847" s="73"/>
      <c r="B1847" s="74"/>
      <c r="C1847" s="74"/>
      <c r="D1847" s="73"/>
      <c r="E1847" s="75"/>
      <c r="F1847" s="75"/>
      <c r="G1847" s="76"/>
    </row>
    <row r="1848">
      <c r="A1848" s="73"/>
      <c r="B1848" s="74"/>
      <c r="C1848" s="74"/>
      <c r="D1848" s="73"/>
      <c r="E1848" s="75"/>
      <c r="F1848" s="75"/>
      <c r="G1848" s="76"/>
    </row>
    <row r="1849">
      <c r="A1849" s="73"/>
      <c r="B1849" s="74"/>
      <c r="C1849" s="74"/>
      <c r="D1849" s="73"/>
      <c r="E1849" s="75"/>
      <c r="F1849" s="75"/>
      <c r="G1849" s="76"/>
    </row>
    <row r="1850">
      <c r="A1850" s="73"/>
      <c r="B1850" s="74"/>
      <c r="C1850" s="74"/>
      <c r="D1850" s="73"/>
      <c r="E1850" s="75"/>
      <c r="F1850" s="75"/>
      <c r="G1850" s="76"/>
    </row>
    <row r="1851">
      <c r="A1851" s="73"/>
      <c r="B1851" s="74"/>
      <c r="C1851" s="74"/>
      <c r="D1851" s="73"/>
      <c r="E1851" s="75"/>
      <c r="F1851" s="75"/>
      <c r="G1851" s="76"/>
    </row>
    <row r="1852">
      <c r="A1852" s="73"/>
      <c r="B1852" s="74"/>
      <c r="C1852" s="74"/>
      <c r="D1852" s="73"/>
      <c r="E1852" s="75"/>
      <c r="F1852" s="75"/>
      <c r="G1852" s="76"/>
    </row>
    <row r="1853">
      <c r="A1853" s="73"/>
      <c r="B1853" s="74"/>
      <c r="C1853" s="74"/>
      <c r="D1853" s="73"/>
      <c r="E1853" s="75"/>
      <c r="F1853" s="75"/>
      <c r="G1853" s="76"/>
    </row>
    <row r="1854">
      <c r="A1854" s="73"/>
      <c r="B1854" s="74"/>
      <c r="C1854" s="74"/>
      <c r="D1854" s="73"/>
      <c r="E1854" s="75"/>
      <c r="F1854" s="75"/>
      <c r="G1854" s="76"/>
    </row>
    <row r="1855">
      <c r="A1855" s="73"/>
      <c r="B1855" s="74"/>
      <c r="C1855" s="74"/>
      <c r="D1855" s="73"/>
      <c r="E1855" s="75"/>
      <c r="F1855" s="75"/>
      <c r="G1855" s="76"/>
    </row>
    <row r="1856">
      <c r="A1856" s="73"/>
      <c r="B1856" s="74"/>
      <c r="C1856" s="74"/>
      <c r="D1856" s="73"/>
      <c r="E1856" s="75"/>
      <c r="F1856" s="75"/>
      <c r="G1856" s="76"/>
    </row>
    <row r="1857">
      <c r="A1857" s="73"/>
      <c r="B1857" s="74"/>
      <c r="C1857" s="74"/>
      <c r="D1857" s="73"/>
      <c r="E1857" s="75"/>
      <c r="F1857" s="75"/>
      <c r="G1857" s="76"/>
    </row>
    <row r="1858">
      <c r="A1858" s="73"/>
      <c r="B1858" s="74"/>
      <c r="C1858" s="74"/>
      <c r="D1858" s="73"/>
      <c r="E1858" s="75"/>
      <c r="F1858" s="75"/>
      <c r="G1858" s="76"/>
    </row>
    <row r="1859">
      <c r="A1859" s="73"/>
      <c r="B1859" s="74"/>
      <c r="C1859" s="74"/>
      <c r="D1859" s="73"/>
      <c r="E1859" s="75"/>
      <c r="F1859" s="75"/>
      <c r="G1859" s="76"/>
    </row>
    <row r="1860">
      <c r="A1860" s="73"/>
      <c r="B1860" s="74"/>
      <c r="C1860" s="74"/>
      <c r="D1860" s="73"/>
      <c r="E1860" s="75"/>
      <c r="F1860" s="75"/>
      <c r="G1860" s="76"/>
    </row>
    <row r="1861">
      <c r="A1861" s="73"/>
      <c r="B1861" s="74"/>
      <c r="C1861" s="74"/>
      <c r="D1861" s="73"/>
      <c r="E1861" s="75"/>
      <c r="F1861" s="75"/>
      <c r="G1861" s="76"/>
    </row>
    <row r="1862">
      <c r="A1862" s="73"/>
      <c r="B1862" s="74"/>
      <c r="C1862" s="74"/>
      <c r="D1862" s="73"/>
      <c r="E1862" s="75"/>
      <c r="F1862" s="75"/>
      <c r="G1862" s="76"/>
    </row>
    <row r="1863">
      <c r="A1863" s="73"/>
      <c r="B1863" s="74"/>
      <c r="C1863" s="74"/>
      <c r="D1863" s="73"/>
      <c r="E1863" s="75"/>
      <c r="F1863" s="75"/>
      <c r="G1863" s="76"/>
    </row>
    <row r="1864">
      <c r="A1864" s="73"/>
      <c r="B1864" s="74"/>
      <c r="C1864" s="74"/>
      <c r="D1864" s="73"/>
      <c r="E1864" s="75"/>
      <c r="F1864" s="75"/>
      <c r="G1864" s="76"/>
    </row>
    <row r="1865">
      <c r="A1865" s="73"/>
      <c r="B1865" s="74"/>
      <c r="C1865" s="74"/>
      <c r="D1865" s="73"/>
      <c r="E1865" s="75"/>
      <c r="F1865" s="75"/>
      <c r="G1865" s="76"/>
    </row>
    <row r="1866">
      <c r="A1866" s="73"/>
      <c r="B1866" s="74"/>
      <c r="C1866" s="74"/>
      <c r="D1866" s="73"/>
      <c r="E1866" s="75"/>
      <c r="F1866" s="75"/>
      <c r="G1866" s="76"/>
    </row>
    <row r="1867">
      <c r="A1867" s="73"/>
      <c r="B1867" s="74"/>
      <c r="C1867" s="74"/>
      <c r="D1867" s="73"/>
      <c r="E1867" s="75"/>
      <c r="F1867" s="75"/>
      <c r="G1867" s="76"/>
    </row>
    <row r="1868">
      <c r="A1868" s="73"/>
      <c r="B1868" s="74"/>
      <c r="C1868" s="74"/>
      <c r="D1868" s="73"/>
      <c r="E1868" s="75"/>
      <c r="F1868" s="75"/>
      <c r="G1868" s="76"/>
    </row>
    <row r="1869">
      <c r="A1869" s="73"/>
      <c r="B1869" s="74"/>
      <c r="C1869" s="74"/>
      <c r="D1869" s="73"/>
      <c r="E1869" s="75"/>
      <c r="F1869" s="75"/>
      <c r="G1869" s="76"/>
    </row>
    <row r="1870">
      <c r="A1870" s="73"/>
      <c r="B1870" s="74"/>
      <c r="C1870" s="74"/>
      <c r="D1870" s="73"/>
      <c r="E1870" s="75"/>
      <c r="F1870" s="75"/>
      <c r="G1870" s="76"/>
    </row>
    <row r="1871">
      <c r="A1871" s="73"/>
      <c r="B1871" s="74"/>
      <c r="C1871" s="74"/>
      <c r="D1871" s="73"/>
      <c r="E1871" s="75"/>
      <c r="F1871" s="75"/>
      <c r="G1871" s="76"/>
    </row>
    <row r="1872">
      <c r="A1872" s="73"/>
      <c r="B1872" s="74"/>
      <c r="C1872" s="74"/>
      <c r="D1872" s="73"/>
      <c r="E1872" s="75"/>
      <c r="F1872" s="75"/>
      <c r="G1872" s="76"/>
    </row>
    <row r="1873">
      <c r="A1873" s="73"/>
      <c r="B1873" s="74"/>
      <c r="C1873" s="74"/>
      <c r="D1873" s="73"/>
      <c r="E1873" s="75"/>
      <c r="F1873" s="75"/>
      <c r="G1873" s="76"/>
    </row>
    <row r="1874">
      <c r="A1874" s="73"/>
      <c r="B1874" s="74"/>
      <c r="C1874" s="74"/>
      <c r="D1874" s="73"/>
      <c r="E1874" s="75"/>
      <c r="F1874" s="75"/>
      <c r="G1874" s="76"/>
    </row>
    <row r="1875">
      <c r="A1875" s="73"/>
      <c r="B1875" s="74"/>
      <c r="C1875" s="74"/>
      <c r="D1875" s="73"/>
      <c r="E1875" s="75"/>
      <c r="F1875" s="75"/>
      <c r="G1875" s="76"/>
    </row>
    <row r="1876">
      <c r="A1876" s="73"/>
      <c r="B1876" s="74"/>
      <c r="C1876" s="74"/>
      <c r="D1876" s="73"/>
      <c r="E1876" s="75"/>
      <c r="F1876" s="75"/>
      <c r="G1876" s="76"/>
    </row>
    <row r="1877">
      <c r="A1877" s="73"/>
      <c r="B1877" s="74"/>
      <c r="C1877" s="74"/>
      <c r="D1877" s="73"/>
      <c r="E1877" s="75"/>
      <c r="F1877" s="75"/>
      <c r="G1877" s="76"/>
    </row>
    <row r="1878">
      <c r="A1878" s="73"/>
      <c r="B1878" s="74"/>
      <c r="C1878" s="74"/>
      <c r="D1878" s="73"/>
      <c r="E1878" s="75"/>
      <c r="F1878" s="75"/>
      <c r="G1878" s="76"/>
    </row>
    <row r="1879">
      <c r="A1879" s="73"/>
      <c r="B1879" s="74"/>
      <c r="C1879" s="74"/>
      <c r="D1879" s="73"/>
      <c r="E1879" s="75"/>
      <c r="F1879" s="75"/>
      <c r="G1879" s="76"/>
    </row>
    <row r="1880">
      <c r="A1880" s="73"/>
      <c r="B1880" s="74"/>
      <c r="C1880" s="74"/>
      <c r="D1880" s="73"/>
      <c r="E1880" s="75"/>
      <c r="F1880" s="75"/>
      <c r="G1880" s="76"/>
    </row>
    <row r="1881">
      <c r="A1881" s="73"/>
      <c r="B1881" s="74"/>
      <c r="C1881" s="74"/>
      <c r="D1881" s="73"/>
      <c r="E1881" s="75"/>
      <c r="F1881" s="75"/>
      <c r="G1881" s="76"/>
    </row>
    <row r="1882">
      <c r="A1882" s="73"/>
      <c r="B1882" s="74"/>
      <c r="C1882" s="74"/>
      <c r="D1882" s="73"/>
      <c r="E1882" s="75"/>
      <c r="F1882" s="75"/>
      <c r="G1882" s="76"/>
    </row>
    <row r="1883">
      <c r="A1883" s="73"/>
      <c r="B1883" s="74"/>
      <c r="C1883" s="74"/>
      <c r="D1883" s="73"/>
      <c r="E1883" s="75"/>
      <c r="F1883" s="75"/>
      <c r="G1883" s="76"/>
    </row>
    <row r="1884">
      <c r="A1884" s="73"/>
      <c r="B1884" s="74"/>
      <c r="C1884" s="74"/>
      <c r="D1884" s="73"/>
      <c r="E1884" s="75"/>
      <c r="F1884" s="75"/>
      <c r="G1884" s="76"/>
    </row>
    <row r="1885">
      <c r="A1885" s="73"/>
      <c r="B1885" s="74"/>
      <c r="C1885" s="74"/>
      <c r="D1885" s="73"/>
      <c r="E1885" s="75"/>
      <c r="F1885" s="75"/>
      <c r="G1885" s="76"/>
    </row>
    <row r="1886">
      <c r="A1886" s="73"/>
      <c r="B1886" s="74"/>
      <c r="C1886" s="74"/>
      <c r="D1886" s="73"/>
      <c r="E1886" s="75"/>
      <c r="F1886" s="75"/>
      <c r="G1886" s="76"/>
    </row>
    <row r="1887">
      <c r="A1887" s="73"/>
      <c r="B1887" s="74"/>
      <c r="C1887" s="74"/>
      <c r="D1887" s="73"/>
      <c r="E1887" s="75"/>
      <c r="F1887" s="75"/>
      <c r="G1887" s="76"/>
    </row>
    <row r="1888">
      <c r="A1888" s="73"/>
      <c r="B1888" s="74"/>
      <c r="C1888" s="74"/>
      <c r="D1888" s="73"/>
      <c r="E1888" s="75"/>
      <c r="F1888" s="75"/>
      <c r="G1888" s="76"/>
    </row>
    <row r="1889">
      <c r="A1889" s="73"/>
      <c r="B1889" s="74"/>
      <c r="C1889" s="74"/>
      <c r="D1889" s="73"/>
      <c r="E1889" s="75"/>
      <c r="F1889" s="75"/>
      <c r="G1889" s="76"/>
    </row>
    <row r="1890">
      <c r="A1890" s="73"/>
      <c r="B1890" s="74"/>
      <c r="C1890" s="74"/>
      <c r="D1890" s="73"/>
      <c r="E1890" s="75"/>
      <c r="F1890" s="75"/>
      <c r="G1890" s="76"/>
    </row>
    <row r="1891">
      <c r="A1891" s="73"/>
      <c r="B1891" s="74"/>
      <c r="C1891" s="74"/>
      <c r="D1891" s="73"/>
      <c r="E1891" s="75"/>
      <c r="F1891" s="75"/>
      <c r="G1891" s="76"/>
    </row>
    <row r="1892">
      <c r="A1892" s="73"/>
      <c r="B1892" s="74"/>
      <c r="C1892" s="74"/>
      <c r="D1892" s="73"/>
      <c r="E1892" s="75"/>
      <c r="F1892" s="75"/>
      <c r="G1892" s="76"/>
    </row>
    <row r="1893">
      <c r="A1893" s="73"/>
      <c r="B1893" s="74"/>
      <c r="C1893" s="74"/>
      <c r="D1893" s="73"/>
      <c r="E1893" s="75"/>
      <c r="F1893" s="75"/>
      <c r="G1893" s="76"/>
    </row>
    <row r="1894">
      <c r="A1894" s="73"/>
      <c r="B1894" s="74"/>
      <c r="C1894" s="74"/>
      <c r="D1894" s="73"/>
      <c r="E1894" s="75"/>
      <c r="F1894" s="75"/>
      <c r="G1894" s="76"/>
    </row>
    <row r="1895">
      <c r="A1895" s="73"/>
      <c r="B1895" s="74"/>
      <c r="C1895" s="74"/>
      <c r="D1895" s="73"/>
      <c r="E1895" s="75"/>
      <c r="F1895" s="75"/>
      <c r="G1895" s="76"/>
    </row>
    <row r="1896">
      <c r="A1896" s="73"/>
      <c r="B1896" s="74"/>
      <c r="C1896" s="74"/>
      <c r="D1896" s="73"/>
      <c r="E1896" s="75"/>
      <c r="F1896" s="75"/>
      <c r="G1896" s="76"/>
    </row>
    <row r="1897">
      <c r="A1897" s="73"/>
      <c r="B1897" s="74"/>
      <c r="C1897" s="74"/>
      <c r="D1897" s="73"/>
      <c r="E1897" s="75"/>
      <c r="F1897" s="75"/>
      <c r="G1897" s="76"/>
    </row>
    <row r="1898">
      <c r="A1898" s="73"/>
      <c r="B1898" s="74"/>
      <c r="C1898" s="74"/>
      <c r="D1898" s="73"/>
      <c r="E1898" s="75"/>
      <c r="F1898" s="75"/>
      <c r="G1898" s="76"/>
    </row>
    <row r="1899">
      <c r="A1899" s="73"/>
      <c r="B1899" s="74"/>
      <c r="C1899" s="74"/>
      <c r="D1899" s="73"/>
      <c r="E1899" s="75"/>
      <c r="F1899" s="75"/>
      <c r="G1899" s="76"/>
    </row>
    <row r="1900">
      <c r="A1900" s="73"/>
      <c r="B1900" s="74"/>
      <c r="C1900" s="74"/>
      <c r="D1900" s="73"/>
      <c r="E1900" s="75"/>
      <c r="F1900" s="75"/>
      <c r="G1900" s="76"/>
    </row>
    <row r="1901">
      <c r="A1901" s="73"/>
      <c r="B1901" s="74"/>
      <c r="C1901" s="74"/>
      <c r="D1901" s="73"/>
      <c r="E1901" s="75"/>
      <c r="F1901" s="75"/>
      <c r="G1901" s="76"/>
    </row>
    <row r="1902">
      <c r="A1902" s="73"/>
      <c r="B1902" s="74"/>
      <c r="C1902" s="74"/>
      <c r="D1902" s="73"/>
      <c r="E1902" s="75"/>
      <c r="F1902" s="75"/>
      <c r="G1902" s="76"/>
    </row>
    <row r="1903">
      <c r="A1903" s="73"/>
      <c r="B1903" s="74"/>
      <c r="C1903" s="74"/>
      <c r="D1903" s="73"/>
      <c r="E1903" s="75"/>
      <c r="F1903" s="75"/>
      <c r="G1903" s="76"/>
    </row>
    <row r="1904">
      <c r="A1904" s="73"/>
      <c r="B1904" s="74"/>
      <c r="C1904" s="74"/>
      <c r="D1904" s="73"/>
      <c r="E1904" s="75"/>
      <c r="F1904" s="75"/>
      <c r="G1904" s="76"/>
    </row>
    <row r="1905">
      <c r="A1905" s="73"/>
      <c r="B1905" s="74"/>
      <c r="C1905" s="74"/>
      <c r="D1905" s="73"/>
      <c r="E1905" s="75"/>
      <c r="F1905" s="75"/>
      <c r="G1905" s="76"/>
    </row>
    <row r="1906">
      <c r="A1906" s="73"/>
      <c r="B1906" s="74"/>
      <c r="C1906" s="74"/>
      <c r="D1906" s="73"/>
      <c r="E1906" s="75"/>
      <c r="F1906" s="75"/>
      <c r="G1906" s="76"/>
    </row>
    <row r="1907">
      <c r="A1907" s="73"/>
      <c r="B1907" s="74"/>
      <c r="C1907" s="74"/>
      <c r="D1907" s="73"/>
      <c r="E1907" s="75"/>
      <c r="F1907" s="75"/>
      <c r="G1907" s="76"/>
    </row>
    <row r="1908">
      <c r="A1908" s="73"/>
      <c r="B1908" s="74"/>
      <c r="C1908" s="74"/>
      <c r="D1908" s="73"/>
      <c r="E1908" s="75"/>
      <c r="F1908" s="75"/>
      <c r="G1908" s="76"/>
    </row>
    <row r="1909">
      <c r="A1909" s="73"/>
      <c r="B1909" s="74"/>
      <c r="C1909" s="74"/>
      <c r="D1909" s="73"/>
      <c r="E1909" s="75"/>
      <c r="F1909" s="75"/>
      <c r="G1909" s="76"/>
    </row>
    <row r="1910">
      <c r="A1910" s="73"/>
      <c r="B1910" s="74"/>
      <c r="C1910" s="74"/>
      <c r="D1910" s="73"/>
      <c r="E1910" s="75"/>
      <c r="F1910" s="75"/>
      <c r="G1910" s="76"/>
    </row>
    <row r="1911">
      <c r="A1911" s="73"/>
      <c r="B1911" s="74"/>
      <c r="C1911" s="74"/>
      <c r="D1911" s="73"/>
      <c r="E1911" s="75"/>
      <c r="F1911" s="75"/>
      <c r="G1911" s="76"/>
    </row>
    <row r="1912">
      <c r="A1912" s="73"/>
      <c r="B1912" s="74"/>
      <c r="C1912" s="74"/>
      <c r="D1912" s="73"/>
      <c r="E1912" s="75"/>
      <c r="F1912" s="75"/>
      <c r="G1912" s="76"/>
    </row>
    <row r="1913">
      <c r="A1913" s="73"/>
      <c r="B1913" s="74"/>
      <c r="C1913" s="74"/>
      <c r="D1913" s="73"/>
      <c r="E1913" s="75"/>
      <c r="F1913" s="75"/>
      <c r="G1913" s="76"/>
    </row>
    <row r="1914">
      <c r="A1914" s="73"/>
      <c r="B1914" s="74"/>
      <c r="C1914" s="74"/>
      <c r="D1914" s="73"/>
      <c r="E1914" s="75"/>
      <c r="F1914" s="75"/>
      <c r="G1914" s="76"/>
    </row>
    <row r="1915">
      <c r="A1915" s="73"/>
      <c r="B1915" s="74"/>
      <c r="C1915" s="74"/>
      <c r="D1915" s="73"/>
      <c r="E1915" s="75"/>
      <c r="F1915" s="75"/>
      <c r="G1915" s="76"/>
    </row>
    <row r="1916">
      <c r="A1916" s="73"/>
      <c r="B1916" s="74"/>
      <c r="C1916" s="74"/>
      <c r="D1916" s="73"/>
      <c r="E1916" s="75"/>
      <c r="F1916" s="75"/>
      <c r="G1916" s="76"/>
    </row>
    <row r="1917">
      <c r="A1917" s="73"/>
      <c r="B1917" s="74"/>
      <c r="C1917" s="74"/>
      <c r="D1917" s="73"/>
      <c r="E1917" s="75"/>
      <c r="F1917" s="75"/>
      <c r="G1917" s="76"/>
    </row>
    <row r="1918">
      <c r="A1918" s="73"/>
      <c r="B1918" s="74"/>
      <c r="C1918" s="74"/>
      <c r="D1918" s="73"/>
      <c r="E1918" s="75"/>
      <c r="F1918" s="75"/>
      <c r="G1918" s="76"/>
    </row>
    <row r="1919">
      <c r="A1919" s="73"/>
      <c r="B1919" s="74"/>
      <c r="C1919" s="74"/>
      <c r="D1919" s="73"/>
      <c r="E1919" s="75"/>
      <c r="F1919" s="75"/>
      <c r="G1919" s="76"/>
    </row>
    <row r="1920">
      <c r="A1920" s="73"/>
      <c r="B1920" s="74"/>
      <c r="C1920" s="74"/>
      <c r="D1920" s="73"/>
      <c r="E1920" s="75"/>
      <c r="F1920" s="75"/>
      <c r="G1920" s="76"/>
    </row>
    <row r="1921">
      <c r="A1921" s="73"/>
      <c r="B1921" s="74"/>
      <c r="C1921" s="74"/>
      <c r="D1921" s="73"/>
      <c r="E1921" s="75"/>
      <c r="F1921" s="75"/>
      <c r="G1921" s="76"/>
    </row>
    <row r="1922">
      <c r="A1922" s="73"/>
      <c r="B1922" s="74"/>
      <c r="C1922" s="74"/>
      <c r="D1922" s="73"/>
      <c r="E1922" s="75"/>
      <c r="F1922" s="75"/>
      <c r="G1922" s="76"/>
    </row>
    <row r="1923">
      <c r="A1923" s="73"/>
      <c r="B1923" s="74"/>
      <c r="C1923" s="74"/>
      <c r="D1923" s="73"/>
      <c r="E1923" s="75"/>
      <c r="F1923" s="75"/>
      <c r="G1923" s="76"/>
    </row>
    <row r="1924">
      <c r="A1924" s="73"/>
      <c r="B1924" s="74"/>
      <c r="C1924" s="74"/>
      <c r="D1924" s="73"/>
      <c r="E1924" s="75"/>
      <c r="F1924" s="75"/>
      <c r="G1924" s="76"/>
    </row>
    <row r="1925">
      <c r="A1925" s="73"/>
      <c r="B1925" s="74"/>
      <c r="C1925" s="74"/>
      <c r="D1925" s="73"/>
      <c r="E1925" s="75"/>
      <c r="F1925" s="75"/>
      <c r="G1925" s="76"/>
    </row>
    <row r="1926">
      <c r="A1926" s="73"/>
      <c r="B1926" s="74"/>
      <c r="C1926" s="74"/>
      <c r="D1926" s="73"/>
      <c r="E1926" s="75"/>
      <c r="F1926" s="75"/>
      <c r="G1926" s="76"/>
    </row>
    <row r="1927">
      <c r="A1927" s="73"/>
      <c r="B1927" s="74"/>
      <c r="C1927" s="74"/>
      <c r="D1927" s="73"/>
      <c r="E1927" s="75"/>
      <c r="F1927" s="75"/>
      <c r="G1927" s="76"/>
    </row>
    <row r="1928">
      <c r="A1928" s="73"/>
      <c r="B1928" s="74"/>
      <c r="C1928" s="74"/>
      <c r="D1928" s="73"/>
      <c r="E1928" s="75"/>
      <c r="F1928" s="75"/>
      <c r="G1928" s="76"/>
    </row>
    <row r="1929">
      <c r="A1929" s="73"/>
      <c r="B1929" s="74"/>
      <c r="C1929" s="74"/>
      <c r="D1929" s="73"/>
      <c r="E1929" s="75"/>
      <c r="F1929" s="75"/>
      <c r="G1929" s="76"/>
    </row>
    <row r="1930">
      <c r="A1930" s="73"/>
      <c r="B1930" s="74"/>
      <c r="C1930" s="74"/>
      <c r="D1930" s="73"/>
      <c r="E1930" s="75"/>
      <c r="F1930" s="75"/>
      <c r="G1930" s="76"/>
    </row>
    <row r="1931">
      <c r="A1931" s="73"/>
      <c r="B1931" s="74"/>
      <c r="C1931" s="74"/>
      <c r="D1931" s="73"/>
      <c r="E1931" s="75"/>
      <c r="F1931" s="75"/>
      <c r="G1931" s="76"/>
    </row>
    <row r="1932">
      <c r="A1932" s="73"/>
      <c r="B1932" s="74"/>
      <c r="C1932" s="74"/>
      <c r="D1932" s="73"/>
      <c r="E1932" s="75"/>
      <c r="F1932" s="75"/>
      <c r="G1932" s="76"/>
    </row>
    <row r="1933">
      <c r="A1933" s="73"/>
      <c r="B1933" s="74"/>
      <c r="C1933" s="74"/>
      <c r="D1933" s="73"/>
      <c r="E1933" s="75"/>
      <c r="F1933" s="75"/>
      <c r="G1933" s="76"/>
    </row>
    <row r="1934">
      <c r="A1934" s="73"/>
      <c r="B1934" s="74"/>
      <c r="C1934" s="74"/>
      <c r="D1934" s="73"/>
      <c r="E1934" s="75"/>
      <c r="F1934" s="75"/>
      <c r="G1934" s="76"/>
    </row>
    <row r="1935">
      <c r="A1935" s="73"/>
      <c r="B1935" s="74"/>
      <c r="C1935" s="74"/>
      <c r="D1935" s="73"/>
      <c r="E1935" s="75"/>
      <c r="F1935" s="75"/>
      <c r="G1935" s="76"/>
    </row>
    <row r="1936">
      <c r="A1936" s="73"/>
      <c r="B1936" s="74"/>
      <c r="C1936" s="74"/>
      <c r="D1936" s="73"/>
      <c r="E1936" s="75"/>
      <c r="F1936" s="75"/>
      <c r="G1936" s="76"/>
    </row>
    <row r="1937">
      <c r="A1937" s="73"/>
      <c r="B1937" s="74"/>
      <c r="C1937" s="74"/>
      <c r="D1937" s="73"/>
      <c r="E1937" s="75"/>
      <c r="F1937" s="75"/>
      <c r="G1937" s="76"/>
    </row>
    <row r="1938">
      <c r="A1938" s="73"/>
      <c r="B1938" s="74"/>
      <c r="C1938" s="74"/>
      <c r="D1938" s="73"/>
      <c r="E1938" s="75"/>
      <c r="F1938" s="75"/>
      <c r="G1938" s="76"/>
    </row>
    <row r="1939">
      <c r="A1939" s="73"/>
      <c r="B1939" s="74"/>
      <c r="C1939" s="74"/>
      <c r="D1939" s="73"/>
      <c r="E1939" s="75"/>
      <c r="F1939" s="75"/>
      <c r="G1939" s="76"/>
    </row>
    <row r="1940">
      <c r="A1940" s="73"/>
      <c r="B1940" s="74"/>
      <c r="C1940" s="74"/>
      <c r="D1940" s="73"/>
      <c r="E1940" s="75"/>
      <c r="F1940" s="75"/>
      <c r="G1940" s="76"/>
    </row>
    <row r="1941">
      <c r="A1941" s="73"/>
      <c r="B1941" s="74"/>
      <c r="C1941" s="74"/>
      <c r="D1941" s="73"/>
      <c r="E1941" s="75"/>
      <c r="F1941" s="75"/>
      <c r="G1941" s="76"/>
    </row>
    <row r="1942">
      <c r="A1942" s="73"/>
      <c r="B1942" s="74"/>
      <c r="C1942" s="74"/>
      <c r="D1942" s="73"/>
      <c r="E1942" s="75"/>
      <c r="F1942" s="75"/>
      <c r="G1942" s="76"/>
    </row>
    <row r="1943">
      <c r="A1943" s="73"/>
      <c r="B1943" s="74"/>
      <c r="C1943" s="74"/>
      <c r="D1943" s="73"/>
      <c r="E1943" s="75"/>
      <c r="F1943" s="75"/>
      <c r="G1943" s="76"/>
    </row>
    <row r="1944">
      <c r="A1944" s="73"/>
      <c r="B1944" s="74"/>
      <c r="C1944" s="74"/>
      <c r="D1944" s="73"/>
      <c r="E1944" s="75"/>
      <c r="F1944" s="75"/>
      <c r="G1944" s="76"/>
    </row>
    <row r="1945">
      <c r="A1945" s="73"/>
      <c r="B1945" s="74"/>
      <c r="C1945" s="74"/>
      <c r="D1945" s="73"/>
      <c r="E1945" s="75"/>
      <c r="F1945" s="75"/>
      <c r="G1945" s="76"/>
    </row>
    <row r="1946">
      <c r="A1946" s="73"/>
      <c r="B1946" s="74"/>
      <c r="C1946" s="74"/>
      <c r="D1946" s="73"/>
      <c r="E1946" s="75"/>
      <c r="F1946" s="75"/>
      <c r="G1946" s="76"/>
    </row>
    <row r="1947">
      <c r="A1947" s="73"/>
      <c r="B1947" s="74"/>
      <c r="C1947" s="74"/>
      <c r="D1947" s="73"/>
      <c r="E1947" s="75"/>
      <c r="F1947" s="75"/>
      <c r="G1947" s="76"/>
    </row>
    <row r="1948">
      <c r="A1948" s="73"/>
      <c r="B1948" s="74"/>
      <c r="C1948" s="74"/>
      <c r="D1948" s="73"/>
      <c r="E1948" s="75"/>
      <c r="F1948" s="75"/>
      <c r="G1948" s="76"/>
    </row>
    <row r="1949">
      <c r="A1949" s="73"/>
      <c r="B1949" s="74"/>
      <c r="C1949" s="74"/>
      <c r="D1949" s="73"/>
      <c r="E1949" s="75"/>
      <c r="F1949" s="75"/>
      <c r="G1949" s="76"/>
    </row>
    <row r="1950">
      <c r="A1950" s="73"/>
      <c r="B1950" s="74"/>
      <c r="C1950" s="74"/>
      <c r="D1950" s="73"/>
      <c r="E1950" s="75"/>
      <c r="F1950" s="75"/>
      <c r="G1950" s="76"/>
    </row>
    <row r="1951">
      <c r="A1951" s="73"/>
      <c r="B1951" s="74"/>
      <c r="C1951" s="74"/>
      <c r="D1951" s="73"/>
      <c r="E1951" s="75"/>
      <c r="F1951" s="75"/>
      <c r="G1951" s="76"/>
    </row>
    <row r="1952">
      <c r="A1952" s="73"/>
      <c r="B1952" s="74"/>
      <c r="C1952" s="74"/>
      <c r="D1952" s="73"/>
      <c r="E1952" s="75"/>
      <c r="F1952" s="75"/>
      <c r="G1952" s="76"/>
    </row>
    <row r="1953">
      <c r="A1953" s="73"/>
      <c r="B1953" s="74"/>
      <c r="C1953" s="74"/>
      <c r="D1953" s="73"/>
      <c r="E1953" s="75"/>
      <c r="F1953" s="75"/>
      <c r="G1953" s="76"/>
    </row>
    <row r="1954">
      <c r="A1954" s="73"/>
      <c r="B1954" s="74"/>
      <c r="C1954" s="74"/>
      <c r="D1954" s="73"/>
      <c r="E1954" s="75"/>
      <c r="F1954" s="75"/>
      <c r="G1954" s="76"/>
    </row>
    <row r="1955">
      <c r="A1955" s="73"/>
      <c r="B1955" s="74"/>
      <c r="C1955" s="74"/>
      <c r="D1955" s="73"/>
      <c r="E1955" s="75"/>
      <c r="F1955" s="75"/>
      <c r="G1955" s="76"/>
    </row>
    <row r="1956">
      <c r="A1956" s="73"/>
      <c r="B1956" s="74"/>
      <c r="C1956" s="74"/>
      <c r="D1956" s="73"/>
      <c r="E1956" s="75"/>
      <c r="F1956" s="75"/>
      <c r="G1956" s="76"/>
    </row>
    <row r="1957">
      <c r="A1957" s="73"/>
      <c r="B1957" s="74"/>
      <c r="C1957" s="74"/>
      <c r="D1957" s="73"/>
      <c r="E1957" s="75"/>
      <c r="F1957" s="75"/>
      <c r="G1957" s="76"/>
    </row>
    <row r="1958">
      <c r="A1958" s="73"/>
      <c r="B1958" s="74"/>
      <c r="C1958" s="74"/>
      <c r="D1958" s="73"/>
      <c r="E1958" s="75"/>
      <c r="F1958" s="75"/>
      <c r="G1958" s="76"/>
    </row>
    <row r="1959">
      <c r="A1959" s="73"/>
      <c r="B1959" s="74"/>
      <c r="C1959" s="74"/>
      <c r="D1959" s="73"/>
      <c r="E1959" s="75"/>
      <c r="F1959" s="75"/>
      <c r="G1959" s="76"/>
    </row>
    <row r="1960">
      <c r="A1960" s="73"/>
      <c r="B1960" s="74"/>
      <c r="C1960" s="74"/>
      <c r="D1960" s="73"/>
      <c r="E1960" s="75"/>
      <c r="F1960" s="75"/>
      <c r="G1960" s="76"/>
    </row>
    <row r="1961">
      <c r="A1961" s="73"/>
      <c r="B1961" s="74"/>
      <c r="C1961" s="74"/>
      <c r="D1961" s="73"/>
      <c r="E1961" s="75"/>
      <c r="F1961" s="75"/>
      <c r="G1961" s="76"/>
    </row>
    <row r="1962">
      <c r="A1962" s="73"/>
      <c r="B1962" s="74"/>
      <c r="C1962" s="74"/>
      <c r="D1962" s="73"/>
      <c r="E1962" s="75"/>
      <c r="F1962" s="75"/>
      <c r="G1962" s="76"/>
    </row>
    <row r="1963">
      <c r="A1963" s="73"/>
      <c r="B1963" s="74"/>
      <c r="C1963" s="74"/>
      <c r="D1963" s="73"/>
      <c r="E1963" s="75"/>
      <c r="F1963" s="75"/>
      <c r="G1963" s="76"/>
    </row>
    <row r="1964">
      <c r="A1964" s="73"/>
      <c r="B1964" s="74"/>
      <c r="C1964" s="74"/>
      <c r="D1964" s="73"/>
      <c r="E1964" s="75"/>
      <c r="F1964" s="75"/>
      <c r="G1964" s="76"/>
    </row>
    <row r="1965">
      <c r="A1965" s="73"/>
      <c r="B1965" s="74"/>
      <c r="C1965" s="74"/>
      <c r="D1965" s="73"/>
      <c r="E1965" s="75"/>
      <c r="F1965" s="75"/>
      <c r="G1965" s="76"/>
    </row>
    <row r="1966">
      <c r="A1966" s="73"/>
      <c r="B1966" s="74"/>
      <c r="C1966" s="74"/>
      <c r="D1966" s="73"/>
      <c r="E1966" s="75"/>
      <c r="F1966" s="75"/>
      <c r="G1966" s="76"/>
    </row>
    <row r="1967">
      <c r="A1967" s="73"/>
      <c r="B1967" s="74"/>
      <c r="C1967" s="74"/>
      <c r="D1967" s="73"/>
      <c r="E1967" s="75"/>
      <c r="F1967" s="75"/>
      <c r="G1967" s="76"/>
    </row>
    <row r="1968">
      <c r="A1968" s="73"/>
      <c r="B1968" s="74"/>
      <c r="C1968" s="74"/>
      <c r="D1968" s="73"/>
      <c r="E1968" s="75"/>
      <c r="F1968" s="75"/>
      <c r="G1968" s="76"/>
    </row>
    <row r="1969">
      <c r="A1969" s="73"/>
      <c r="B1969" s="74"/>
      <c r="C1969" s="74"/>
      <c r="D1969" s="73"/>
      <c r="E1969" s="75"/>
      <c r="F1969" s="75"/>
      <c r="G1969" s="76"/>
    </row>
    <row r="1970">
      <c r="A1970" s="73"/>
      <c r="B1970" s="74"/>
      <c r="C1970" s="74"/>
      <c r="D1970" s="73"/>
      <c r="E1970" s="75"/>
      <c r="F1970" s="75"/>
      <c r="G1970" s="76"/>
    </row>
    <row r="1971">
      <c r="A1971" s="73"/>
      <c r="B1971" s="74"/>
      <c r="C1971" s="74"/>
      <c r="D1971" s="73"/>
      <c r="E1971" s="75"/>
      <c r="F1971" s="75"/>
      <c r="G1971" s="76"/>
    </row>
    <row r="1972">
      <c r="A1972" s="73"/>
      <c r="B1972" s="74"/>
      <c r="C1972" s="74"/>
      <c r="D1972" s="73"/>
      <c r="E1972" s="75"/>
      <c r="F1972" s="75"/>
      <c r="G1972" s="76"/>
    </row>
    <row r="1973">
      <c r="A1973" s="73"/>
      <c r="B1973" s="74"/>
      <c r="C1973" s="74"/>
      <c r="D1973" s="73"/>
      <c r="E1973" s="75"/>
      <c r="F1973" s="75"/>
      <c r="G1973" s="76"/>
    </row>
    <row r="1974">
      <c r="A1974" s="73"/>
      <c r="B1974" s="74"/>
      <c r="C1974" s="74"/>
      <c r="D1974" s="73"/>
      <c r="E1974" s="75"/>
      <c r="F1974" s="75"/>
      <c r="G1974" s="76"/>
    </row>
    <row r="1975">
      <c r="A1975" s="73"/>
      <c r="B1975" s="74"/>
      <c r="C1975" s="74"/>
      <c r="D1975" s="73"/>
      <c r="E1975" s="75"/>
      <c r="F1975" s="75"/>
      <c r="G1975" s="76"/>
    </row>
    <row r="1976">
      <c r="A1976" s="73"/>
      <c r="B1976" s="74"/>
      <c r="C1976" s="74"/>
      <c r="D1976" s="73"/>
      <c r="E1976" s="75"/>
      <c r="F1976" s="75"/>
      <c r="G1976" s="76"/>
    </row>
    <row r="1977">
      <c r="A1977" s="73"/>
      <c r="B1977" s="74"/>
      <c r="C1977" s="74"/>
      <c r="D1977" s="73"/>
      <c r="E1977" s="75"/>
      <c r="F1977" s="75"/>
      <c r="G1977" s="76"/>
    </row>
    <row r="1978">
      <c r="A1978" s="73"/>
      <c r="B1978" s="74"/>
      <c r="C1978" s="74"/>
      <c r="D1978" s="73"/>
      <c r="E1978" s="75"/>
      <c r="F1978" s="75"/>
      <c r="G1978" s="76"/>
    </row>
    <row r="1979">
      <c r="A1979" s="73"/>
      <c r="B1979" s="74"/>
      <c r="C1979" s="74"/>
      <c r="D1979" s="73"/>
      <c r="E1979" s="75"/>
      <c r="F1979" s="75"/>
      <c r="G1979" s="76"/>
    </row>
    <row r="1980">
      <c r="A1980" s="73"/>
      <c r="B1980" s="74"/>
      <c r="C1980" s="74"/>
      <c r="D1980" s="73"/>
      <c r="E1980" s="75"/>
      <c r="F1980" s="75"/>
      <c r="G1980" s="76"/>
    </row>
    <row r="1981">
      <c r="A1981" s="73"/>
      <c r="B1981" s="74"/>
      <c r="C1981" s="74"/>
      <c r="D1981" s="73"/>
      <c r="E1981" s="75"/>
      <c r="F1981" s="75"/>
      <c r="G1981" s="76"/>
    </row>
    <row r="1982">
      <c r="A1982" s="73"/>
      <c r="B1982" s="74"/>
      <c r="C1982" s="74"/>
      <c r="D1982" s="73"/>
      <c r="E1982" s="75"/>
      <c r="F1982" s="75"/>
      <c r="G1982" s="76"/>
    </row>
    <row r="1983">
      <c r="A1983" s="73"/>
      <c r="B1983" s="74"/>
      <c r="C1983" s="74"/>
      <c r="D1983" s="73"/>
      <c r="E1983" s="75"/>
      <c r="F1983" s="75"/>
      <c r="G1983" s="76"/>
    </row>
    <row r="1984">
      <c r="A1984" s="73"/>
      <c r="B1984" s="74"/>
      <c r="C1984" s="74"/>
      <c r="D1984" s="73"/>
      <c r="E1984" s="75"/>
      <c r="F1984" s="75"/>
      <c r="G1984" s="76"/>
    </row>
    <row r="1985">
      <c r="A1985" s="73"/>
      <c r="B1985" s="74"/>
      <c r="C1985" s="74"/>
      <c r="D1985" s="73"/>
      <c r="E1985" s="75"/>
      <c r="F1985" s="75"/>
      <c r="G1985" s="76"/>
    </row>
    <row r="1986">
      <c r="A1986" s="73"/>
      <c r="B1986" s="74"/>
      <c r="C1986" s="74"/>
      <c r="D1986" s="73"/>
      <c r="E1986" s="75"/>
      <c r="F1986" s="75"/>
      <c r="G1986" s="76"/>
    </row>
    <row r="1987">
      <c r="A1987" s="73"/>
      <c r="B1987" s="74"/>
      <c r="C1987" s="74"/>
      <c r="D1987" s="73"/>
      <c r="E1987" s="75"/>
      <c r="F1987" s="75"/>
      <c r="G1987" s="76"/>
    </row>
    <row r="1988">
      <c r="A1988" s="73"/>
      <c r="B1988" s="74"/>
      <c r="C1988" s="74"/>
      <c r="D1988" s="73"/>
      <c r="E1988" s="75"/>
      <c r="F1988" s="75"/>
      <c r="G1988" s="76"/>
    </row>
    <row r="1989">
      <c r="A1989" s="73"/>
      <c r="B1989" s="74"/>
      <c r="C1989" s="74"/>
      <c r="D1989" s="73"/>
      <c r="E1989" s="75"/>
      <c r="F1989" s="75"/>
      <c r="G1989" s="76"/>
    </row>
    <row r="1990">
      <c r="A1990" s="73"/>
      <c r="B1990" s="74"/>
      <c r="C1990" s="74"/>
      <c r="D1990" s="73"/>
      <c r="E1990" s="75"/>
      <c r="F1990" s="75"/>
      <c r="G1990" s="76"/>
    </row>
    <row r="1991">
      <c r="A1991" s="73"/>
      <c r="B1991" s="74"/>
      <c r="C1991" s="74"/>
      <c r="D1991" s="73"/>
      <c r="E1991" s="75"/>
      <c r="F1991" s="75"/>
      <c r="G1991" s="76"/>
    </row>
    <row r="1992">
      <c r="A1992" s="73"/>
      <c r="B1992" s="74"/>
      <c r="C1992" s="74"/>
      <c r="D1992" s="73"/>
      <c r="E1992" s="75"/>
      <c r="F1992" s="75"/>
      <c r="G1992" s="76"/>
    </row>
    <row r="1993">
      <c r="A1993" s="73"/>
      <c r="B1993" s="74"/>
      <c r="C1993" s="74"/>
      <c r="D1993" s="73"/>
      <c r="E1993" s="75"/>
      <c r="F1993" s="75"/>
      <c r="G1993" s="76"/>
    </row>
    <row r="1994">
      <c r="A1994" s="73"/>
      <c r="B1994" s="74"/>
      <c r="C1994" s="74"/>
      <c r="D1994" s="73"/>
      <c r="E1994" s="75"/>
      <c r="F1994" s="75"/>
      <c r="G1994" s="76"/>
    </row>
    <row r="1995">
      <c r="A1995" s="73"/>
      <c r="B1995" s="74"/>
      <c r="C1995" s="74"/>
      <c r="D1995" s="73"/>
      <c r="E1995" s="75"/>
      <c r="F1995" s="75"/>
      <c r="G1995" s="76"/>
    </row>
    <row r="1996">
      <c r="A1996" s="73"/>
      <c r="B1996" s="74"/>
      <c r="C1996" s="74"/>
      <c r="D1996" s="73"/>
      <c r="E1996" s="75"/>
      <c r="F1996" s="75"/>
      <c r="G1996" s="76"/>
    </row>
    <row r="1997">
      <c r="A1997" s="73"/>
      <c r="B1997" s="74"/>
      <c r="C1997" s="74"/>
      <c r="D1997" s="73"/>
      <c r="E1997" s="75"/>
      <c r="F1997" s="75"/>
      <c r="G1997" s="76"/>
    </row>
    <row r="1998">
      <c r="A1998" s="73"/>
      <c r="B1998" s="74"/>
      <c r="C1998" s="74"/>
      <c r="D1998" s="73"/>
      <c r="E1998" s="75"/>
      <c r="F1998" s="75"/>
      <c r="G1998" s="76"/>
    </row>
    <row r="1999">
      <c r="A1999" s="73"/>
      <c r="B1999" s="74"/>
      <c r="C1999" s="74"/>
      <c r="D1999" s="73"/>
      <c r="E1999" s="75"/>
      <c r="F1999" s="75"/>
      <c r="G1999" s="76"/>
    </row>
    <row r="2000">
      <c r="A2000" s="73"/>
      <c r="B2000" s="74"/>
      <c r="C2000" s="74"/>
      <c r="D2000" s="73"/>
      <c r="E2000" s="75"/>
      <c r="F2000" s="75"/>
      <c r="G2000" s="76"/>
    </row>
    <row r="2001">
      <c r="A2001" s="73"/>
      <c r="B2001" s="74"/>
      <c r="C2001" s="74"/>
      <c r="D2001" s="73"/>
      <c r="E2001" s="75"/>
      <c r="F2001" s="75"/>
      <c r="G2001" s="76"/>
    </row>
    <row r="2002">
      <c r="A2002" s="73"/>
      <c r="B2002" s="74"/>
      <c r="C2002" s="74"/>
      <c r="D2002" s="73"/>
      <c r="E2002" s="75"/>
      <c r="F2002" s="75"/>
      <c r="G2002" s="76"/>
    </row>
    <row r="2003">
      <c r="A2003" s="73"/>
      <c r="B2003" s="74"/>
      <c r="C2003" s="74"/>
      <c r="D2003" s="73"/>
      <c r="E2003" s="75"/>
      <c r="F2003" s="75"/>
      <c r="G2003" s="76"/>
    </row>
    <row r="2004">
      <c r="A2004" s="73"/>
      <c r="B2004" s="74"/>
      <c r="C2004" s="74"/>
      <c r="D2004" s="73"/>
      <c r="E2004" s="75"/>
      <c r="F2004" s="75"/>
      <c r="G2004" s="76"/>
    </row>
    <row r="2005">
      <c r="A2005" s="73"/>
      <c r="B2005" s="74"/>
      <c r="C2005" s="74"/>
      <c r="D2005" s="73"/>
      <c r="E2005" s="75"/>
      <c r="F2005" s="75"/>
      <c r="G2005" s="76"/>
    </row>
    <row r="2006">
      <c r="A2006" s="73"/>
      <c r="B2006" s="74"/>
      <c r="C2006" s="74"/>
      <c r="D2006" s="73"/>
      <c r="E2006" s="75"/>
      <c r="F2006" s="75"/>
      <c r="G2006" s="76"/>
    </row>
    <row r="2007">
      <c r="A2007" s="73"/>
      <c r="B2007" s="74"/>
      <c r="C2007" s="74"/>
      <c r="D2007" s="73"/>
      <c r="E2007" s="75"/>
      <c r="F2007" s="75"/>
      <c r="G2007" s="76"/>
    </row>
    <row r="2008">
      <c r="A2008" s="73"/>
      <c r="B2008" s="74"/>
      <c r="C2008" s="74"/>
      <c r="D2008" s="73"/>
      <c r="E2008" s="75"/>
      <c r="F2008" s="75"/>
      <c r="G2008" s="76"/>
    </row>
    <row r="2009">
      <c r="A2009" s="73"/>
      <c r="B2009" s="74"/>
      <c r="C2009" s="74"/>
      <c r="D2009" s="73"/>
      <c r="E2009" s="75"/>
      <c r="F2009" s="75"/>
      <c r="G2009" s="76"/>
    </row>
    <row r="2010">
      <c r="A2010" s="73"/>
      <c r="B2010" s="74"/>
      <c r="C2010" s="74"/>
      <c r="D2010" s="73"/>
      <c r="E2010" s="75"/>
      <c r="F2010" s="75"/>
      <c r="G2010" s="76"/>
    </row>
    <row r="2011">
      <c r="A2011" s="73"/>
      <c r="B2011" s="74"/>
      <c r="C2011" s="74"/>
      <c r="D2011" s="73"/>
      <c r="E2011" s="75"/>
      <c r="F2011" s="75"/>
      <c r="G2011" s="76"/>
    </row>
    <row r="2012">
      <c r="A2012" s="73"/>
      <c r="B2012" s="74"/>
      <c r="C2012" s="74"/>
      <c r="D2012" s="73"/>
      <c r="E2012" s="75"/>
      <c r="F2012" s="75"/>
      <c r="G2012" s="76"/>
    </row>
    <row r="2013">
      <c r="A2013" s="73"/>
      <c r="B2013" s="74"/>
      <c r="C2013" s="74"/>
      <c r="D2013" s="73"/>
      <c r="E2013" s="75"/>
      <c r="F2013" s="75"/>
      <c r="G2013" s="76"/>
    </row>
    <row r="2014">
      <c r="A2014" s="73"/>
      <c r="B2014" s="74"/>
      <c r="C2014" s="74"/>
      <c r="D2014" s="73"/>
      <c r="E2014" s="75"/>
      <c r="F2014" s="75"/>
      <c r="G2014" s="76"/>
    </row>
    <row r="2015">
      <c r="A2015" s="73"/>
      <c r="B2015" s="74"/>
      <c r="C2015" s="74"/>
      <c r="D2015" s="73"/>
      <c r="E2015" s="75"/>
      <c r="F2015" s="75"/>
      <c r="G2015" s="76"/>
    </row>
    <row r="2016">
      <c r="A2016" s="73"/>
      <c r="B2016" s="74"/>
      <c r="C2016" s="74"/>
      <c r="D2016" s="73"/>
      <c r="E2016" s="75"/>
      <c r="F2016" s="75"/>
      <c r="G2016" s="76"/>
    </row>
    <row r="2017">
      <c r="A2017" s="73"/>
      <c r="B2017" s="74"/>
      <c r="C2017" s="74"/>
      <c r="D2017" s="73"/>
      <c r="E2017" s="75"/>
      <c r="F2017" s="75"/>
      <c r="G2017" s="76"/>
    </row>
    <row r="2018">
      <c r="A2018" s="73"/>
      <c r="B2018" s="74"/>
      <c r="C2018" s="74"/>
      <c r="D2018" s="73"/>
      <c r="E2018" s="75"/>
      <c r="F2018" s="75"/>
      <c r="G2018" s="76"/>
    </row>
    <row r="2019">
      <c r="A2019" s="73"/>
      <c r="B2019" s="74"/>
      <c r="C2019" s="74"/>
      <c r="D2019" s="73"/>
      <c r="E2019" s="75"/>
      <c r="F2019" s="75"/>
      <c r="G2019" s="76"/>
    </row>
    <row r="2020">
      <c r="A2020" s="73"/>
      <c r="B2020" s="74"/>
      <c r="C2020" s="74"/>
      <c r="D2020" s="73"/>
      <c r="E2020" s="75"/>
      <c r="F2020" s="75"/>
      <c r="G2020" s="76"/>
    </row>
    <row r="2021">
      <c r="A2021" s="73"/>
      <c r="B2021" s="74"/>
      <c r="C2021" s="74"/>
      <c r="D2021" s="73"/>
      <c r="E2021" s="75"/>
      <c r="F2021" s="75"/>
      <c r="G2021" s="76"/>
    </row>
    <row r="2022">
      <c r="A2022" s="73"/>
      <c r="B2022" s="74"/>
      <c r="C2022" s="74"/>
      <c r="D2022" s="73"/>
      <c r="E2022" s="75"/>
      <c r="F2022" s="75"/>
      <c r="G2022" s="76"/>
    </row>
    <row r="2023">
      <c r="A2023" s="73"/>
      <c r="B2023" s="74"/>
      <c r="C2023" s="74"/>
      <c r="D2023" s="73"/>
      <c r="E2023" s="75"/>
      <c r="F2023" s="75"/>
      <c r="G2023" s="76"/>
    </row>
    <row r="2024">
      <c r="A2024" s="73"/>
      <c r="B2024" s="74"/>
      <c r="C2024" s="74"/>
      <c r="D2024" s="73"/>
      <c r="E2024" s="75"/>
      <c r="F2024" s="75"/>
      <c r="G2024" s="76"/>
    </row>
    <row r="2025">
      <c r="A2025" s="73"/>
      <c r="B2025" s="74"/>
      <c r="C2025" s="74"/>
      <c r="D2025" s="73"/>
      <c r="E2025" s="75"/>
      <c r="F2025" s="75"/>
      <c r="G2025" s="76"/>
    </row>
    <row r="2026">
      <c r="A2026" s="73"/>
      <c r="B2026" s="74"/>
      <c r="C2026" s="74"/>
      <c r="D2026" s="73"/>
      <c r="E2026" s="75"/>
      <c r="F2026" s="75"/>
      <c r="G2026" s="76"/>
    </row>
    <row r="2027">
      <c r="A2027" s="73"/>
      <c r="B2027" s="74"/>
      <c r="C2027" s="74"/>
      <c r="D2027" s="73"/>
      <c r="E2027" s="75"/>
      <c r="F2027" s="75"/>
      <c r="G2027" s="76"/>
    </row>
    <row r="2028">
      <c r="A2028" s="73"/>
      <c r="B2028" s="74"/>
      <c r="C2028" s="74"/>
      <c r="D2028" s="73"/>
      <c r="E2028" s="75"/>
      <c r="F2028" s="75"/>
      <c r="G2028" s="76"/>
    </row>
    <row r="2029">
      <c r="A2029" s="73"/>
      <c r="B2029" s="74"/>
      <c r="C2029" s="74"/>
      <c r="D2029" s="73"/>
      <c r="E2029" s="75"/>
      <c r="F2029" s="75"/>
      <c r="G2029" s="76"/>
    </row>
    <row r="2030">
      <c r="A2030" s="73"/>
      <c r="B2030" s="74"/>
      <c r="C2030" s="74"/>
      <c r="D2030" s="73"/>
      <c r="E2030" s="75"/>
      <c r="F2030" s="75"/>
      <c r="G2030" s="76"/>
    </row>
    <row r="2031">
      <c r="A2031" s="73"/>
      <c r="B2031" s="74"/>
      <c r="C2031" s="74"/>
      <c r="D2031" s="73"/>
      <c r="E2031" s="75"/>
      <c r="F2031" s="75"/>
      <c r="G2031" s="76"/>
    </row>
    <row r="2032">
      <c r="A2032" s="73"/>
      <c r="B2032" s="74"/>
      <c r="C2032" s="74"/>
      <c r="D2032" s="73"/>
      <c r="E2032" s="75"/>
      <c r="F2032" s="75"/>
      <c r="G2032" s="76"/>
    </row>
    <row r="2033">
      <c r="A2033" s="73"/>
      <c r="B2033" s="74"/>
      <c r="C2033" s="74"/>
      <c r="D2033" s="73"/>
      <c r="E2033" s="75"/>
      <c r="F2033" s="75"/>
      <c r="G2033" s="76"/>
    </row>
    <row r="2034">
      <c r="A2034" s="73"/>
      <c r="B2034" s="74"/>
      <c r="C2034" s="74"/>
      <c r="D2034" s="73"/>
      <c r="E2034" s="75"/>
      <c r="F2034" s="75"/>
      <c r="G2034" s="76"/>
    </row>
    <row r="2035">
      <c r="A2035" s="73"/>
      <c r="B2035" s="74"/>
      <c r="C2035" s="74"/>
      <c r="D2035" s="73"/>
      <c r="E2035" s="75"/>
      <c r="F2035" s="75"/>
      <c r="G2035" s="76"/>
    </row>
    <row r="2036">
      <c r="A2036" s="73"/>
      <c r="B2036" s="74"/>
      <c r="C2036" s="74"/>
      <c r="D2036" s="73"/>
      <c r="E2036" s="75"/>
      <c r="F2036" s="75"/>
      <c r="G2036" s="76"/>
    </row>
    <row r="2037">
      <c r="A2037" s="73"/>
      <c r="B2037" s="74"/>
      <c r="C2037" s="74"/>
      <c r="D2037" s="73"/>
      <c r="E2037" s="75"/>
      <c r="F2037" s="75"/>
      <c r="G2037" s="76"/>
    </row>
    <row r="2038">
      <c r="A2038" s="73"/>
      <c r="B2038" s="74"/>
      <c r="C2038" s="74"/>
      <c r="D2038" s="73"/>
      <c r="E2038" s="75"/>
      <c r="F2038" s="75"/>
      <c r="G2038" s="76"/>
    </row>
    <row r="2039">
      <c r="A2039" s="73"/>
      <c r="B2039" s="74"/>
      <c r="C2039" s="74"/>
      <c r="D2039" s="73"/>
      <c r="E2039" s="75"/>
      <c r="F2039" s="75"/>
      <c r="G2039" s="76"/>
    </row>
    <row r="2040">
      <c r="A2040" s="73"/>
      <c r="B2040" s="74"/>
      <c r="C2040" s="74"/>
      <c r="D2040" s="73"/>
      <c r="E2040" s="75"/>
      <c r="F2040" s="75"/>
      <c r="G2040" s="76"/>
    </row>
    <row r="2041">
      <c r="A2041" s="73"/>
      <c r="B2041" s="74"/>
      <c r="C2041" s="74"/>
      <c r="D2041" s="73"/>
      <c r="E2041" s="75"/>
      <c r="F2041" s="75"/>
      <c r="G2041" s="76"/>
    </row>
    <row r="2042">
      <c r="A2042" s="73"/>
      <c r="B2042" s="74"/>
      <c r="C2042" s="74"/>
      <c r="D2042" s="73"/>
      <c r="E2042" s="75"/>
      <c r="F2042" s="75"/>
      <c r="G2042" s="76"/>
    </row>
    <row r="2043">
      <c r="A2043" s="73"/>
      <c r="B2043" s="74"/>
      <c r="C2043" s="74"/>
      <c r="D2043" s="73"/>
      <c r="E2043" s="75"/>
      <c r="F2043" s="75"/>
      <c r="G2043" s="76"/>
    </row>
    <row r="2044">
      <c r="A2044" s="73"/>
      <c r="B2044" s="74"/>
      <c r="C2044" s="74"/>
      <c r="D2044" s="73"/>
      <c r="E2044" s="75"/>
      <c r="F2044" s="75"/>
      <c r="G2044" s="76"/>
    </row>
    <row r="2045">
      <c r="A2045" s="73"/>
      <c r="B2045" s="74"/>
      <c r="C2045" s="74"/>
      <c r="D2045" s="73"/>
      <c r="E2045" s="75"/>
      <c r="F2045" s="75"/>
      <c r="G2045" s="76"/>
    </row>
    <row r="2046">
      <c r="A2046" s="73"/>
      <c r="B2046" s="74"/>
      <c r="C2046" s="74"/>
      <c r="D2046" s="73"/>
      <c r="E2046" s="75"/>
      <c r="F2046" s="75"/>
      <c r="G2046" s="76"/>
    </row>
    <row r="2047">
      <c r="A2047" s="73"/>
      <c r="B2047" s="74"/>
      <c r="C2047" s="74"/>
      <c r="D2047" s="73"/>
      <c r="E2047" s="75"/>
      <c r="F2047" s="75"/>
      <c r="G2047" s="76"/>
    </row>
    <row r="2048">
      <c r="A2048" s="73"/>
      <c r="B2048" s="74"/>
      <c r="C2048" s="74"/>
      <c r="D2048" s="73"/>
      <c r="E2048" s="75"/>
      <c r="F2048" s="75"/>
      <c r="G2048" s="76"/>
    </row>
    <row r="2049">
      <c r="A2049" s="73"/>
      <c r="B2049" s="74"/>
      <c r="C2049" s="74"/>
      <c r="D2049" s="73"/>
      <c r="E2049" s="75"/>
      <c r="F2049" s="75"/>
      <c r="G2049" s="76"/>
    </row>
    <row r="2050">
      <c r="A2050" s="73"/>
      <c r="B2050" s="74"/>
      <c r="C2050" s="74"/>
      <c r="D2050" s="73"/>
      <c r="E2050" s="75"/>
      <c r="F2050" s="75"/>
      <c r="G2050" s="76"/>
    </row>
    <row r="2051">
      <c r="A2051" s="73"/>
      <c r="B2051" s="74"/>
      <c r="C2051" s="74"/>
      <c r="D2051" s="73"/>
      <c r="E2051" s="75"/>
      <c r="F2051" s="75"/>
      <c r="G2051" s="76"/>
    </row>
    <row r="2052">
      <c r="A2052" s="73"/>
      <c r="B2052" s="74"/>
      <c r="C2052" s="74"/>
      <c r="D2052" s="73"/>
      <c r="E2052" s="75"/>
      <c r="F2052" s="75"/>
      <c r="G2052" s="76"/>
    </row>
    <row r="2053">
      <c r="A2053" s="73"/>
      <c r="B2053" s="74"/>
      <c r="C2053" s="74"/>
      <c r="D2053" s="73"/>
      <c r="E2053" s="75"/>
      <c r="F2053" s="75"/>
      <c r="G2053" s="76"/>
    </row>
    <row r="2054">
      <c r="A2054" s="73"/>
      <c r="B2054" s="74"/>
      <c r="C2054" s="74"/>
      <c r="D2054" s="73"/>
      <c r="E2054" s="75"/>
      <c r="F2054" s="75"/>
      <c r="G2054" s="76"/>
    </row>
    <row r="2055">
      <c r="A2055" s="73"/>
      <c r="B2055" s="74"/>
      <c r="C2055" s="74"/>
      <c r="D2055" s="73"/>
      <c r="E2055" s="75"/>
      <c r="F2055" s="75"/>
      <c r="G2055" s="76"/>
    </row>
    <row r="2056">
      <c r="A2056" s="73"/>
      <c r="B2056" s="74"/>
      <c r="C2056" s="74"/>
      <c r="D2056" s="73"/>
      <c r="E2056" s="75"/>
      <c r="F2056" s="75"/>
      <c r="G2056" s="76"/>
    </row>
    <row r="2057">
      <c r="A2057" s="73"/>
      <c r="B2057" s="74"/>
      <c r="C2057" s="74"/>
      <c r="D2057" s="73"/>
      <c r="E2057" s="75"/>
      <c r="F2057" s="75"/>
      <c r="G2057" s="76"/>
    </row>
    <row r="2058">
      <c r="A2058" s="73"/>
      <c r="B2058" s="74"/>
      <c r="C2058" s="74"/>
      <c r="D2058" s="73"/>
      <c r="E2058" s="75"/>
      <c r="F2058" s="75"/>
      <c r="G2058" s="76"/>
    </row>
    <row r="2059">
      <c r="A2059" s="73"/>
      <c r="B2059" s="74"/>
      <c r="C2059" s="74"/>
      <c r="D2059" s="73"/>
      <c r="E2059" s="75"/>
      <c r="F2059" s="75"/>
      <c r="G2059" s="76"/>
    </row>
    <row r="2060">
      <c r="A2060" s="73"/>
      <c r="B2060" s="74"/>
      <c r="C2060" s="74"/>
      <c r="D2060" s="73"/>
      <c r="E2060" s="75"/>
      <c r="F2060" s="75"/>
      <c r="G2060" s="76"/>
    </row>
    <row r="2061">
      <c r="A2061" s="73"/>
      <c r="B2061" s="74"/>
      <c r="C2061" s="74"/>
      <c r="D2061" s="73"/>
      <c r="E2061" s="75"/>
      <c r="F2061" s="75"/>
      <c r="G2061" s="76"/>
    </row>
    <row r="2062">
      <c r="A2062" s="73"/>
      <c r="B2062" s="74"/>
      <c r="C2062" s="74"/>
      <c r="D2062" s="73"/>
      <c r="E2062" s="75"/>
      <c r="F2062" s="75"/>
      <c r="G2062" s="76"/>
    </row>
    <row r="2063">
      <c r="A2063" s="73"/>
      <c r="B2063" s="74"/>
      <c r="C2063" s="74"/>
      <c r="D2063" s="73"/>
      <c r="E2063" s="75"/>
      <c r="F2063" s="75"/>
      <c r="G2063" s="76"/>
    </row>
    <row r="2064">
      <c r="A2064" s="73"/>
      <c r="B2064" s="74"/>
      <c r="C2064" s="74"/>
      <c r="D2064" s="73"/>
      <c r="E2064" s="75"/>
      <c r="F2064" s="75"/>
      <c r="G2064" s="76"/>
    </row>
    <row r="2065">
      <c r="A2065" s="73"/>
      <c r="B2065" s="74"/>
      <c r="C2065" s="74"/>
      <c r="D2065" s="73"/>
      <c r="E2065" s="75"/>
      <c r="F2065" s="75"/>
      <c r="G2065" s="76"/>
    </row>
    <row r="2066">
      <c r="A2066" s="73"/>
      <c r="B2066" s="74"/>
      <c r="C2066" s="74"/>
      <c r="D2066" s="73"/>
      <c r="E2066" s="75"/>
      <c r="F2066" s="75"/>
      <c r="G2066" s="76"/>
    </row>
    <row r="2067">
      <c r="A2067" s="73"/>
      <c r="B2067" s="74"/>
      <c r="C2067" s="74"/>
      <c r="D2067" s="73"/>
      <c r="E2067" s="75"/>
      <c r="F2067" s="75"/>
      <c r="G2067" s="76"/>
    </row>
    <row r="2068">
      <c r="A2068" s="73"/>
      <c r="B2068" s="74"/>
      <c r="C2068" s="74"/>
      <c r="D2068" s="73"/>
      <c r="E2068" s="75"/>
      <c r="F2068" s="75"/>
      <c r="G2068" s="76"/>
    </row>
    <row r="2069">
      <c r="A2069" s="73"/>
      <c r="B2069" s="74"/>
      <c r="C2069" s="74"/>
      <c r="D2069" s="73"/>
      <c r="E2069" s="75"/>
      <c r="F2069" s="75"/>
      <c r="G2069" s="76"/>
    </row>
    <row r="2070">
      <c r="A2070" s="73"/>
      <c r="B2070" s="74"/>
      <c r="C2070" s="74"/>
      <c r="D2070" s="73"/>
      <c r="E2070" s="75"/>
      <c r="F2070" s="75"/>
      <c r="G2070" s="76"/>
    </row>
    <row r="2071">
      <c r="A2071" s="73"/>
      <c r="B2071" s="74"/>
      <c r="C2071" s="74"/>
      <c r="D2071" s="73"/>
      <c r="E2071" s="75"/>
      <c r="F2071" s="75"/>
      <c r="G2071" s="76"/>
    </row>
    <row r="2072">
      <c r="A2072" s="73"/>
      <c r="B2072" s="74"/>
      <c r="C2072" s="74"/>
      <c r="D2072" s="73"/>
      <c r="E2072" s="75"/>
      <c r="F2072" s="75"/>
      <c r="G2072" s="76"/>
    </row>
    <row r="2073">
      <c r="A2073" s="73"/>
      <c r="B2073" s="74"/>
      <c r="C2073" s="74"/>
      <c r="D2073" s="73"/>
      <c r="E2073" s="75"/>
      <c r="F2073" s="75"/>
      <c r="G2073" s="76"/>
    </row>
    <row r="2074">
      <c r="A2074" s="73"/>
      <c r="B2074" s="74"/>
      <c r="C2074" s="74"/>
      <c r="D2074" s="73"/>
      <c r="E2074" s="75"/>
      <c r="F2074" s="75"/>
      <c r="G2074" s="76"/>
    </row>
    <row r="2075">
      <c r="A2075" s="73"/>
      <c r="B2075" s="74"/>
      <c r="C2075" s="74"/>
      <c r="D2075" s="73"/>
      <c r="E2075" s="75"/>
      <c r="F2075" s="75"/>
      <c r="G2075" s="76"/>
    </row>
    <row r="2076">
      <c r="A2076" s="73"/>
      <c r="B2076" s="74"/>
      <c r="C2076" s="74"/>
      <c r="D2076" s="73"/>
      <c r="E2076" s="75"/>
      <c r="F2076" s="75"/>
      <c r="G2076" s="76"/>
    </row>
    <row r="2077">
      <c r="A2077" s="73"/>
      <c r="B2077" s="74"/>
      <c r="C2077" s="74"/>
      <c r="D2077" s="73"/>
      <c r="E2077" s="75"/>
      <c r="F2077" s="75"/>
      <c r="G2077" s="76"/>
    </row>
    <row r="2078">
      <c r="A2078" s="73"/>
      <c r="B2078" s="74"/>
      <c r="C2078" s="74"/>
      <c r="D2078" s="73"/>
      <c r="E2078" s="75"/>
      <c r="F2078" s="75"/>
      <c r="G2078" s="76"/>
    </row>
    <row r="2079">
      <c r="A2079" s="73"/>
      <c r="B2079" s="74"/>
      <c r="C2079" s="74"/>
      <c r="D2079" s="73"/>
      <c r="E2079" s="75"/>
      <c r="F2079" s="75"/>
      <c r="G2079" s="76"/>
    </row>
    <row r="2080">
      <c r="A2080" s="73"/>
      <c r="B2080" s="74"/>
      <c r="C2080" s="74"/>
      <c r="D2080" s="73"/>
      <c r="E2080" s="75"/>
      <c r="F2080" s="75"/>
      <c r="G2080" s="76"/>
    </row>
    <row r="2081">
      <c r="A2081" s="73"/>
      <c r="B2081" s="74"/>
      <c r="C2081" s="74"/>
      <c r="D2081" s="73"/>
      <c r="E2081" s="75"/>
      <c r="F2081" s="75"/>
      <c r="G2081" s="76"/>
    </row>
    <row r="2082">
      <c r="A2082" s="73"/>
      <c r="B2082" s="74"/>
      <c r="C2082" s="74"/>
      <c r="D2082" s="73"/>
      <c r="E2082" s="75"/>
      <c r="F2082" s="75"/>
      <c r="G2082" s="76"/>
    </row>
    <row r="2083">
      <c r="A2083" s="73"/>
      <c r="B2083" s="74"/>
      <c r="C2083" s="74"/>
      <c r="D2083" s="73"/>
      <c r="E2083" s="75"/>
      <c r="F2083" s="75"/>
      <c r="G2083" s="76"/>
    </row>
    <row r="2084">
      <c r="A2084" s="73"/>
      <c r="B2084" s="74"/>
      <c r="C2084" s="74"/>
      <c r="D2084" s="73"/>
      <c r="E2084" s="75"/>
      <c r="F2084" s="75"/>
      <c r="G2084" s="76"/>
    </row>
    <row r="2085">
      <c r="A2085" s="73"/>
      <c r="B2085" s="74"/>
      <c r="C2085" s="74"/>
      <c r="D2085" s="73"/>
      <c r="E2085" s="75"/>
      <c r="F2085" s="75"/>
      <c r="G2085" s="76"/>
    </row>
    <row r="2086">
      <c r="A2086" s="73"/>
      <c r="B2086" s="74"/>
      <c r="C2086" s="74"/>
      <c r="D2086" s="73"/>
      <c r="E2086" s="75"/>
      <c r="F2086" s="75"/>
      <c r="G2086" s="76"/>
    </row>
    <row r="2087">
      <c r="A2087" s="73"/>
      <c r="B2087" s="74"/>
      <c r="C2087" s="74"/>
      <c r="D2087" s="73"/>
      <c r="E2087" s="75"/>
      <c r="F2087" s="75"/>
      <c r="G2087" s="76"/>
    </row>
    <row r="2088">
      <c r="A2088" s="73"/>
      <c r="B2088" s="74"/>
      <c r="C2088" s="74"/>
      <c r="D2088" s="73"/>
      <c r="E2088" s="75"/>
      <c r="F2088" s="75"/>
      <c r="G2088" s="76"/>
    </row>
    <row r="2089">
      <c r="A2089" s="73"/>
      <c r="B2089" s="74"/>
      <c r="C2089" s="74"/>
      <c r="D2089" s="73"/>
      <c r="E2089" s="75"/>
      <c r="F2089" s="75"/>
      <c r="G2089" s="76"/>
    </row>
    <row r="2090">
      <c r="A2090" s="73"/>
      <c r="B2090" s="74"/>
      <c r="C2090" s="74"/>
      <c r="D2090" s="73"/>
      <c r="E2090" s="75"/>
      <c r="F2090" s="75"/>
      <c r="G2090" s="76"/>
    </row>
    <row r="2091">
      <c r="A2091" s="73"/>
      <c r="B2091" s="74"/>
      <c r="C2091" s="74"/>
      <c r="D2091" s="73"/>
      <c r="E2091" s="75"/>
      <c r="F2091" s="75"/>
      <c r="G2091" s="76"/>
    </row>
    <row r="2092">
      <c r="A2092" s="73"/>
      <c r="B2092" s="74"/>
      <c r="C2092" s="74"/>
      <c r="D2092" s="73"/>
      <c r="E2092" s="75"/>
      <c r="F2092" s="75"/>
      <c r="G2092" s="76"/>
    </row>
    <row r="2093">
      <c r="A2093" s="73"/>
      <c r="B2093" s="74"/>
      <c r="C2093" s="74"/>
      <c r="D2093" s="73"/>
      <c r="E2093" s="75"/>
      <c r="F2093" s="75"/>
      <c r="G2093" s="76"/>
    </row>
    <row r="2094">
      <c r="A2094" s="73"/>
      <c r="B2094" s="74"/>
      <c r="C2094" s="74"/>
      <c r="D2094" s="73"/>
      <c r="E2094" s="75"/>
      <c r="F2094" s="75"/>
      <c r="G2094" s="76"/>
    </row>
    <row r="2095">
      <c r="A2095" s="73"/>
      <c r="B2095" s="74"/>
      <c r="C2095" s="74"/>
      <c r="D2095" s="73"/>
      <c r="E2095" s="75"/>
      <c r="F2095" s="75"/>
      <c r="G2095" s="76"/>
    </row>
    <row r="2096">
      <c r="A2096" s="73"/>
      <c r="B2096" s="74"/>
      <c r="C2096" s="74"/>
      <c r="D2096" s="73"/>
      <c r="E2096" s="75"/>
      <c r="F2096" s="75"/>
      <c r="G2096" s="76"/>
    </row>
    <row r="2097">
      <c r="A2097" s="73"/>
      <c r="B2097" s="74"/>
      <c r="C2097" s="74"/>
      <c r="D2097" s="73"/>
      <c r="E2097" s="75"/>
      <c r="F2097" s="75"/>
      <c r="G2097" s="76"/>
    </row>
    <row r="2098">
      <c r="A2098" s="73"/>
      <c r="B2098" s="74"/>
      <c r="C2098" s="74"/>
      <c r="D2098" s="73"/>
      <c r="E2098" s="75"/>
      <c r="F2098" s="75"/>
      <c r="G2098" s="76"/>
    </row>
    <row r="2099">
      <c r="A2099" s="73"/>
      <c r="B2099" s="74"/>
      <c r="C2099" s="74"/>
      <c r="D2099" s="73"/>
      <c r="E2099" s="75"/>
      <c r="F2099" s="75"/>
      <c r="G2099" s="76"/>
    </row>
    <row r="2100">
      <c r="A2100" s="73"/>
      <c r="B2100" s="74"/>
      <c r="C2100" s="74"/>
      <c r="D2100" s="73"/>
      <c r="E2100" s="75"/>
      <c r="F2100" s="75"/>
      <c r="G2100" s="76"/>
    </row>
    <row r="2101">
      <c r="A2101" s="73"/>
      <c r="B2101" s="74"/>
      <c r="C2101" s="74"/>
      <c r="D2101" s="73"/>
      <c r="E2101" s="75"/>
      <c r="F2101" s="75"/>
      <c r="G2101" s="76"/>
    </row>
    <row r="2102">
      <c r="A2102" s="73"/>
      <c r="B2102" s="74"/>
      <c r="C2102" s="74"/>
      <c r="D2102" s="73"/>
      <c r="E2102" s="75"/>
      <c r="F2102" s="75"/>
      <c r="G2102" s="76"/>
    </row>
    <row r="2103">
      <c r="A2103" s="73"/>
      <c r="B2103" s="74"/>
      <c r="C2103" s="74"/>
      <c r="D2103" s="73"/>
      <c r="E2103" s="75"/>
      <c r="F2103" s="75"/>
      <c r="G2103" s="76"/>
    </row>
    <row r="2104">
      <c r="A2104" s="73"/>
      <c r="B2104" s="74"/>
      <c r="C2104" s="74"/>
      <c r="D2104" s="73"/>
      <c r="E2104" s="75"/>
      <c r="F2104" s="75"/>
      <c r="G2104" s="76"/>
    </row>
    <row r="2105">
      <c r="A2105" s="73"/>
      <c r="B2105" s="74"/>
      <c r="C2105" s="74"/>
      <c r="D2105" s="73"/>
      <c r="E2105" s="75"/>
      <c r="F2105" s="75"/>
      <c r="G2105" s="76"/>
    </row>
    <row r="2106">
      <c r="A2106" s="73"/>
      <c r="B2106" s="74"/>
      <c r="C2106" s="74"/>
      <c r="D2106" s="73"/>
      <c r="E2106" s="75"/>
      <c r="F2106" s="75"/>
      <c r="G2106" s="76"/>
    </row>
    <row r="2107">
      <c r="A2107" s="73"/>
      <c r="B2107" s="74"/>
      <c r="C2107" s="74"/>
      <c r="D2107" s="73"/>
      <c r="E2107" s="75"/>
      <c r="F2107" s="75"/>
      <c r="G2107" s="76"/>
    </row>
  </sheetData>
  <autoFilter ref="$A$1:$G$133"/>
  <dataValidations>
    <dataValidation type="list" allowBlank="1" showErrorMessage="1" sqref="G2:G6 G8:G17 G19:G26 G28:G32 G34:G45 G47:G52 G54:G67 G69:G71 G73 G80 G82:G85 G87:G92 G94:G96 G98:G103 G105:G109 G111:G113 G118:G119 G121:G123 G125 G128 G130 G133:G134 G139:G141 G143:G144 G146:G153 G158 G160:G167 G169 G172 G176:G177 G182:G183 G185 G187:G189">
      <formula1>Map!$H$6:$H$11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9.0"/>
    <col customWidth="1" min="4" max="4" width="45.5"/>
    <col customWidth="1" min="5" max="5" width="33.0"/>
    <col customWidth="1" min="6" max="6" width="12.63"/>
    <col customWidth="1" min="7" max="7" width="14.0"/>
    <col customWidth="1" min="8" max="9" width="25.13"/>
    <col customWidth="1" min="10" max="10" width="12.63"/>
  </cols>
  <sheetData>
    <row r="1">
      <c r="A1" s="77" t="s">
        <v>2</v>
      </c>
      <c r="B1" s="77" t="s">
        <v>501</v>
      </c>
      <c r="C1" s="77" t="s">
        <v>502</v>
      </c>
      <c r="D1" s="77" t="s">
        <v>503</v>
      </c>
      <c r="E1" s="77" t="s">
        <v>504</v>
      </c>
      <c r="F1" s="78" t="s">
        <v>505</v>
      </c>
      <c r="G1" s="78" t="s">
        <v>506</v>
      </c>
      <c r="H1" s="78" t="s">
        <v>507</v>
      </c>
      <c r="I1" s="77" t="s">
        <v>508</v>
      </c>
      <c r="J1" s="79"/>
    </row>
    <row r="2">
      <c r="A2" s="80" t="s">
        <v>37</v>
      </c>
      <c r="B2" s="81" t="s">
        <v>224</v>
      </c>
      <c r="C2" s="82" t="s">
        <v>509</v>
      </c>
      <c r="D2" s="83" t="s">
        <v>510</v>
      </c>
      <c r="E2" s="83" t="s">
        <v>511</v>
      </c>
      <c r="F2" s="84" t="s">
        <v>457</v>
      </c>
      <c r="G2" s="85"/>
      <c r="H2" s="84"/>
      <c r="I2" s="86"/>
      <c r="J2" s="87"/>
    </row>
    <row r="3">
      <c r="A3" s="88" t="s">
        <v>37</v>
      </c>
      <c r="B3" s="89" t="s">
        <v>224</v>
      </c>
      <c r="C3" s="90" t="s">
        <v>512</v>
      </c>
      <c r="D3" s="91" t="s">
        <v>513</v>
      </c>
      <c r="E3" s="91" t="s">
        <v>514</v>
      </c>
      <c r="F3" s="92" t="s">
        <v>457</v>
      </c>
      <c r="G3" s="93"/>
      <c r="H3" s="94"/>
      <c r="I3" s="94"/>
      <c r="J3" s="87"/>
    </row>
    <row r="4">
      <c r="A4" s="80" t="s">
        <v>37</v>
      </c>
      <c r="B4" s="81" t="s">
        <v>224</v>
      </c>
      <c r="C4" s="82" t="s">
        <v>515</v>
      </c>
      <c r="D4" s="83" t="s">
        <v>516</v>
      </c>
      <c r="E4" s="83" t="s">
        <v>514</v>
      </c>
      <c r="F4" s="84" t="s">
        <v>457</v>
      </c>
      <c r="G4" s="85"/>
      <c r="H4" s="86"/>
      <c r="I4" s="86"/>
      <c r="J4" s="87"/>
    </row>
    <row r="5">
      <c r="A5" s="88" t="s">
        <v>37</v>
      </c>
      <c r="B5" s="89" t="s">
        <v>224</v>
      </c>
      <c r="C5" s="90" t="s">
        <v>517</v>
      </c>
      <c r="D5" s="91" t="s">
        <v>518</v>
      </c>
      <c r="E5" s="91" t="s">
        <v>514</v>
      </c>
      <c r="F5" s="92" t="s">
        <v>457</v>
      </c>
      <c r="G5" s="93"/>
      <c r="H5" s="94"/>
      <c r="I5" s="94"/>
      <c r="J5" s="87"/>
    </row>
    <row r="6">
      <c r="A6" s="80" t="s">
        <v>37</v>
      </c>
      <c r="B6" s="81" t="s">
        <v>224</v>
      </c>
      <c r="C6" s="82" t="s">
        <v>519</v>
      </c>
      <c r="D6" s="83" t="s">
        <v>520</v>
      </c>
      <c r="E6" s="83" t="s">
        <v>514</v>
      </c>
      <c r="F6" s="84" t="s">
        <v>457</v>
      </c>
      <c r="G6" s="85"/>
      <c r="H6" s="86"/>
      <c r="I6" s="86"/>
      <c r="J6" s="87"/>
    </row>
    <row r="7">
      <c r="A7" s="88" t="s">
        <v>37</v>
      </c>
      <c r="B7" s="89" t="s">
        <v>224</v>
      </c>
      <c r="C7" s="90" t="s">
        <v>521</v>
      </c>
      <c r="D7" s="91" t="s">
        <v>522</v>
      </c>
      <c r="E7" s="91" t="s">
        <v>514</v>
      </c>
      <c r="F7" s="92" t="s">
        <v>457</v>
      </c>
      <c r="G7" s="93"/>
      <c r="H7" s="94"/>
      <c r="I7" s="94"/>
      <c r="J7" s="87"/>
    </row>
    <row r="8">
      <c r="A8" s="80" t="s">
        <v>37</v>
      </c>
      <c r="B8" s="81" t="s">
        <v>224</v>
      </c>
      <c r="C8" s="82" t="s">
        <v>523</v>
      </c>
      <c r="D8" s="83" t="s">
        <v>524</v>
      </c>
      <c r="E8" s="83" t="s">
        <v>511</v>
      </c>
      <c r="F8" s="84" t="s">
        <v>457</v>
      </c>
      <c r="G8" s="85"/>
      <c r="H8" s="86"/>
      <c r="I8" s="86"/>
      <c r="J8" s="87"/>
    </row>
    <row r="9">
      <c r="A9" s="88" t="s">
        <v>37</v>
      </c>
      <c r="B9" s="89" t="s">
        <v>224</v>
      </c>
      <c r="C9" s="90" t="s">
        <v>525</v>
      </c>
      <c r="D9" s="91" t="s">
        <v>526</v>
      </c>
      <c r="E9" s="91" t="s">
        <v>511</v>
      </c>
      <c r="F9" s="92" t="s">
        <v>457</v>
      </c>
      <c r="G9" s="93"/>
      <c r="H9" s="94"/>
      <c r="I9" s="94"/>
      <c r="J9" s="87"/>
    </row>
    <row r="10">
      <c r="A10" s="80" t="s">
        <v>37</v>
      </c>
      <c r="B10" s="81" t="s">
        <v>224</v>
      </c>
      <c r="C10" s="82" t="s">
        <v>527</v>
      </c>
      <c r="D10" s="83" t="s">
        <v>528</v>
      </c>
      <c r="E10" s="83" t="s">
        <v>511</v>
      </c>
      <c r="F10" s="84" t="s">
        <v>457</v>
      </c>
      <c r="G10" s="85"/>
      <c r="H10" s="86"/>
      <c r="I10" s="86"/>
      <c r="J10" s="87"/>
    </row>
    <row r="11">
      <c r="A11" s="88" t="s">
        <v>37</v>
      </c>
      <c r="B11" s="89" t="s">
        <v>224</v>
      </c>
      <c r="C11" s="90" t="s">
        <v>529</v>
      </c>
      <c r="D11" s="91" t="s">
        <v>530</v>
      </c>
      <c r="E11" s="91" t="s">
        <v>511</v>
      </c>
      <c r="F11" s="92" t="s">
        <v>457</v>
      </c>
      <c r="G11" s="93"/>
      <c r="H11" s="94"/>
      <c r="I11" s="94"/>
      <c r="J11" s="87"/>
    </row>
    <row r="12">
      <c r="A12" s="80" t="s">
        <v>37</v>
      </c>
      <c r="B12" s="81" t="s">
        <v>224</v>
      </c>
      <c r="C12" s="82" t="s">
        <v>531</v>
      </c>
      <c r="D12" s="83" t="s">
        <v>532</v>
      </c>
      <c r="E12" s="83" t="s">
        <v>514</v>
      </c>
      <c r="F12" s="84" t="s">
        <v>457</v>
      </c>
      <c r="G12" s="85"/>
      <c r="H12" s="86"/>
      <c r="I12" s="86"/>
      <c r="J12" s="87"/>
    </row>
    <row r="13">
      <c r="A13" s="88" t="s">
        <v>37</v>
      </c>
      <c r="B13" s="89" t="s">
        <v>224</v>
      </c>
      <c r="C13" s="90" t="s">
        <v>533</v>
      </c>
      <c r="D13" s="91" t="s">
        <v>534</v>
      </c>
      <c r="E13" s="91" t="s">
        <v>514</v>
      </c>
      <c r="F13" s="92" t="s">
        <v>457</v>
      </c>
      <c r="G13" s="93"/>
      <c r="H13" s="94"/>
      <c r="I13" s="94"/>
      <c r="J13" s="87"/>
    </row>
    <row r="14">
      <c r="A14" s="80" t="s">
        <v>37</v>
      </c>
      <c r="B14" s="81" t="s">
        <v>224</v>
      </c>
      <c r="C14" s="82" t="s">
        <v>535</v>
      </c>
      <c r="D14" s="83" t="s">
        <v>536</v>
      </c>
      <c r="E14" s="83" t="s">
        <v>514</v>
      </c>
      <c r="F14" s="84" t="s">
        <v>457</v>
      </c>
      <c r="G14" s="85"/>
      <c r="H14" s="86"/>
      <c r="I14" s="86"/>
      <c r="J14" s="87"/>
    </row>
    <row r="15">
      <c r="A15" s="88" t="s">
        <v>37</v>
      </c>
      <c r="B15" s="89" t="s">
        <v>224</v>
      </c>
      <c r="C15" s="90" t="s">
        <v>537</v>
      </c>
      <c r="D15" s="91" t="s">
        <v>538</v>
      </c>
      <c r="E15" s="91" t="s">
        <v>514</v>
      </c>
      <c r="F15" s="92" t="s">
        <v>460</v>
      </c>
      <c r="G15" s="93" t="s">
        <v>539</v>
      </c>
      <c r="H15" s="94"/>
      <c r="I15" s="94"/>
      <c r="J15" s="87"/>
    </row>
    <row r="16">
      <c r="A16" s="80" t="s">
        <v>37</v>
      </c>
      <c r="B16" s="81" t="s">
        <v>224</v>
      </c>
      <c r="C16" s="82" t="s">
        <v>540</v>
      </c>
      <c r="D16" s="83" t="s">
        <v>541</v>
      </c>
      <c r="E16" s="83" t="s">
        <v>514</v>
      </c>
      <c r="F16" s="84" t="s">
        <v>457</v>
      </c>
      <c r="G16" s="85"/>
      <c r="H16" s="86"/>
      <c r="I16" s="86"/>
      <c r="J16" s="87"/>
    </row>
    <row r="17">
      <c r="A17" s="95" t="s">
        <v>37</v>
      </c>
      <c r="B17" s="96" t="s">
        <v>228</v>
      </c>
      <c r="C17" s="97" t="s">
        <v>542</v>
      </c>
      <c r="D17" s="91" t="s">
        <v>543</v>
      </c>
      <c r="E17" s="91" t="s">
        <v>544</v>
      </c>
      <c r="F17" s="93" t="s">
        <v>460</v>
      </c>
      <c r="G17" s="93" t="s">
        <v>545</v>
      </c>
      <c r="H17" s="98"/>
      <c r="I17" s="98"/>
      <c r="J17" s="99"/>
    </row>
    <row r="18">
      <c r="A18" s="80" t="s">
        <v>37</v>
      </c>
      <c r="B18" s="81" t="s">
        <v>228</v>
      </c>
      <c r="C18" s="82" t="s">
        <v>546</v>
      </c>
      <c r="D18" s="83" t="s">
        <v>547</v>
      </c>
      <c r="E18" s="83" t="s">
        <v>548</v>
      </c>
      <c r="F18" s="84" t="s">
        <v>457</v>
      </c>
      <c r="G18" s="100"/>
      <c r="H18" s="86"/>
      <c r="I18" s="86"/>
      <c r="J18" s="87"/>
    </row>
    <row r="19">
      <c r="A19" s="88" t="s">
        <v>37</v>
      </c>
      <c r="B19" s="89" t="s">
        <v>228</v>
      </c>
      <c r="C19" s="90" t="s">
        <v>549</v>
      </c>
      <c r="D19" s="91" t="s">
        <v>550</v>
      </c>
      <c r="E19" s="91" t="s">
        <v>548</v>
      </c>
      <c r="F19" s="92" t="s">
        <v>457</v>
      </c>
      <c r="G19" s="98"/>
      <c r="H19" s="94"/>
      <c r="I19" s="94"/>
      <c r="J19" s="87"/>
    </row>
    <row r="20">
      <c r="A20" s="80" t="s">
        <v>37</v>
      </c>
      <c r="B20" s="81" t="s">
        <v>228</v>
      </c>
      <c r="C20" s="82" t="s">
        <v>551</v>
      </c>
      <c r="D20" s="83" t="s">
        <v>552</v>
      </c>
      <c r="E20" s="83" t="s">
        <v>548</v>
      </c>
      <c r="F20" s="84" t="s">
        <v>457</v>
      </c>
      <c r="G20" s="100"/>
      <c r="H20" s="86"/>
      <c r="I20" s="86"/>
      <c r="J20" s="87"/>
    </row>
    <row r="21">
      <c r="A21" s="88" t="s">
        <v>37</v>
      </c>
      <c r="B21" s="89" t="s">
        <v>228</v>
      </c>
      <c r="C21" s="90" t="s">
        <v>553</v>
      </c>
      <c r="D21" s="91" t="s">
        <v>554</v>
      </c>
      <c r="E21" s="91" t="s">
        <v>548</v>
      </c>
      <c r="F21" s="92" t="s">
        <v>457</v>
      </c>
      <c r="G21" s="98"/>
      <c r="H21" s="94"/>
      <c r="I21" s="94"/>
      <c r="J21" s="87"/>
    </row>
    <row r="22">
      <c r="A22" s="80" t="s">
        <v>37</v>
      </c>
      <c r="B22" s="81" t="s">
        <v>228</v>
      </c>
      <c r="C22" s="82" t="s">
        <v>555</v>
      </c>
      <c r="D22" s="83" t="s">
        <v>556</v>
      </c>
      <c r="E22" s="83" t="s">
        <v>548</v>
      </c>
      <c r="F22" s="84" t="s">
        <v>457</v>
      </c>
      <c r="G22" s="100"/>
      <c r="H22" s="86"/>
      <c r="I22" s="86"/>
      <c r="J22" s="87"/>
    </row>
    <row r="23">
      <c r="A23" s="95" t="s">
        <v>37</v>
      </c>
      <c r="B23" s="96" t="s">
        <v>228</v>
      </c>
      <c r="C23" s="97" t="s">
        <v>557</v>
      </c>
      <c r="D23" s="91" t="s">
        <v>558</v>
      </c>
      <c r="E23" s="91" t="s">
        <v>544</v>
      </c>
      <c r="F23" s="93" t="s">
        <v>457</v>
      </c>
      <c r="G23" s="98"/>
      <c r="H23" s="98"/>
      <c r="I23" s="98"/>
      <c r="J23" s="99"/>
    </row>
    <row r="24">
      <c r="A24" s="101" t="s">
        <v>37</v>
      </c>
      <c r="B24" s="102" t="s">
        <v>228</v>
      </c>
      <c r="C24" s="103" t="s">
        <v>559</v>
      </c>
      <c r="D24" s="83" t="s">
        <v>560</v>
      </c>
      <c r="E24" s="83" t="s">
        <v>544</v>
      </c>
      <c r="F24" s="85" t="s">
        <v>457</v>
      </c>
      <c r="G24" s="100"/>
      <c r="H24" s="100"/>
      <c r="I24" s="100"/>
      <c r="J24" s="99"/>
    </row>
    <row r="25">
      <c r="A25" s="95" t="s">
        <v>37</v>
      </c>
      <c r="B25" s="96" t="s">
        <v>228</v>
      </c>
      <c r="C25" s="97" t="s">
        <v>561</v>
      </c>
      <c r="D25" s="91" t="s">
        <v>562</v>
      </c>
      <c r="E25" s="91" t="s">
        <v>544</v>
      </c>
      <c r="F25" s="93" t="s">
        <v>457</v>
      </c>
      <c r="G25" s="98"/>
      <c r="H25" s="98"/>
      <c r="I25" s="98"/>
      <c r="J25" s="99"/>
    </row>
    <row r="26">
      <c r="A26" s="101" t="s">
        <v>37</v>
      </c>
      <c r="B26" s="102" t="s">
        <v>228</v>
      </c>
      <c r="C26" s="103" t="s">
        <v>563</v>
      </c>
      <c r="D26" s="83" t="s">
        <v>564</v>
      </c>
      <c r="E26" s="83" t="s">
        <v>544</v>
      </c>
      <c r="F26" s="85" t="s">
        <v>457</v>
      </c>
      <c r="G26" s="100"/>
      <c r="H26" s="100"/>
      <c r="I26" s="100"/>
      <c r="J26" s="99"/>
    </row>
    <row r="27">
      <c r="A27" s="95" t="s">
        <v>37</v>
      </c>
      <c r="B27" s="96" t="s">
        <v>228</v>
      </c>
      <c r="C27" s="97" t="s">
        <v>565</v>
      </c>
      <c r="D27" s="91" t="s">
        <v>566</v>
      </c>
      <c r="E27" s="91" t="s">
        <v>544</v>
      </c>
      <c r="F27" s="93" t="s">
        <v>457</v>
      </c>
      <c r="G27" s="98"/>
      <c r="H27" s="98"/>
      <c r="I27" s="98"/>
      <c r="J27" s="99"/>
    </row>
    <row r="28">
      <c r="A28" s="101" t="s">
        <v>37</v>
      </c>
      <c r="B28" s="102" t="s">
        <v>228</v>
      </c>
      <c r="C28" s="103" t="s">
        <v>567</v>
      </c>
      <c r="D28" s="83" t="s">
        <v>568</v>
      </c>
      <c r="E28" s="83" t="s">
        <v>544</v>
      </c>
      <c r="F28" s="85" t="s">
        <v>457</v>
      </c>
      <c r="G28" s="100"/>
      <c r="H28" s="100"/>
      <c r="I28" s="100"/>
      <c r="J28" s="99"/>
    </row>
    <row r="29">
      <c r="A29" s="95" t="s">
        <v>37</v>
      </c>
      <c r="B29" s="96" t="s">
        <v>228</v>
      </c>
      <c r="C29" s="97" t="s">
        <v>569</v>
      </c>
      <c r="D29" s="91" t="s">
        <v>570</v>
      </c>
      <c r="E29" s="91" t="s">
        <v>544</v>
      </c>
      <c r="F29" s="93" t="s">
        <v>457</v>
      </c>
      <c r="G29" s="98"/>
      <c r="H29" s="98"/>
      <c r="I29" s="98"/>
      <c r="J29" s="99"/>
    </row>
    <row r="30">
      <c r="A30" s="101" t="s">
        <v>37</v>
      </c>
      <c r="B30" s="102" t="s">
        <v>228</v>
      </c>
      <c r="C30" s="103" t="s">
        <v>571</v>
      </c>
      <c r="D30" s="83" t="s">
        <v>572</v>
      </c>
      <c r="E30" s="83" t="s">
        <v>544</v>
      </c>
      <c r="F30" s="85" t="s">
        <v>457</v>
      </c>
      <c r="G30" s="100"/>
      <c r="H30" s="100"/>
      <c r="I30" s="100"/>
      <c r="J30" s="99"/>
    </row>
    <row r="31">
      <c r="A31" s="95" t="s">
        <v>37</v>
      </c>
      <c r="B31" s="96" t="s">
        <v>228</v>
      </c>
      <c r="C31" s="97" t="s">
        <v>573</v>
      </c>
      <c r="D31" s="91" t="s">
        <v>574</v>
      </c>
      <c r="E31" s="91" t="s">
        <v>544</v>
      </c>
      <c r="F31" s="93" t="s">
        <v>457</v>
      </c>
      <c r="G31" s="98"/>
      <c r="H31" s="98"/>
      <c r="I31" s="98"/>
      <c r="J31" s="99"/>
    </row>
    <row r="32">
      <c r="A32" s="101" t="s">
        <v>37</v>
      </c>
      <c r="B32" s="102" t="s">
        <v>231</v>
      </c>
      <c r="C32" s="103" t="s">
        <v>575</v>
      </c>
      <c r="D32" s="83" t="s">
        <v>576</v>
      </c>
      <c r="E32" s="83" t="s">
        <v>577</v>
      </c>
      <c r="F32" s="85" t="s">
        <v>460</v>
      </c>
      <c r="G32" s="85" t="s">
        <v>578</v>
      </c>
      <c r="H32" s="100"/>
      <c r="I32" s="100"/>
      <c r="J32" s="99"/>
    </row>
    <row r="33">
      <c r="A33" s="95" t="s">
        <v>37</v>
      </c>
      <c r="B33" s="96" t="s">
        <v>231</v>
      </c>
      <c r="C33" s="97" t="s">
        <v>579</v>
      </c>
      <c r="D33" s="91" t="s">
        <v>580</v>
      </c>
      <c r="E33" s="91" t="s">
        <v>581</v>
      </c>
      <c r="F33" s="93" t="s">
        <v>460</v>
      </c>
      <c r="G33" s="93" t="s">
        <v>582</v>
      </c>
      <c r="H33" s="98"/>
      <c r="I33" s="98"/>
      <c r="J33" s="99"/>
    </row>
    <row r="34">
      <c r="A34" s="101" t="s">
        <v>37</v>
      </c>
      <c r="B34" s="102" t="s">
        <v>231</v>
      </c>
      <c r="C34" s="103" t="s">
        <v>583</v>
      </c>
      <c r="D34" s="83" t="s">
        <v>584</v>
      </c>
      <c r="E34" s="83" t="s">
        <v>585</v>
      </c>
      <c r="F34" s="85" t="s">
        <v>460</v>
      </c>
      <c r="G34" s="85" t="s">
        <v>539</v>
      </c>
      <c r="H34" s="100"/>
      <c r="I34" s="100"/>
      <c r="J34" s="99"/>
    </row>
    <row r="35">
      <c r="A35" s="95" t="s">
        <v>37</v>
      </c>
      <c r="B35" s="96" t="s">
        <v>231</v>
      </c>
      <c r="C35" s="97" t="s">
        <v>586</v>
      </c>
      <c r="D35" s="91" t="s">
        <v>587</v>
      </c>
      <c r="E35" s="91" t="s">
        <v>588</v>
      </c>
      <c r="F35" s="93" t="s">
        <v>460</v>
      </c>
      <c r="G35" s="93" t="s">
        <v>539</v>
      </c>
      <c r="H35" s="98"/>
      <c r="I35" s="98"/>
      <c r="J35" s="99"/>
    </row>
    <row r="36">
      <c r="A36" s="101" t="s">
        <v>37</v>
      </c>
      <c r="B36" s="102" t="s">
        <v>231</v>
      </c>
      <c r="C36" s="103" t="s">
        <v>589</v>
      </c>
      <c r="D36" s="83" t="s">
        <v>590</v>
      </c>
      <c r="E36" s="83" t="s">
        <v>591</v>
      </c>
      <c r="F36" s="85" t="s">
        <v>460</v>
      </c>
      <c r="G36" s="85" t="s">
        <v>539</v>
      </c>
      <c r="H36" s="100"/>
      <c r="I36" s="100"/>
      <c r="J36" s="99"/>
    </row>
    <row r="37">
      <c r="A37" s="95" t="s">
        <v>37</v>
      </c>
      <c r="B37" s="96" t="s">
        <v>231</v>
      </c>
      <c r="C37" s="97" t="s">
        <v>592</v>
      </c>
      <c r="D37" s="91" t="s">
        <v>593</v>
      </c>
      <c r="E37" s="91" t="s">
        <v>594</v>
      </c>
      <c r="F37" s="93" t="s">
        <v>460</v>
      </c>
      <c r="G37" s="93" t="s">
        <v>545</v>
      </c>
      <c r="H37" s="98"/>
      <c r="I37" s="98"/>
      <c r="J37" s="99"/>
    </row>
    <row r="38">
      <c r="A38" s="101" t="s">
        <v>37</v>
      </c>
      <c r="B38" s="102" t="s">
        <v>231</v>
      </c>
      <c r="C38" s="103" t="s">
        <v>595</v>
      </c>
      <c r="D38" s="83" t="s">
        <v>596</v>
      </c>
      <c r="E38" s="83" t="s">
        <v>597</v>
      </c>
      <c r="F38" s="85" t="s">
        <v>460</v>
      </c>
      <c r="G38" s="85" t="s">
        <v>545</v>
      </c>
      <c r="H38" s="100"/>
      <c r="I38" s="100"/>
      <c r="J38" s="99"/>
    </row>
    <row r="39">
      <c r="A39" s="95" t="s">
        <v>37</v>
      </c>
      <c r="B39" s="96" t="s">
        <v>231</v>
      </c>
      <c r="C39" s="97" t="s">
        <v>598</v>
      </c>
      <c r="D39" s="91" t="s">
        <v>599</v>
      </c>
      <c r="E39" s="91" t="s">
        <v>600</v>
      </c>
      <c r="F39" s="93" t="s">
        <v>460</v>
      </c>
      <c r="G39" s="93" t="s">
        <v>545</v>
      </c>
      <c r="H39" s="98"/>
      <c r="I39" s="98"/>
      <c r="J39" s="99"/>
    </row>
    <row r="40">
      <c r="A40" s="101" t="s">
        <v>37</v>
      </c>
      <c r="B40" s="102" t="s">
        <v>231</v>
      </c>
      <c r="C40" s="103" t="s">
        <v>601</v>
      </c>
      <c r="D40" s="83" t="s">
        <v>602</v>
      </c>
      <c r="E40" s="83" t="s">
        <v>603</v>
      </c>
      <c r="F40" s="85" t="s">
        <v>457</v>
      </c>
      <c r="G40" s="100"/>
      <c r="H40" s="100"/>
      <c r="I40" s="100"/>
      <c r="J40" s="99"/>
    </row>
    <row r="41">
      <c r="A41" s="95" t="s">
        <v>37</v>
      </c>
      <c r="B41" s="96" t="s">
        <v>231</v>
      </c>
      <c r="C41" s="97" t="s">
        <v>604</v>
      </c>
      <c r="D41" s="91" t="s">
        <v>605</v>
      </c>
      <c r="E41" s="91" t="s">
        <v>606</v>
      </c>
      <c r="F41" s="93" t="s">
        <v>457</v>
      </c>
      <c r="G41" s="98"/>
      <c r="H41" s="98"/>
      <c r="I41" s="98"/>
      <c r="J41" s="99"/>
    </row>
    <row r="42">
      <c r="A42" s="101" t="s">
        <v>37</v>
      </c>
      <c r="B42" s="102" t="s">
        <v>231</v>
      </c>
      <c r="C42" s="103" t="s">
        <v>546</v>
      </c>
      <c r="D42" s="83" t="s">
        <v>607</v>
      </c>
      <c r="E42" s="83" t="s">
        <v>608</v>
      </c>
      <c r="F42" s="85" t="s">
        <v>457</v>
      </c>
      <c r="G42" s="100"/>
      <c r="H42" s="100"/>
      <c r="I42" s="100"/>
      <c r="J42" s="99"/>
    </row>
    <row r="43">
      <c r="A43" s="88" t="s">
        <v>37</v>
      </c>
      <c r="B43" s="89" t="s">
        <v>231</v>
      </c>
      <c r="C43" s="90" t="s">
        <v>549</v>
      </c>
      <c r="D43" s="91" t="s">
        <v>609</v>
      </c>
      <c r="E43" s="91" t="s">
        <v>610</v>
      </c>
      <c r="F43" s="92" t="s">
        <v>457</v>
      </c>
      <c r="G43" s="98"/>
      <c r="H43" s="94"/>
      <c r="I43" s="94"/>
      <c r="J43" s="87"/>
    </row>
    <row r="44">
      <c r="A44" s="80" t="s">
        <v>37</v>
      </c>
      <c r="B44" s="81" t="s">
        <v>231</v>
      </c>
      <c r="C44" s="82" t="s">
        <v>551</v>
      </c>
      <c r="D44" s="83" t="s">
        <v>611</v>
      </c>
      <c r="E44" s="83" t="s">
        <v>612</v>
      </c>
      <c r="F44" s="84" t="s">
        <v>457</v>
      </c>
      <c r="G44" s="100"/>
      <c r="H44" s="86"/>
      <c r="I44" s="86"/>
      <c r="J44" s="87"/>
    </row>
    <row r="45">
      <c r="A45" s="88" t="s">
        <v>37</v>
      </c>
      <c r="B45" s="89" t="s">
        <v>231</v>
      </c>
      <c r="C45" s="90" t="s">
        <v>553</v>
      </c>
      <c r="D45" s="91" t="s">
        <v>613</v>
      </c>
      <c r="E45" s="91" t="s">
        <v>614</v>
      </c>
      <c r="F45" s="92" t="s">
        <v>457</v>
      </c>
      <c r="G45" s="98"/>
      <c r="H45" s="94"/>
      <c r="I45" s="94"/>
      <c r="J45" s="87"/>
    </row>
    <row r="46">
      <c r="A46" s="101" t="s">
        <v>37</v>
      </c>
      <c r="B46" s="102" t="s">
        <v>231</v>
      </c>
      <c r="C46" s="103" t="s">
        <v>555</v>
      </c>
      <c r="D46" s="83" t="s">
        <v>615</v>
      </c>
      <c r="E46" s="83" t="s">
        <v>616</v>
      </c>
      <c r="F46" s="85" t="s">
        <v>457</v>
      </c>
      <c r="G46" s="100"/>
      <c r="H46" s="100"/>
      <c r="I46" s="100"/>
      <c r="J46" s="99"/>
    </row>
    <row r="47">
      <c r="A47" s="88" t="s">
        <v>37</v>
      </c>
      <c r="B47" s="89" t="s">
        <v>231</v>
      </c>
      <c r="C47" s="90" t="s">
        <v>557</v>
      </c>
      <c r="D47" s="91" t="s">
        <v>617</v>
      </c>
      <c r="E47" s="91" t="s">
        <v>610</v>
      </c>
      <c r="F47" s="92" t="s">
        <v>457</v>
      </c>
      <c r="G47" s="98"/>
      <c r="H47" s="94"/>
      <c r="I47" s="94"/>
      <c r="J47" s="87"/>
    </row>
    <row r="48">
      <c r="A48" s="80" t="s">
        <v>37</v>
      </c>
      <c r="B48" s="81" t="s">
        <v>231</v>
      </c>
      <c r="C48" s="82" t="s">
        <v>618</v>
      </c>
      <c r="D48" s="83" t="s">
        <v>619</v>
      </c>
      <c r="E48" s="83" t="s">
        <v>612</v>
      </c>
      <c r="F48" s="84" t="s">
        <v>457</v>
      </c>
      <c r="G48" s="100"/>
      <c r="H48" s="86"/>
      <c r="I48" s="86"/>
      <c r="J48" s="87"/>
    </row>
    <row r="49">
      <c r="A49" s="88" t="s">
        <v>37</v>
      </c>
      <c r="B49" s="89" t="s">
        <v>231</v>
      </c>
      <c r="C49" s="90" t="s">
        <v>561</v>
      </c>
      <c r="D49" s="91" t="s">
        <v>620</v>
      </c>
      <c r="E49" s="91" t="s">
        <v>621</v>
      </c>
      <c r="F49" s="92" t="s">
        <v>457</v>
      </c>
      <c r="G49" s="98"/>
      <c r="H49" s="94"/>
      <c r="I49" s="94"/>
      <c r="J49" s="87"/>
    </row>
    <row r="50">
      <c r="A50" s="80" t="s">
        <v>37</v>
      </c>
      <c r="B50" s="81" t="s">
        <v>231</v>
      </c>
      <c r="C50" s="82" t="s">
        <v>622</v>
      </c>
      <c r="D50" s="83" t="s">
        <v>623</v>
      </c>
      <c r="E50" s="83" t="s">
        <v>624</v>
      </c>
      <c r="F50" s="84" t="s">
        <v>457</v>
      </c>
      <c r="G50" s="100"/>
      <c r="H50" s="86"/>
      <c r="I50" s="86"/>
      <c r="J50" s="87"/>
    </row>
    <row r="51">
      <c r="A51" s="88" t="s">
        <v>37</v>
      </c>
      <c r="B51" s="89" t="s">
        <v>231</v>
      </c>
      <c r="C51" s="90" t="s">
        <v>625</v>
      </c>
      <c r="D51" s="91" t="s">
        <v>626</v>
      </c>
      <c r="E51" s="91" t="s">
        <v>627</v>
      </c>
      <c r="F51" s="92" t="s">
        <v>457</v>
      </c>
      <c r="G51" s="98"/>
      <c r="H51" s="94"/>
      <c r="I51" s="94"/>
      <c r="J51" s="87"/>
    </row>
    <row r="52">
      <c r="A52" s="101" t="s">
        <v>37</v>
      </c>
      <c r="B52" s="102" t="s">
        <v>231</v>
      </c>
      <c r="C52" s="103" t="s">
        <v>628</v>
      </c>
      <c r="D52" s="83" t="s">
        <v>629</v>
      </c>
      <c r="E52" s="83" t="s">
        <v>630</v>
      </c>
      <c r="F52" s="85" t="s">
        <v>457</v>
      </c>
      <c r="G52" s="100"/>
      <c r="H52" s="100"/>
      <c r="I52" s="100"/>
      <c r="J52" s="99"/>
    </row>
    <row r="53">
      <c r="A53" s="95" t="s">
        <v>37</v>
      </c>
      <c r="B53" s="96" t="s">
        <v>231</v>
      </c>
      <c r="C53" s="97" t="s">
        <v>631</v>
      </c>
      <c r="D53" s="91" t="s">
        <v>632</v>
      </c>
      <c r="E53" s="91" t="s">
        <v>633</v>
      </c>
      <c r="F53" s="93" t="s">
        <v>457</v>
      </c>
      <c r="G53" s="98"/>
      <c r="H53" s="98"/>
      <c r="I53" s="98"/>
      <c r="J53" s="99"/>
    </row>
    <row r="54">
      <c r="A54" s="80" t="s">
        <v>37</v>
      </c>
      <c r="B54" s="81" t="s">
        <v>231</v>
      </c>
      <c r="C54" s="82" t="s">
        <v>634</v>
      </c>
      <c r="D54" s="83" t="s">
        <v>635</v>
      </c>
      <c r="E54" s="83" t="s">
        <v>636</v>
      </c>
      <c r="F54" s="84" t="s">
        <v>457</v>
      </c>
      <c r="G54" s="100"/>
      <c r="H54" s="86"/>
      <c r="I54" s="86"/>
      <c r="J54" s="87"/>
    </row>
    <row r="55">
      <c r="A55" s="88" t="s">
        <v>37</v>
      </c>
      <c r="B55" s="89" t="s">
        <v>231</v>
      </c>
      <c r="C55" s="90" t="s">
        <v>637</v>
      </c>
      <c r="D55" s="91" t="s">
        <v>638</v>
      </c>
      <c r="E55" s="91" t="s">
        <v>639</v>
      </c>
      <c r="F55" s="92" t="s">
        <v>457</v>
      </c>
      <c r="G55" s="98"/>
      <c r="H55" s="94"/>
      <c r="I55" s="94"/>
      <c r="J55" s="87"/>
    </row>
    <row r="56">
      <c r="A56" s="101" t="s">
        <v>37</v>
      </c>
      <c r="B56" s="102" t="s">
        <v>231</v>
      </c>
      <c r="C56" s="103" t="s">
        <v>640</v>
      </c>
      <c r="D56" s="83" t="s">
        <v>641</v>
      </c>
      <c r="E56" s="83" t="s">
        <v>642</v>
      </c>
      <c r="F56" s="85" t="s">
        <v>457</v>
      </c>
      <c r="G56" s="100"/>
      <c r="H56" s="100"/>
      <c r="I56" s="100"/>
      <c r="J56" s="99"/>
    </row>
    <row r="57">
      <c r="A57" s="95" t="s">
        <v>37</v>
      </c>
      <c r="B57" s="96" t="s">
        <v>231</v>
      </c>
      <c r="C57" s="97" t="s">
        <v>531</v>
      </c>
      <c r="D57" s="91" t="s">
        <v>643</v>
      </c>
      <c r="E57" s="91" t="s">
        <v>644</v>
      </c>
      <c r="F57" s="93" t="s">
        <v>457</v>
      </c>
      <c r="G57" s="98"/>
      <c r="H57" s="98"/>
      <c r="I57" s="98"/>
      <c r="J57" s="99"/>
    </row>
    <row r="58">
      <c r="A58" s="101" t="s">
        <v>37</v>
      </c>
      <c r="B58" s="102" t="s">
        <v>231</v>
      </c>
      <c r="C58" s="103" t="s">
        <v>533</v>
      </c>
      <c r="D58" s="83" t="s">
        <v>645</v>
      </c>
      <c r="E58" s="83" t="s">
        <v>646</v>
      </c>
      <c r="F58" s="85" t="s">
        <v>457</v>
      </c>
      <c r="G58" s="100"/>
      <c r="H58" s="100"/>
      <c r="I58" s="100"/>
      <c r="J58" s="99"/>
    </row>
    <row r="59">
      <c r="A59" s="95" t="s">
        <v>37</v>
      </c>
      <c r="B59" s="96" t="s">
        <v>231</v>
      </c>
      <c r="C59" s="97" t="s">
        <v>535</v>
      </c>
      <c r="D59" s="91" t="s">
        <v>647</v>
      </c>
      <c r="E59" s="91" t="s">
        <v>648</v>
      </c>
      <c r="F59" s="93" t="s">
        <v>457</v>
      </c>
      <c r="G59" s="98"/>
      <c r="H59" s="98"/>
      <c r="I59" s="98"/>
      <c r="J59" s="99"/>
    </row>
    <row r="60">
      <c r="A60" s="80" t="s">
        <v>37</v>
      </c>
      <c r="B60" s="81" t="s">
        <v>231</v>
      </c>
      <c r="C60" s="82" t="s">
        <v>649</v>
      </c>
      <c r="D60" s="83" t="s">
        <v>650</v>
      </c>
      <c r="E60" s="83" t="s">
        <v>651</v>
      </c>
      <c r="F60" s="84" t="s">
        <v>457</v>
      </c>
      <c r="G60" s="100"/>
      <c r="H60" s="86"/>
      <c r="I60" s="86"/>
      <c r="J60" s="87"/>
    </row>
    <row r="61">
      <c r="A61" s="88" t="s">
        <v>37</v>
      </c>
      <c r="B61" s="89" t="s">
        <v>231</v>
      </c>
      <c r="C61" s="97" t="s">
        <v>652</v>
      </c>
      <c r="D61" s="91" t="s">
        <v>653</v>
      </c>
      <c r="E61" s="104" t="s">
        <v>654</v>
      </c>
      <c r="F61" s="92" t="s">
        <v>457</v>
      </c>
      <c r="G61" s="98"/>
      <c r="H61" s="94"/>
      <c r="I61" s="94"/>
      <c r="J61" s="87"/>
    </row>
    <row r="62">
      <c r="A62" s="101" t="s">
        <v>37</v>
      </c>
      <c r="B62" s="102" t="s">
        <v>231</v>
      </c>
      <c r="C62" s="103" t="s">
        <v>655</v>
      </c>
      <c r="D62" s="83" t="s">
        <v>656</v>
      </c>
      <c r="E62" s="83" t="s">
        <v>657</v>
      </c>
      <c r="F62" s="85" t="s">
        <v>457</v>
      </c>
      <c r="G62" s="100"/>
      <c r="H62" s="100"/>
      <c r="I62" s="100"/>
      <c r="J62" s="99"/>
    </row>
    <row r="63">
      <c r="A63" s="95" t="s">
        <v>37</v>
      </c>
      <c r="B63" s="96" t="s">
        <v>231</v>
      </c>
      <c r="C63" s="97" t="s">
        <v>658</v>
      </c>
      <c r="D63" s="91" t="s">
        <v>659</v>
      </c>
      <c r="E63" s="91" t="s">
        <v>660</v>
      </c>
      <c r="F63" s="93" t="s">
        <v>457</v>
      </c>
      <c r="G63" s="98"/>
      <c r="H63" s="98"/>
      <c r="I63" s="98"/>
      <c r="J63" s="99"/>
    </row>
    <row r="64">
      <c r="A64" s="101" t="s">
        <v>37</v>
      </c>
      <c r="B64" s="102" t="s">
        <v>231</v>
      </c>
      <c r="C64" s="103" t="s">
        <v>661</v>
      </c>
      <c r="D64" s="83" t="s">
        <v>662</v>
      </c>
      <c r="E64" s="83" t="s">
        <v>663</v>
      </c>
      <c r="F64" s="85" t="s">
        <v>457</v>
      </c>
      <c r="G64" s="100"/>
      <c r="H64" s="100"/>
      <c r="I64" s="100"/>
      <c r="J64" s="99"/>
    </row>
    <row r="65">
      <c r="A65" s="88" t="s">
        <v>37</v>
      </c>
      <c r="B65" s="89" t="s">
        <v>234</v>
      </c>
      <c r="C65" s="90" t="s">
        <v>664</v>
      </c>
      <c r="D65" s="91" t="s">
        <v>665</v>
      </c>
      <c r="E65" s="91"/>
      <c r="F65" s="92" t="s">
        <v>457</v>
      </c>
      <c r="G65" s="98"/>
      <c r="H65" s="94"/>
      <c r="I65" s="94"/>
      <c r="J65" s="87"/>
    </row>
    <row r="66">
      <c r="A66" s="80" t="s">
        <v>37</v>
      </c>
      <c r="B66" s="81" t="s">
        <v>234</v>
      </c>
      <c r="C66" s="82" t="s">
        <v>666</v>
      </c>
      <c r="D66" s="83" t="s">
        <v>667</v>
      </c>
      <c r="E66" s="83"/>
      <c r="F66" s="84" t="s">
        <v>457</v>
      </c>
      <c r="G66" s="100"/>
      <c r="H66" s="86"/>
      <c r="I66" s="86"/>
      <c r="J66" s="87"/>
    </row>
    <row r="67">
      <c r="A67" s="88" t="s">
        <v>37</v>
      </c>
      <c r="B67" s="89" t="s">
        <v>234</v>
      </c>
      <c r="C67" s="90" t="s">
        <v>668</v>
      </c>
      <c r="D67" s="91" t="s">
        <v>669</v>
      </c>
      <c r="E67" s="91"/>
      <c r="F67" s="92" t="s">
        <v>457</v>
      </c>
      <c r="G67" s="98"/>
      <c r="H67" s="94"/>
      <c r="I67" s="94"/>
      <c r="J67" s="87"/>
    </row>
    <row r="68">
      <c r="A68" s="80" t="s">
        <v>37</v>
      </c>
      <c r="B68" s="81" t="s">
        <v>236</v>
      </c>
      <c r="C68" s="82" t="s">
        <v>664</v>
      </c>
      <c r="D68" s="83" t="s">
        <v>670</v>
      </c>
      <c r="E68" s="83" t="s">
        <v>671</v>
      </c>
      <c r="F68" s="84" t="s">
        <v>457</v>
      </c>
      <c r="G68" s="100"/>
      <c r="H68" s="86"/>
      <c r="I68" s="86"/>
      <c r="J68" s="87"/>
    </row>
    <row r="69">
      <c r="A69" s="88" t="s">
        <v>37</v>
      </c>
      <c r="B69" s="89" t="s">
        <v>236</v>
      </c>
      <c r="C69" s="90" t="s">
        <v>666</v>
      </c>
      <c r="D69" s="91" t="s">
        <v>672</v>
      </c>
      <c r="E69" s="91" t="s">
        <v>673</v>
      </c>
      <c r="F69" s="92" t="s">
        <v>457</v>
      </c>
      <c r="G69" s="98"/>
      <c r="H69" s="94"/>
      <c r="I69" s="94"/>
      <c r="J69" s="87"/>
    </row>
    <row r="70">
      <c r="A70" s="80" t="s">
        <v>37</v>
      </c>
      <c r="B70" s="81" t="s">
        <v>236</v>
      </c>
      <c r="C70" s="82" t="s">
        <v>674</v>
      </c>
      <c r="D70" s="83" t="s">
        <v>675</v>
      </c>
      <c r="E70" s="83" t="s">
        <v>676</v>
      </c>
      <c r="F70" s="84" t="s">
        <v>457</v>
      </c>
      <c r="G70" s="100"/>
      <c r="H70" s="86"/>
      <c r="I70" s="86"/>
      <c r="J70" s="87"/>
    </row>
    <row r="71">
      <c r="A71" s="88" t="s">
        <v>37</v>
      </c>
      <c r="B71" s="89" t="s">
        <v>236</v>
      </c>
      <c r="C71" s="90" t="s">
        <v>668</v>
      </c>
      <c r="D71" s="91" t="s">
        <v>677</v>
      </c>
      <c r="E71" s="91" t="s">
        <v>678</v>
      </c>
      <c r="F71" s="92" t="s">
        <v>457</v>
      </c>
      <c r="G71" s="98"/>
      <c r="H71" s="94"/>
      <c r="I71" s="94"/>
      <c r="J71" s="87"/>
    </row>
    <row r="72">
      <c r="A72" s="80" t="s">
        <v>37</v>
      </c>
      <c r="B72" s="81" t="s">
        <v>236</v>
      </c>
      <c r="C72" s="82" t="s">
        <v>679</v>
      </c>
      <c r="D72" s="83" t="s">
        <v>680</v>
      </c>
      <c r="E72" s="83" t="s">
        <v>681</v>
      </c>
      <c r="F72" s="84" t="s">
        <v>457</v>
      </c>
      <c r="G72" s="100"/>
      <c r="H72" s="86"/>
      <c r="I72" s="86"/>
      <c r="J72" s="87"/>
    </row>
    <row r="73">
      <c r="A73" s="88" t="s">
        <v>37</v>
      </c>
      <c r="B73" s="89" t="s">
        <v>236</v>
      </c>
      <c r="C73" s="90" t="s">
        <v>682</v>
      </c>
      <c r="D73" s="91" t="s">
        <v>683</v>
      </c>
      <c r="E73" s="91" t="s">
        <v>684</v>
      </c>
      <c r="F73" s="92" t="s">
        <v>457</v>
      </c>
      <c r="G73" s="98"/>
      <c r="H73" s="94"/>
      <c r="I73" s="94"/>
      <c r="J73" s="87"/>
    </row>
    <row r="74">
      <c r="A74" s="80" t="s">
        <v>37</v>
      </c>
      <c r="B74" s="81" t="s">
        <v>236</v>
      </c>
      <c r="C74" s="82" t="s">
        <v>685</v>
      </c>
      <c r="D74" s="83" t="s">
        <v>686</v>
      </c>
      <c r="E74" s="83" t="s">
        <v>687</v>
      </c>
      <c r="F74" s="84" t="s">
        <v>457</v>
      </c>
      <c r="G74" s="100"/>
      <c r="H74" s="86"/>
      <c r="I74" s="86"/>
      <c r="J74" s="87"/>
    </row>
    <row r="75">
      <c r="A75" s="88" t="s">
        <v>37</v>
      </c>
      <c r="B75" s="89" t="s">
        <v>236</v>
      </c>
      <c r="C75" s="90" t="s">
        <v>688</v>
      </c>
      <c r="D75" s="91" t="s">
        <v>689</v>
      </c>
      <c r="E75" s="91" t="s">
        <v>690</v>
      </c>
      <c r="F75" s="92" t="s">
        <v>457</v>
      </c>
      <c r="G75" s="98"/>
      <c r="H75" s="94"/>
      <c r="I75" s="94"/>
      <c r="J75" s="87"/>
    </row>
    <row r="76">
      <c r="A76" s="80" t="s">
        <v>37</v>
      </c>
      <c r="B76" s="81" t="s">
        <v>236</v>
      </c>
      <c r="C76" s="82" t="s">
        <v>691</v>
      </c>
      <c r="D76" s="83" t="s">
        <v>692</v>
      </c>
      <c r="E76" s="83" t="s">
        <v>693</v>
      </c>
      <c r="F76" s="84" t="s">
        <v>457</v>
      </c>
      <c r="G76" s="100"/>
      <c r="H76" s="86"/>
      <c r="I76" s="86"/>
      <c r="J76" s="87"/>
    </row>
    <row r="77">
      <c r="A77" s="88" t="s">
        <v>37</v>
      </c>
      <c r="B77" s="89" t="s">
        <v>236</v>
      </c>
      <c r="C77" s="90" t="s">
        <v>694</v>
      </c>
      <c r="D77" s="91" t="s">
        <v>695</v>
      </c>
      <c r="E77" s="91" t="s">
        <v>696</v>
      </c>
      <c r="F77" s="92" t="s">
        <v>457</v>
      </c>
      <c r="G77" s="98"/>
      <c r="H77" s="94"/>
      <c r="I77" s="94"/>
      <c r="J77" s="87"/>
    </row>
    <row r="78">
      <c r="A78" s="80" t="s">
        <v>37</v>
      </c>
      <c r="B78" s="81" t="s">
        <v>236</v>
      </c>
      <c r="C78" s="82" t="s">
        <v>697</v>
      </c>
      <c r="D78" s="83" t="s">
        <v>698</v>
      </c>
      <c r="E78" s="83" t="s">
        <v>699</v>
      </c>
      <c r="F78" s="84" t="s">
        <v>460</v>
      </c>
      <c r="G78" s="85" t="s">
        <v>545</v>
      </c>
      <c r="H78" s="86"/>
      <c r="I78" s="86"/>
      <c r="J78" s="87"/>
    </row>
    <row r="79">
      <c r="A79" s="88" t="s">
        <v>37</v>
      </c>
      <c r="B79" s="89" t="s">
        <v>236</v>
      </c>
      <c r="C79" s="90" t="s">
        <v>700</v>
      </c>
      <c r="D79" s="91" t="s">
        <v>701</v>
      </c>
      <c r="E79" s="91" t="s">
        <v>702</v>
      </c>
      <c r="F79" s="92" t="s">
        <v>457</v>
      </c>
      <c r="G79" s="98"/>
      <c r="H79" s="94"/>
      <c r="I79" s="94"/>
      <c r="J79" s="87"/>
    </row>
    <row r="80">
      <c r="A80" s="101" t="s">
        <v>37</v>
      </c>
      <c r="B80" s="102" t="s">
        <v>240</v>
      </c>
      <c r="C80" s="103" t="s">
        <v>703</v>
      </c>
      <c r="D80" s="83" t="s">
        <v>704</v>
      </c>
      <c r="E80" s="83" t="s">
        <v>705</v>
      </c>
      <c r="F80" s="85" t="s">
        <v>460</v>
      </c>
      <c r="G80" s="85" t="s">
        <v>545</v>
      </c>
      <c r="H80" s="100"/>
      <c r="I80" s="100"/>
      <c r="J80" s="99"/>
    </row>
    <row r="81">
      <c r="A81" s="95" t="s">
        <v>37</v>
      </c>
      <c r="B81" s="96" t="s">
        <v>240</v>
      </c>
      <c r="C81" s="97" t="s">
        <v>706</v>
      </c>
      <c r="D81" s="91" t="s">
        <v>707</v>
      </c>
      <c r="E81" s="91" t="s">
        <v>708</v>
      </c>
      <c r="F81" s="93" t="s">
        <v>457</v>
      </c>
      <c r="G81" s="98"/>
      <c r="H81" s="98"/>
      <c r="I81" s="98"/>
      <c r="J81" s="99"/>
    </row>
    <row r="82">
      <c r="A82" s="80" t="s">
        <v>37</v>
      </c>
      <c r="B82" s="81" t="s">
        <v>240</v>
      </c>
      <c r="C82" s="82" t="s">
        <v>709</v>
      </c>
      <c r="D82" s="83" t="s">
        <v>710</v>
      </c>
      <c r="E82" s="83" t="s">
        <v>711</v>
      </c>
      <c r="F82" s="84" t="s">
        <v>457</v>
      </c>
      <c r="G82" s="100"/>
      <c r="H82" s="86"/>
      <c r="I82" s="86"/>
      <c r="J82" s="87"/>
    </row>
    <row r="83">
      <c r="A83" s="95" t="s">
        <v>37</v>
      </c>
      <c r="B83" s="96" t="s">
        <v>240</v>
      </c>
      <c r="C83" s="97" t="s">
        <v>712</v>
      </c>
      <c r="D83" s="91" t="s">
        <v>713</v>
      </c>
      <c r="E83" s="91" t="s">
        <v>714</v>
      </c>
      <c r="F83" s="93" t="s">
        <v>457</v>
      </c>
      <c r="G83" s="98"/>
      <c r="H83" s="98"/>
      <c r="I83" s="98"/>
      <c r="J83" s="99"/>
    </row>
    <row r="84">
      <c r="A84" s="101" t="s">
        <v>37</v>
      </c>
      <c r="B84" s="102" t="s">
        <v>240</v>
      </c>
      <c r="C84" s="103" t="s">
        <v>715</v>
      </c>
      <c r="D84" s="83" t="s">
        <v>716</v>
      </c>
      <c r="E84" s="83" t="s">
        <v>717</v>
      </c>
      <c r="F84" s="85" t="s">
        <v>460</v>
      </c>
      <c r="G84" s="85" t="s">
        <v>545</v>
      </c>
      <c r="H84" s="100"/>
      <c r="I84" s="100"/>
      <c r="J84" s="99"/>
    </row>
    <row r="85">
      <c r="A85" s="95" t="s">
        <v>37</v>
      </c>
      <c r="B85" s="96" t="s">
        <v>240</v>
      </c>
      <c r="C85" s="97" t="s">
        <v>718</v>
      </c>
      <c r="D85" s="91" t="s">
        <v>719</v>
      </c>
      <c r="E85" s="91" t="s">
        <v>720</v>
      </c>
      <c r="F85" s="93" t="s">
        <v>460</v>
      </c>
      <c r="G85" s="93" t="s">
        <v>545</v>
      </c>
      <c r="H85" s="98"/>
      <c r="I85" s="98"/>
      <c r="J85" s="99"/>
    </row>
    <row r="86">
      <c r="A86" s="101" t="s">
        <v>37</v>
      </c>
      <c r="B86" s="102" t="s">
        <v>240</v>
      </c>
      <c r="C86" s="103" t="s">
        <v>721</v>
      </c>
      <c r="D86" s="83" t="s">
        <v>722</v>
      </c>
      <c r="E86" s="83" t="s">
        <v>723</v>
      </c>
      <c r="F86" s="85" t="s">
        <v>457</v>
      </c>
      <c r="G86" s="100"/>
      <c r="H86" s="100"/>
      <c r="I86" s="100"/>
      <c r="J86" s="99"/>
    </row>
    <row r="87">
      <c r="A87" s="95" t="s">
        <v>37</v>
      </c>
      <c r="B87" s="96" t="s">
        <v>240</v>
      </c>
      <c r="C87" s="97" t="s">
        <v>525</v>
      </c>
      <c r="D87" s="91" t="s">
        <v>724</v>
      </c>
      <c r="E87" s="91" t="s">
        <v>725</v>
      </c>
      <c r="F87" s="93" t="s">
        <v>460</v>
      </c>
      <c r="G87" s="93" t="s">
        <v>545</v>
      </c>
      <c r="H87" s="98"/>
      <c r="I87" s="98"/>
      <c r="J87" s="99"/>
    </row>
    <row r="88">
      <c r="A88" s="101" t="s">
        <v>37</v>
      </c>
      <c r="B88" s="102" t="s">
        <v>240</v>
      </c>
      <c r="C88" s="103" t="s">
        <v>726</v>
      </c>
      <c r="D88" s="83" t="s">
        <v>727</v>
      </c>
      <c r="E88" s="83" t="s">
        <v>728</v>
      </c>
      <c r="F88" s="85" t="s">
        <v>457</v>
      </c>
      <c r="G88" s="100"/>
      <c r="H88" s="100"/>
      <c r="I88" s="100"/>
      <c r="J88" s="99"/>
    </row>
    <row r="89">
      <c r="A89" s="95" t="s">
        <v>37</v>
      </c>
      <c r="B89" s="96" t="s">
        <v>240</v>
      </c>
      <c r="C89" s="97" t="s">
        <v>729</v>
      </c>
      <c r="D89" s="91" t="s">
        <v>730</v>
      </c>
      <c r="E89" s="91" t="s">
        <v>731</v>
      </c>
      <c r="F89" s="93" t="s">
        <v>457</v>
      </c>
      <c r="G89" s="98"/>
      <c r="H89" s="98"/>
      <c r="I89" s="98"/>
      <c r="J89" s="99"/>
    </row>
    <row r="90">
      <c r="A90" s="101" t="s">
        <v>37</v>
      </c>
      <c r="B90" s="102" t="s">
        <v>240</v>
      </c>
      <c r="C90" s="103" t="s">
        <v>531</v>
      </c>
      <c r="D90" s="83" t="s">
        <v>732</v>
      </c>
      <c r="E90" s="83" t="s">
        <v>733</v>
      </c>
      <c r="F90" s="85" t="s">
        <v>457</v>
      </c>
      <c r="G90" s="100"/>
      <c r="H90" s="100"/>
      <c r="I90" s="100"/>
      <c r="J90" s="99"/>
    </row>
    <row r="91">
      <c r="A91" s="95" t="s">
        <v>37</v>
      </c>
      <c r="B91" s="96" t="s">
        <v>240</v>
      </c>
      <c r="C91" s="97" t="s">
        <v>734</v>
      </c>
      <c r="D91" s="91" t="s">
        <v>735</v>
      </c>
      <c r="E91" s="91" t="s">
        <v>736</v>
      </c>
      <c r="F91" s="93" t="s">
        <v>460</v>
      </c>
      <c r="G91" s="93" t="s">
        <v>539</v>
      </c>
      <c r="H91" s="98"/>
      <c r="I91" s="98"/>
      <c r="J91" s="99"/>
    </row>
    <row r="92">
      <c r="A92" s="101" t="s">
        <v>37</v>
      </c>
      <c r="B92" s="102" t="s">
        <v>240</v>
      </c>
      <c r="C92" s="103" t="s">
        <v>737</v>
      </c>
      <c r="D92" s="83" t="s">
        <v>738</v>
      </c>
      <c r="E92" s="83" t="s">
        <v>739</v>
      </c>
      <c r="F92" s="85" t="s">
        <v>460</v>
      </c>
      <c r="G92" s="85" t="s">
        <v>545</v>
      </c>
      <c r="H92" s="100"/>
      <c r="I92" s="100"/>
      <c r="J92" s="99"/>
    </row>
    <row r="93">
      <c r="A93" s="95" t="s">
        <v>37</v>
      </c>
      <c r="B93" s="96" t="s">
        <v>249</v>
      </c>
      <c r="C93" s="97" t="s">
        <v>542</v>
      </c>
      <c r="D93" s="91" t="s">
        <v>543</v>
      </c>
      <c r="E93" s="91" t="s">
        <v>544</v>
      </c>
      <c r="F93" s="93" t="s">
        <v>460</v>
      </c>
      <c r="G93" s="93" t="s">
        <v>545</v>
      </c>
      <c r="H93" s="98"/>
      <c r="I93" s="98"/>
      <c r="J93" s="99"/>
    </row>
    <row r="94">
      <c r="A94" s="80" t="s">
        <v>37</v>
      </c>
      <c r="B94" s="81" t="s">
        <v>249</v>
      </c>
      <c r="C94" s="82" t="s">
        <v>546</v>
      </c>
      <c r="D94" s="83" t="s">
        <v>547</v>
      </c>
      <c r="E94" s="83" t="s">
        <v>548</v>
      </c>
      <c r="F94" s="84" t="s">
        <v>457</v>
      </c>
      <c r="G94" s="100"/>
      <c r="H94" s="86"/>
      <c r="I94" s="86"/>
      <c r="J94" s="87"/>
    </row>
    <row r="95">
      <c r="A95" s="88" t="s">
        <v>37</v>
      </c>
      <c r="B95" s="89" t="s">
        <v>249</v>
      </c>
      <c r="C95" s="90" t="s">
        <v>549</v>
      </c>
      <c r="D95" s="91" t="s">
        <v>550</v>
      </c>
      <c r="E95" s="91" t="s">
        <v>548</v>
      </c>
      <c r="F95" s="92" t="s">
        <v>457</v>
      </c>
      <c r="G95" s="98"/>
      <c r="H95" s="94"/>
      <c r="I95" s="94"/>
      <c r="J95" s="87"/>
    </row>
    <row r="96">
      <c r="A96" s="80" t="s">
        <v>37</v>
      </c>
      <c r="B96" s="81" t="s">
        <v>249</v>
      </c>
      <c r="C96" s="82" t="s">
        <v>551</v>
      </c>
      <c r="D96" s="83" t="s">
        <v>552</v>
      </c>
      <c r="E96" s="83" t="s">
        <v>548</v>
      </c>
      <c r="F96" s="84" t="s">
        <v>457</v>
      </c>
      <c r="G96" s="100"/>
      <c r="H96" s="86"/>
      <c r="I96" s="86"/>
      <c r="J96" s="87"/>
    </row>
    <row r="97">
      <c r="A97" s="88" t="s">
        <v>37</v>
      </c>
      <c r="B97" s="89" t="s">
        <v>249</v>
      </c>
      <c r="C97" s="90" t="s">
        <v>553</v>
      </c>
      <c r="D97" s="91" t="s">
        <v>554</v>
      </c>
      <c r="E97" s="91" t="s">
        <v>548</v>
      </c>
      <c r="F97" s="92" t="s">
        <v>457</v>
      </c>
      <c r="G97" s="98"/>
      <c r="H97" s="94"/>
      <c r="I97" s="94"/>
      <c r="J97" s="87"/>
    </row>
    <row r="98">
      <c r="A98" s="80" t="s">
        <v>37</v>
      </c>
      <c r="B98" s="81" t="s">
        <v>249</v>
      </c>
      <c r="C98" s="82" t="s">
        <v>555</v>
      </c>
      <c r="D98" s="83" t="s">
        <v>556</v>
      </c>
      <c r="E98" s="83" t="s">
        <v>548</v>
      </c>
      <c r="F98" s="84" t="s">
        <v>457</v>
      </c>
      <c r="G98" s="100"/>
      <c r="H98" s="86"/>
      <c r="I98" s="86"/>
      <c r="J98" s="87"/>
    </row>
    <row r="99">
      <c r="A99" s="95" t="s">
        <v>37</v>
      </c>
      <c r="B99" s="96" t="s">
        <v>249</v>
      </c>
      <c r="C99" s="97" t="s">
        <v>557</v>
      </c>
      <c r="D99" s="91" t="s">
        <v>558</v>
      </c>
      <c r="E99" s="91" t="s">
        <v>544</v>
      </c>
      <c r="F99" s="93" t="s">
        <v>457</v>
      </c>
      <c r="G99" s="98"/>
      <c r="H99" s="98"/>
      <c r="I99" s="98"/>
      <c r="J99" s="99"/>
    </row>
    <row r="100">
      <c r="A100" s="101" t="s">
        <v>37</v>
      </c>
      <c r="B100" s="102" t="s">
        <v>249</v>
      </c>
      <c r="C100" s="103" t="s">
        <v>559</v>
      </c>
      <c r="D100" s="83" t="s">
        <v>560</v>
      </c>
      <c r="E100" s="83" t="s">
        <v>544</v>
      </c>
      <c r="F100" s="85" t="s">
        <v>457</v>
      </c>
      <c r="G100" s="100"/>
      <c r="H100" s="100"/>
      <c r="I100" s="100"/>
      <c r="J100" s="99"/>
    </row>
    <row r="101">
      <c r="A101" s="95" t="s">
        <v>37</v>
      </c>
      <c r="B101" s="96" t="s">
        <v>249</v>
      </c>
      <c r="C101" s="97" t="s">
        <v>561</v>
      </c>
      <c r="D101" s="91" t="s">
        <v>562</v>
      </c>
      <c r="E101" s="91" t="s">
        <v>544</v>
      </c>
      <c r="F101" s="93" t="s">
        <v>457</v>
      </c>
      <c r="G101" s="98"/>
      <c r="H101" s="98"/>
      <c r="I101" s="98"/>
      <c r="J101" s="99"/>
    </row>
    <row r="102">
      <c r="A102" s="101" t="s">
        <v>37</v>
      </c>
      <c r="B102" s="102" t="s">
        <v>249</v>
      </c>
      <c r="C102" s="103" t="s">
        <v>563</v>
      </c>
      <c r="D102" s="83" t="s">
        <v>564</v>
      </c>
      <c r="E102" s="83" t="s">
        <v>544</v>
      </c>
      <c r="F102" s="85" t="s">
        <v>457</v>
      </c>
      <c r="G102" s="100"/>
      <c r="H102" s="100"/>
      <c r="I102" s="100"/>
      <c r="J102" s="99"/>
    </row>
    <row r="103">
      <c r="A103" s="95" t="s">
        <v>37</v>
      </c>
      <c r="B103" s="96" t="s">
        <v>249</v>
      </c>
      <c r="C103" s="97" t="s">
        <v>565</v>
      </c>
      <c r="D103" s="91" t="s">
        <v>566</v>
      </c>
      <c r="E103" s="91" t="s">
        <v>544</v>
      </c>
      <c r="F103" s="93" t="s">
        <v>457</v>
      </c>
      <c r="G103" s="98"/>
      <c r="H103" s="98"/>
      <c r="I103" s="98"/>
      <c r="J103" s="99"/>
    </row>
    <row r="104">
      <c r="A104" s="101" t="s">
        <v>37</v>
      </c>
      <c r="B104" s="102" t="s">
        <v>249</v>
      </c>
      <c r="C104" s="103" t="s">
        <v>567</v>
      </c>
      <c r="D104" s="83" t="s">
        <v>568</v>
      </c>
      <c r="E104" s="83" t="s">
        <v>544</v>
      </c>
      <c r="F104" s="85" t="s">
        <v>457</v>
      </c>
      <c r="G104" s="100"/>
      <c r="H104" s="100"/>
      <c r="I104" s="100"/>
      <c r="J104" s="99"/>
    </row>
    <row r="105">
      <c r="A105" s="95" t="s">
        <v>37</v>
      </c>
      <c r="B105" s="96" t="s">
        <v>249</v>
      </c>
      <c r="C105" s="97" t="s">
        <v>569</v>
      </c>
      <c r="D105" s="91" t="s">
        <v>570</v>
      </c>
      <c r="E105" s="91" t="s">
        <v>544</v>
      </c>
      <c r="F105" s="93" t="s">
        <v>457</v>
      </c>
      <c r="G105" s="98"/>
      <c r="H105" s="98"/>
      <c r="I105" s="98"/>
      <c r="J105" s="99"/>
    </row>
    <row r="106">
      <c r="A106" s="101" t="s">
        <v>37</v>
      </c>
      <c r="B106" s="102" t="s">
        <v>249</v>
      </c>
      <c r="C106" s="103" t="s">
        <v>571</v>
      </c>
      <c r="D106" s="83" t="s">
        <v>572</v>
      </c>
      <c r="E106" s="83" t="s">
        <v>544</v>
      </c>
      <c r="F106" s="85" t="s">
        <v>457</v>
      </c>
      <c r="G106" s="100"/>
      <c r="H106" s="100"/>
      <c r="I106" s="100"/>
      <c r="J106" s="99"/>
    </row>
    <row r="107">
      <c r="A107" s="95" t="s">
        <v>37</v>
      </c>
      <c r="B107" s="96" t="s">
        <v>249</v>
      </c>
      <c r="C107" s="97" t="s">
        <v>573</v>
      </c>
      <c r="D107" s="91" t="s">
        <v>574</v>
      </c>
      <c r="E107" s="91" t="s">
        <v>544</v>
      </c>
      <c r="F107" s="93" t="s">
        <v>457</v>
      </c>
      <c r="G107" s="98"/>
      <c r="H107" s="98"/>
      <c r="I107" s="98"/>
      <c r="J107" s="99"/>
    </row>
    <row r="108">
      <c r="A108" s="101" t="s">
        <v>37</v>
      </c>
      <c r="B108" s="102" t="s">
        <v>251</v>
      </c>
      <c r="C108" s="103" t="s">
        <v>740</v>
      </c>
      <c r="D108" s="83" t="s">
        <v>741</v>
      </c>
      <c r="E108" s="83" t="s">
        <v>742</v>
      </c>
      <c r="F108" s="85" t="s">
        <v>460</v>
      </c>
      <c r="G108" s="85" t="s">
        <v>545</v>
      </c>
      <c r="H108" s="100"/>
      <c r="I108" s="100"/>
      <c r="J108" s="99"/>
    </row>
    <row r="109">
      <c r="A109" s="95" t="s">
        <v>37</v>
      </c>
      <c r="B109" s="96" t="s">
        <v>251</v>
      </c>
      <c r="C109" s="97" t="s">
        <v>743</v>
      </c>
      <c r="D109" s="91" t="s">
        <v>744</v>
      </c>
      <c r="E109" s="91" t="s">
        <v>745</v>
      </c>
      <c r="F109" s="93" t="s">
        <v>460</v>
      </c>
      <c r="G109" s="93" t="s">
        <v>545</v>
      </c>
      <c r="H109" s="98"/>
      <c r="I109" s="98"/>
      <c r="J109" s="99"/>
    </row>
    <row r="110">
      <c r="A110" s="100" t="s">
        <v>37</v>
      </c>
      <c r="B110" s="105" t="s">
        <v>251</v>
      </c>
      <c r="C110" s="106" t="s">
        <v>746</v>
      </c>
      <c r="D110" s="107" t="s">
        <v>747</v>
      </c>
      <c r="E110" s="107" t="s">
        <v>745</v>
      </c>
      <c r="F110" s="84" t="s">
        <v>460</v>
      </c>
      <c r="G110" s="85" t="s">
        <v>545</v>
      </c>
      <c r="H110" s="86"/>
      <c r="I110" s="86"/>
      <c r="J110" s="87"/>
    </row>
    <row r="111">
      <c r="A111" s="95" t="s">
        <v>37</v>
      </c>
      <c r="B111" s="96" t="s">
        <v>251</v>
      </c>
      <c r="C111" s="97" t="s">
        <v>748</v>
      </c>
      <c r="D111" s="91" t="s">
        <v>749</v>
      </c>
      <c r="E111" s="91" t="s">
        <v>750</v>
      </c>
      <c r="F111" s="93" t="s">
        <v>457</v>
      </c>
      <c r="G111" s="98"/>
      <c r="H111" s="98"/>
      <c r="I111" s="98"/>
      <c r="J111" s="99"/>
    </row>
    <row r="112">
      <c r="A112" s="101" t="s">
        <v>37</v>
      </c>
      <c r="B112" s="102" t="s">
        <v>251</v>
      </c>
      <c r="C112" s="103" t="s">
        <v>751</v>
      </c>
      <c r="D112" s="83" t="s">
        <v>752</v>
      </c>
      <c r="E112" s="83" t="s">
        <v>753</v>
      </c>
      <c r="F112" s="85" t="s">
        <v>457</v>
      </c>
      <c r="G112" s="100"/>
      <c r="H112" s="100"/>
      <c r="I112" s="100"/>
      <c r="J112" s="99"/>
    </row>
    <row r="113">
      <c r="A113" s="95" t="s">
        <v>37</v>
      </c>
      <c r="B113" s="96" t="s">
        <v>251</v>
      </c>
      <c r="C113" s="97" t="s">
        <v>754</v>
      </c>
      <c r="D113" s="91" t="s">
        <v>755</v>
      </c>
      <c r="E113" s="91" t="s">
        <v>756</v>
      </c>
      <c r="F113" s="93" t="s">
        <v>457</v>
      </c>
      <c r="G113" s="98"/>
      <c r="H113" s="98"/>
      <c r="I113" s="98"/>
      <c r="J113" s="99"/>
    </row>
    <row r="114">
      <c r="A114" s="101" t="s">
        <v>37</v>
      </c>
      <c r="B114" s="102" t="s">
        <v>251</v>
      </c>
      <c r="C114" s="103" t="s">
        <v>757</v>
      </c>
      <c r="D114" s="83" t="s">
        <v>758</v>
      </c>
      <c r="E114" s="83" t="s">
        <v>759</v>
      </c>
      <c r="F114" s="85" t="s">
        <v>457</v>
      </c>
      <c r="G114" s="100"/>
      <c r="H114" s="100"/>
      <c r="I114" s="100"/>
      <c r="J114" s="99"/>
    </row>
    <row r="115">
      <c r="A115" s="95" t="s">
        <v>37</v>
      </c>
      <c r="B115" s="96" t="s">
        <v>251</v>
      </c>
      <c r="C115" s="97" t="s">
        <v>760</v>
      </c>
      <c r="D115" s="91" t="s">
        <v>761</v>
      </c>
      <c r="E115" s="91" t="s">
        <v>762</v>
      </c>
      <c r="F115" s="93" t="s">
        <v>457</v>
      </c>
      <c r="G115" s="98"/>
      <c r="H115" s="98"/>
      <c r="I115" s="98"/>
      <c r="J115" s="99"/>
    </row>
    <row r="116">
      <c r="A116" s="101" t="s">
        <v>37</v>
      </c>
      <c r="B116" s="102" t="s">
        <v>251</v>
      </c>
      <c r="C116" s="103" t="s">
        <v>763</v>
      </c>
      <c r="D116" s="83" t="s">
        <v>764</v>
      </c>
      <c r="E116" s="83" t="s">
        <v>765</v>
      </c>
      <c r="F116" s="85" t="s">
        <v>457</v>
      </c>
      <c r="G116" s="100"/>
      <c r="H116" s="100"/>
      <c r="I116" s="100"/>
      <c r="J116" s="99"/>
    </row>
    <row r="117">
      <c r="A117" s="95" t="s">
        <v>37</v>
      </c>
      <c r="B117" s="96" t="s">
        <v>251</v>
      </c>
      <c r="C117" s="97" t="s">
        <v>766</v>
      </c>
      <c r="D117" s="91" t="s">
        <v>767</v>
      </c>
      <c r="E117" s="91" t="s">
        <v>765</v>
      </c>
      <c r="F117" s="93" t="s">
        <v>457</v>
      </c>
      <c r="G117" s="98"/>
      <c r="H117" s="98"/>
      <c r="I117" s="98"/>
      <c r="J117" s="99"/>
    </row>
    <row r="118">
      <c r="A118" s="101" t="s">
        <v>37</v>
      </c>
      <c r="B118" s="102" t="s">
        <v>251</v>
      </c>
      <c r="C118" s="103" t="s">
        <v>768</v>
      </c>
      <c r="D118" s="83" t="s">
        <v>769</v>
      </c>
      <c r="E118" s="83" t="s">
        <v>770</v>
      </c>
      <c r="F118" s="85" t="s">
        <v>460</v>
      </c>
      <c r="G118" s="85" t="s">
        <v>545</v>
      </c>
      <c r="H118" s="100"/>
      <c r="I118" s="100"/>
      <c r="J118" s="99"/>
    </row>
    <row r="119">
      <c r="A119" s="95" t="s">
        <v>37</v>
      </c>
      <c r="B119" s="96" t="s">
        <v>251</v>
      </c>
      <c r="C119" s="97" t="s">
        <v>771</v>
      </c>
      <c r="D119" s="91" t="s">
        <v>772</v>
      </c>
      <c r="E119" s="91" t="s">
        <v>773</v>
      </c>
      <c r="F119" s="93" t="s">
        <v>460</v>
      </c>
      <c r="G119" s="93" t="s">
        <v>545</v>
      </c>
      <c r="H119" s="98"/>
      <c r="I119" s="98"/>
      <c r="J119" s="99"/>
    </row>
    <row r="120">
      <c r="A120" s="101" t="s">
        <v>37</v>
      </c>
      <c r="B120" s="102" t="s">
        <v>251</v>
      </c>
      <c r="C120" s="103" t="s">
        <v>774</v>
      </c>
      <c r="D120" s="83" t="s">
        <v>775</v>
      </c>
      <c r="E120" s="83" t="s">
        <v>776</v>
      </c>
      <c r="F120" s="85" t="s">
        <v>460</v>
      </c>
      <c r="G120" s="85" t="s">
        <v>545</v>
      </c>
      <c r="H120" s="100"/>
      <c r="I120" s="100"/>
      <c r="J120" s="99"/>
    </row>
    <row r="121">
      <c r="A121" s="95" t="s">
        <v>37</v>
      </c>
      <c r="B121" s="96" t="s">
        <v>251</v>
      </c>
      <c r="C121" s="97" t="s">
        <v>777</v>
      </c>
      <c r="D121" s="91" t="s">
        <v>778</v>
      </c>
      <c r="E121" s="91" t="s">
        <v>779</v>
      </c>
      <c r="F121" s="93" t="s">
        <v>460</v>
      </c>
      <c r="G121" s="93" t="s">
        <v>545</v>
      </c>
      <c r="H121" s="98"/>
      <c r="I121" s="98"/>
      <c r="J121" s="99"/>
    </row>
    <row r="122">
      <c r="A122" s="101" t="s">
        <v>37</v>
      </c>
      <c r="B122" s="102" t="s">
        <v>251</v>
      </c>
      <c r="C122" s="103" t="s">
        <v>519</v>
      </c>
      <c r="D122" s="83" t="s">
        <v>780</v>
      </c>
      <c r="E122" s="83" t="s">
        <v>781</v>
      </c>
      <c r="F122" s="85" t="s">
        <v>460</v>
      </c>
      <c r="G122" s="85" t="s">
        <v>545</v>
      </c>
      <c r="H122" s="100"/>
      <c r="I122" s="100"/>
      <c r="J122" s="99"/>
    </row>
    <row r="123">
      <c r="A123" s="95" t="s">
        <v>37</v>
      </c>
      <c r="B123" s="96" t="s">
        <v>251</v>
      </c>
      <c r="C123" s="97" t="s">
        <v>782</v>
      </c>
      <c r="D123" s="91" t="s">
        <v>783</v>
      </c>
      <c r="E123" s="91" t="s">
        <v>784</v>
      </c>
      <c r="F123" s="93" t="s">
        <v>457</v>
      </c>
      <c r="G123" s="98"/>
      <c r="H123" s="98"/>
      <c r="I123" s="98"/>
      <c r="J123" s="99"/>
    </row>
    <row r="124">
      <c r="A124" s="101" t="s">
        <v>37</v>
      </c>
      <c r="B124" s="102" t="s">
        <v>251</v>
      </c>
      <c r="C124" s="103" t="s">
        <v>785</v>
      </c>
      <c r="D124" s="83" t="s">
        <v>786</v>
      </c>
      <c r="E124" s="83" t="s">
        <v>787</v>
      </c>
      <c r="F124" s="85" t="s">
        <v>460</v>
      </c>
      <c r="G124" s="85" t="s">
        <v>539</v>
      </c>
      <c r="H124" s="100"/>
      <c r="I124" s="100"/>
      <c r="J124" s="99"/>
    </row>
    <row r="125">
      <c r="A125" s="95" t="s">
        <v>37</v>
      </c>
      <c r="B125" s="96" t="s">
        <v>251</v>
      </c>
      <c r="C125" s="97" t="s">
        <v>788</v>
      </c>
      <c r="D125" s="91" t="s">
        <v>789</v>
      </c>
      <c r="E125" s="91" t="s">
        <v>790</v>
      </c>
      <c r="F125" s="93" t="s">
        <v>457</v>
      </c>
      <c r="G125" s="98"/>
      <c r="H125" s="98"/>
      <c r="I125" s="98"/>
      <c r="J125" s="99"/>
    </row>
    <row r="126">
      <c r="A126" s="101" t="s">
        <v>37</v>
      </c>
      <c r="B126" s="102" t="s">
        <v>251</v>
      </c>
      <c r="C126" s="103" t="s">
        <v>791</v>
      </c>
      <c r="D126" s="83" t="s">
        <v>792</v>
      </c>
      <c r="E126" s="83" t="s">
        <v>793</v>
      </c>
      <c r="F126" s="85" t="s">
        <v>457</v>
      </c>
      <c r="G126" s="100"/>
      <c r="H126" s="100"/>
      <c r="I126" s="100"/>
      <c r="J126" s="99"/>
    </row>
    <row r="127">
      <c r="A127" s="95" t="s">
        <v>37</v>
      </c>
      <c r="B127" s="96" t="s">
        <v>251</v>
      </c>
      <c r="C127" s="97" t="s">
        <v>794</v>
      </c>
      <c r="D127" s="91" t="s">
        <v>795</v>
      </c>
      <c r="E127" s="91" t="s">
        <v>793</v>
      </c>
      <c r="F127" s="93" t="s">
        <v>457</v>
      </c>
      <c r="G127" s="98"/>
      <c r="H127" s="98"/>
      <c r="I127" s="98"/>
      <c r="J127" s="99"/>
    </row>
    <row r="128">
      <c r="A128" s="101" t="s">
        <v>37</v>
      </c>
      <c r="B128" s="102" t="s">
        <v>251</v>
      </c>
      <c r="C128" s="103" t="s">
        <v>796</v>
      </c>
      <c r="D128" s="83" t="s">
        <v>797</v>
      </c>
      <c r="E128" s="83" t="s">
        <v>798</v>
      </c>
      <c r="F128" s="85" t="s">
        <v>457</v>
      </c>
      <c r="G128" s="100"/>
      <c r="H128" s="100"/>
      <c r="I128" s="100"/>
      <c r="J128" s="99"/>
    </row>
    <row r="129">
      <c r="A129" s="95" t="s">
        <v>37</v>
      </c>
      <c r="B129" s="96" t="s">
        <v>251</v>
      </c>
      <c r="C129" s="97" t="s">
        <v>799</v>
      </c>
      <c r="D129" s="91" t="s">
        <v>800</v>
      </c>
      <c r="E129" s="91" t="s">
        <v>801</v>
      </c>
      <c r="F129" s="93" t="s">
        <v>457</v>
      </c>
      <c r="G129" s="98"/>
      <c r="H129" s="98"/>
      <c r="I129" s="98"/>
      <c r="J129" s="99"/>
    </row>
    <row r="130">
      <c r="A130" s="101" t="s">
        <v>37</v>
      </c>
      <c r="B130" s="102" t="s">
        <v>251</v>
      </c>
      <c r="C130" s="103" t="s">
        <v>802</v>
      </c>
      <c r="D130" s="83" t="s">
        <v>803</v>
      </c>
      <c r="E130" s="83" t="s">
        <v>804</v>
      </c>
      <c r="F130" s="85" t="s">
        <v>457</v>
      </c>
      <c r="G130" s="100"/>
      <c r="H130" s="100"/>
      <c r="I130" s="100"/>
      <c r="J130" s="99"/>
    </row>
    <row r="131">
      <c r="A131" s="95" t="s">
        <v>37</v>
      </c>
      <c r="B131" s="96" t="s">
        <v>251</v>
      </c>
      <c r="C131" s="97" t="s">
        <v>549</v>
      </c>
      <c r="D131" s="91" t="s">
        <v>805</v>
      </c>
      <c r="E131" s="91" t="s">
        <v>806</v>
      </c>
      <c r="F131" s="93" t="s">
        <v>457</v>
      </c>
      <c r="G131" s="98"/>
      <c r="H131" s="98"/>
      <c r="I131" s="98"/>
      <c r="J131" s="99"/>
    </row>
    <row r="132">
      <c r="A132" s="101" t="s">
        <v>37</v>
      </c>
      <c r="B132" s="102" t="s">
        <v>251</v>
      </c>
      <c r="C132" s="103" t="s">
        <v>551</v>
      </c>
      <c r="D132" s="83" t="s">
        <v>807</v>
      </c>
      <c r="E132" s="83" t="s">
        <v>808</v>
      </c>
      <c r="F132" s="85" t="s">
        <v>457</v>
      </c>
      <c r="G132" s="100"/>
      <c r="H132" s="100"/>
      <c r="I132" s="100"/>
      <c r="J132" s="99"/>
    </row>
    <row r="133">
      <c r="A133" s="95" t="s">
        <v>37</v>
      </c>
      <c r="B133" s="96" t="s">
        <v>251</v>
      </c>
      <c r="C133" s="97" t="s">
        <v>553</v>
      </c>
      <c r="D133" s="91" t="s">
        <v>809</v>
      </c>
      <c r="E133" s="91" t="s">
        <v>810</v>
      </c>
      <c r="F133" s="93" t="s">
        <v>457</v>
      </c>
      <c r="G133" s="98"/>
      <c r="H133" s="98"/>
      <c r="I133" s="98"/>
      <c r="J133" s="99"/>
    </row>
    <row r="134">
      <c r="A134" s="101" t="s">
        <v>37</v>
      </c>
      <c r="B134" s="102" t="s">
        <v>251</v>
      </c>
      <c r="C134" s="103" t="s">
        <v>555</v>
      </c>
      <c r="D134" s="83" t="s">
        <v>811</v>
      </c>
      <c r="E134" s="83" t="s">
        <v>810</v>
      </c>
      <c r="F134" s="85" t="s">
        <v>457</v>
      </c>
      <c r="G134" s="100"/>
      <c r="H134" s="100"/>
      <c r="I134" s="100"/>
      <c r="J134" s="99"/>
    </row>
    <row r="135">
      <c r="A135" s="95" t="s">
        <v>37</v>
      </c>
      <c r="B135" s="96" t="s">
        <v>251</v>
      </c>
      <c r="C135" s="97" t="s">
        <v>812</v>
      </c>
      <c r="D135" s="91" t="s">
        <v>813</v>
      </c>
      <c r="E135" s="91" t="s">
        <v>814</v>
      </c>
      <c r="F135" s="93" t="s">
        <v>457</v>
      </c>
      <c r="G135" s="98"/>
      <c r="H135" s="98"/>
      <c r="I135" s="98"/>
      <c r="J135" s="99"/>
    </row>
    <row r="136">
      <c r="A136" s="101" t="s">
        <v>37</v>
      </c>
      <c r="B136" s="102" t="s">
        <v>251</v>
      </c>
      <c r="C136" s="103" t="s">
        <v>622</v>
      </c>
      <c r="D136" s="83" t="s">
        <v>815</v>
      </c>
      <c r="E136" s="83" t="s">
        <v>816</v>
      </c>
      <c r="F136" s="85" t="s">
        <v>457</v>
      </c>
      <c r="G136" s="100"/>
      <c r="H136" s="100"/>
      <c r="I136" s="100"/>
      <c r="J136" s="99"/>
    </row>
    <row r="137">
      <c r="A137" s="95" t="s">
        <v>37</v>
      </c>
      <c r="B137" s="96" t="s">
        <v>251</v>
      </c>
      <c r="C137" s="97" t="s">
        <v>625</v>
      </c>
      <c r="D137" s="91" t="s">
        <v>817</v>
      </c>
      <c r="E137" s="91" t="s">
        <v>818</v>
      </c>
      <c r="F137" s="93" t="s">
        <v>457</v>
      </c>
      <c r="G137" s="98"/>
      <c r="H137" s="98"/>
      <c r="I137" s="98"/>
      <c r="J137" s="99"/>
    </row>
    <row r="138">
      <c r="A138" s="101" t="s">
        <v>37</v>
      </c>
      <c r="B138" s="102" t="s">
        <v>251</v>
      </c>
      <c r="C138" s="103" t="s">
        <v>628</v>
      </c>
      <c r="D138" s="83" t="s">
        <v>819</v>
      </c>
      <c r="E138" s="83" t="s">
        <v>820</v>
      </c>
      <c r="F138" s="85" t="s">
        <v>457</v>
      </c>
      <c r="G138" s="100"/>
      <c r="H138" s="100"/>
      <c r="I138" s="100"/>
      <c r="J138" s="99"/>
    </row>
    <row r="139">
      <c r="A139" s="95" t="s">
        <v>37</v>
      </c>
      <c r="B139" s="96" t="s">
        <v>251</v>
      </c>
      <c r="C139" s="97" t="s">
        <v>821</v>
      </c>
      <c r="D139" s="91" t="s">
        <v>795</v>
      </c>
      <c r="E139" s="91" t="s">
        <v>822</v>
      </c>
      <c r="F139" s="93" t="s">
        <v>457</v>
      </c>
      <c r="G139" s="98"/>
      <c r="H139" s="98"/>
      <c r="I139" s="98"/>
      <c r="J139" s="99"/>
    </row>
    <row r="140">
      <c r="A140" s="101" t="s">
        <v>37</v>
      </c>
      <c r="B140" s="102" t="s">
        <v>251</v>
      </c>
      <c r="C140" s="103" t="s">
        <v>823</v>
      </c>
      <c r="D140" s="83" t="s">
        <v>792</v>
      </c>
      <c r="E140" s="83" t="s">
        <v>822</v>
      </c>
      <c r="F140" s="85" t="s">
        <v>457</v>
      </c>
      <c r="G140" s="100"/>
      <c r="H140" s="100"/>
      <c r="I140" s="100"/>
      <c r="J140" s="99"/>
    </row>
    <row r="141">
      <c r="A141" s="95" t="s">
        <v>37</v>
      </c>
      <c r="B141" s="96" t="s">
        <v>254</v>
      </c>
      <c r="C141" s="97" t="s">
        <v>740</v>
      </c>
      <c r="D141" s="91" t="s">
        <v>741</v>
      </c>
      <c r="E141" s="91" t="s">
        <v>742</v>
      </c>
      <c r="F141" s="93" t="s">
        <v>460</v>
      </c>
      <c r="G141" s="93" t="s">
        <v>545</v>
      </c>
      <c r="H141" s="98"/>
      <c r="I141" s="98"/>
      <c r="J141" s="99"/>
    </row>
    <row r="142">
      <c r="A142" s="100" t="s">
        <v>37</v>
      </c>
      <c r="B142" s="105" t="s">
        <v>254</v>
      </c>
      <c r="C142" s="106" t="s">
        <v>743</v>
      </c>
      <c r="D142" s="107" t="s">
        <v>744</v>
      </c>
      <c r="E142" s="107" t="s">
        <v>745</v>
      </c>
      <c r="F142" s="84" t="s">
        <v>460</v>
      </c>
      <c r="G142" s="85" t="s">
        <v>545</v>
      </c>
      <c r="H142" s="86"/>
      <c r="I142" s="86"/>
      <c r="J142" s="87"/>
    </row>
    <row r="143">
      <c r="A143" s="98" t="s">
        <v>37</v>
      </c>
      <c r="B143" s="108" t="s">
        <v>254</v>
      </c>
      <c r="C143" s="109" t="s">
        <v>746</v>
      </c>
      <c r="D143" s="104" t="s">
        <v>747</v>
      </c>
      <c r="E143" s="104" t="s">
        <v>745</v>
      </c>
      <c r="F143" s="92" t="s">
        <v>460</v>
      </c>
      <c r="G143" s="93" t="s">
        <v>545</v>
      </c>
      <c r="H143" s="94"/>
      <c r="I143" s="94"/>
      <c r="J143" s="87"/>
    </row>
    <row r="144">
      <c r="A144" s="101" t="s">
        <v>37</v>
      </c>
      <c r="B144" s="102" t="s">
        <v>254</v>
      </c>
      <c r="C144" s="103" t="s">
        <v>748</v>
      </c>
      <c r="D144" s="83" t="s">
        <v>749</v>
      </c>
      <c r="E144" s="83" t="s">
        <v>750</v>
      </c>
      <c r="F144" s="85" t="s">
        <v>457</v>
      </c>
      <c r="G144" s="100"/>
      <c r="H144" s="100"/>
      <c r="I144" s="100"/>
      <c r="J144" s="99"/>
    </row>
    <row r="145">
      <c r="A145" s="95" t="s">
        <v>37</v>
      </c>
      <c r="B145" s="96" t="s">
        <v>254</v>
      </c>
      <c r="C145" s="97" t="s">
        <v>751</v>
      </c>
      <c r="D145" s="91" t="s">
        <v>752</v>
      </c>
      <c r="E145" s="91" t="s">
        <v>753</v>
      </c>
      <c r="F145" s="93" t="s">
        <v>457</v>
      </c>
      <c r="G145" s="98"/>
      <c r="H145" s="98"/>
      <c r="I145" s="98"/>
      <c r="J145" s="99"/>
    </row>
    <row r="146">
      <c r="A146" s="101" t="s">
        <v>37</v>
      </c>
      <c r="B146" s="102" t="s">
        <v>254</v>
      </c>
      <c r="C146" s="103" t="s">
        <v>754</v>
      </c>
      <c r="D146" s="83" t="s">
        <v>755</v>
      </c>
      <c r="E146" s="83" t="s">
        <v>756</v>
      </c>
      <c r="F146" s="85" t="s">
        <v>457</v>
      </c>
      <c r="G146" s="100"/>
      <c r="H146" s="100"/>
      <c r="I146" s="100"/>
      <c r="J146" s="99"/>
    </row>
    <row r="147">
      <c r="A147" s="95" t="s">
        <v>37</v>
      </c>
      <c r="B147" s="96" t="s">
        <v>254</v>
      </c>
      <c r="C147" s="97" t="s">
        <v>757</v>
      </c>
      <c r="D147" s="91" t="s">
        <v>758</v>
      </c>
      <c r="E147" s="91" t="s">
        <v>759</v>
      </c>
      <c r="F147" s="93" t="s">
        <v>457</v>
      </c>
      <c r="G147" s="98"/>
      <c r="H147" s="98"/>
      <c r="I147" s="98"/>
      <c r="J147" s="99"/>
    </row>
    <row r="148">
      <c r="A148" s="101" t="s">
        <v>37</v>
      </c>
      <c r="B148" s="102" t="s">
        <v>254</v>
      </c>
      <c r="C148" s="103" t="s">
        <v>760</v>
      </c>
      <c r="D148" s="83" t="s">
        <v>761</v>
      </c>
      <c r="E148" s="83" t="s">
        <v>762</v>
      </c>
      <c r="F148" s="85" t="s">
        <v>457</v>
      </c>
      <c r="G148" s="100"/>
      <c r="H148" s="100"/>
      <c r="I148" s="100"/>
      <c r="J148" s="99"/>
    </row>
    <row r="149">
      <c r="A149" s="95" t="s">
        <v>37</v>
      </c>
      <c r="B149" s="96" t="s">
        <v>254</v>
      </c>
      <c r="C149" s="97" t="s">
        <v>763</v>
      </c>
      <c r="D149" s="91" t="s">
        <v>764</v>
      </c>
      <c r="E149" s="91" t="s">
        <v>765</v>
      </c>
      <c r="F149" s="93" t="s">
        <v>457</v>
      </c>
      <c r="G149" s="98"/>
      <c r="H149" s="98"/>
      <c r="I149" s="98"/>
      <c r="J149" s="99"/>
    </row>
    <row r="150">
      <c r="A150" s="101" t="s">
        <v>37</v>
      </c>
      <c r="B150" s="102" t="s">
        <v>254</v>
      </c>
      <c r="C150" s="103" t="s">
        <v>766</v>
      </c>
      <c r="D150" s="83" t="s">
        <v>767</v>
      </c>
      <c r="E150" s="83" t="s">
        <v>765</v>
      </c>
      <c r="F150" s="85" t="s">
        <v>457</v>
      </c>
      <c r="G150" s="100"/>
      <c r="H150" s="100"/>
      <c r="I150" s="100"/>
      <c r="J150" s="99"/>
    </row>
    <row r="151">
      <c r="A151" s="95" t="s">
        <v>37</v>
      </c>
      <c r="B151" s="96" t="s">
        <v>254</v>
      </c>
      <c r="C151" s="97" t="s">
        <v>768</v>
      </c>
      <c r="D151" s="91" t="s">
        <v>769</v>
      </c>
      <c r="E151" s="91" t="s">
        <v>770</v>
      </c>
      <c r="F151" s="93" t="s">
        <v>460</v>
      </c>
      <c r="G151" s="93" t="s">
        <v>545</v>
      </c>
      <c r="H151" s="98"/>
      <c r="I151" s="98"/>
      <c r="J151" s="99"/>
    </row>
    <row r="152">
      <c r="A152" s="101" t="s">
        <v>37</v>
      </c>
      <c r="B152" s="102" t="s">
        <v>254</v>
      </c>
      <c r="C152" s="103" t="s">
        <v>771</v>
      </c>
      <c r="D152" s="83" t="s">
        <v>772</v>
      </c>
      <c r="E152" s="83" t="s">
        <v>773</v>
      </c>
      <c r="F152" s="85" t="s">
        <v>460</v>
      </c>
      <c r="G152" s="85" t="s">
        <v>545</v>
      </c>
      <c r="H152" s="100"/>
      <c r="I152" s="100"/>
      <c r="J152" s="99"/>
    </row>
    <row r="153">
      <c r="A153" s="95" t="s">
        <v>37</v>
      </c>
      <c r="B153" s="96" t="s">
        <v>254</v>
      </c>
      <c r="C153" s="97" t="s">
        <v>774</v>
      </c>
      <c r="D153" s="91" t="s">
        <v>775</v>
      </c>
      <c r="E153" s="91" t="s">
        <v>776</v>
      </c>
      <c r="F153" s="93" t="s">
        <v>460</v>
      </c>
      <c r="G153" s="93" t="s">
        <v>545</v>
      </c>
      <c r="H153" s="98"/>
      <c r="I153" s="98"/>
      <c r="J153" s="99"/>
    </row>
    <row r="154">
      <c r="A154" s="101" t="s">
        <v>37</v>
      </c>
      <c r="B154" s="102" t="s">
        <v>254</v>
      </c>
      <c r="C154" s="103" t="s">
        <v>777</v>
      </c>
      <c r="D154" s="83" t="s">
        <v>778</v>
      </c>
      <c r="E154" s="83" t="s">
        <v>779</v>
      </c>
      <c r="F154" s="85" t="s">
        <v>460</v>
      </c>
      <c r="G154" s="85" t="s">
        <v>545</v>
      </c>
      <c r="H154" s="100"/>
      <c r="I154" s="100"/>
      <c r="J154" s="99"/>
    </row>
    <row r="155">
      <c r="A155" s="95" t="s">
        <v>37</v>
      </c>
      <c r="B155" s="96" t="s">
        <v>254</v>
      </c>
      <c r="C155" s="97" t="s">
        <v>519</v>
      </c>
      <c r="D155" s="91" t="s">
        <v>780</v>
      </c>
      <c r="E155" s="91" t="s">
        <v>781</v>
      </c>
      <c r="F155" s="93" t="s">
        <v>460</v>
      </c>
      <c r="G155" s="93" t="s">
        <v>545</v>
      </c>
      <c r="H155" s="98"/>
      <c r="I155" s="98"/>
      <c r="J155" s="99"/>
    </row>
    <row r="156">
      <c r="A156" s="101" t="s">
        <v>37</v>
      </c>
      <c r="B156" s="102" t="s">
        <v>254</v>
      </c>
      <c r="C156" s="103" t="s">
        <v>782</v>
      </c>
      <c r="D156" s="83" t="s">
        <v>783</v>
      </c>
      <c r="E156" s="83" t="s">
        <v>784</v>
      </c>
      <c r="F156" s="85" t="s">
        <v>457</v>
      </c>
      <c r="G156" s="100"/>
      <c r="H156" s="100"/>
      <c r="I156" s="100"/>
      <c r="J156" s="99"/>
    </row>
    <row r="157">
      <c r="A157" s="95" t="s">
        <v>37</v>
      </c>
      <c r="B157" s="96" t="s">
        <v>254</v>
      </c>
      <c r="C157" s="97" t="s">
        <v>785</v>
      </c>
      <c r="D157" s="91" t="s">
        <v>786</v>
      </c>
      <c r="E157" s="91" t="s">
        <v>787</v>
      </c>
      <c r="F157" s="93" t="s">
        <v>460</v>
      </c>
      <c r="G157" s="93" t="s">
        <v>539</v>
      </c>
      <c r="H157" s="98"/>
      <c r="I157" s="98"/>
      <c r="J157" s="99"/>
    </row>
    <row r="158">
      <c r="A158" s="101" t="s">
        <v>37</v>
      </c>
      <c r="B158" s="102" t="s">
        <v>254</v>
      </c>
      <c r="C158" s="103" t="s">
        <v>788</v>
      </c>
      <c r="D158" s="83" t="s">
        <v>789</v>
      </c>
      <c r="E158" s="83" t="s">
        <v>790</v>
      </c>
      <c r="F158" s="85" t="s">
        <v>457</v>
      </c>
      <c r="G158" s="100"/>
      <c r="H158" s="100"/>
      <c r="I158" s="100"/>
      <c r="J158" s="99"/>
    </row>
    <row r="159">
      <c r="A159" s="95" t="s">
        <v>37</v>
      </c>
      <c r="B159" s="96" t="s">
        <v>254</v>
      </c>
      <c r="C159" s="97" t="s">
        <v>791</v>
      </c>
      <c r="D159" s="91" t="s">
        <v>792</v>
      </c>
      <c r="E159" s="91" t="s">
        <v>793</v>
      </c>
      <c r="F159" s="93" t="s">
        <v>457</v>
      </c>
      <c r="G159" s="98"/>
      <c r="H159" s="98"/>
      <c r="I159" s="98"/>
      <c r="J159" s="99"/>
    </row>
    <row r="160">
      <c r="A160" s="101" t="s">
        <v>37</v>
      </c>
      <c r="B160" s="102" t="s">
        <v>254</v>
      </c>
      <c r="C160" s="103" t="s">
        <v>794</v>
      </c>
      <c r="D160" s="83" t="s">
        <v>795</v>
      </c>
      <c r="E160" s="83" t="s">
        <v>793</v>
      </c>
      <c r="F160" s="85" t="s">
        <v>457</v>
      </c>
      <c r="G160" s="100"/>
      <c r="H160" s="100"/>
      <c r="I160" s="100"/>
      <c r="J160" s="99"/>
    </row>
    <row r="161">
      <c r="A161" s="95" t="s">
        <v>37</v>
      </c>
      <c r="B161" s="96" t="s">
        <v>254</v>
      </c>
      <c r="C161" s="97" t="s">
        <v>796</v>
      </c>
      <c r="D161" s="91" t="s">
        <v>797</v>
      </c>
      <c r="E161" s="91" t="s">
        <v>798</v>
      </c>
      <c r="F161" s="93" t="s">
        <v>457</v>
      </c>
      <c r="G161" s="98"/>
      <c r="H161" s="98"/>
      <c r="I161" s="98"/>
      <c r="J161" s="99"/>
    </row>
    <row r="162">
      <c r="A162" s="101" t="s">
        <v>37</v>
      </c>
      <c r="B162" s="102" t="s">
        <v>254</v>
      </c>
      <c r="C162" s="103" t="s">
        <v>799</v>
      </c>
      <c r="D162" s="83" t="s">
        <v>800</v>
      </c>
      <c r="E162" s="83" t="s">
        <v>801</v>
      </c>
      <c r="F162" s="85" t="s">
        <v>457</v>
      </c>
      <c r="G162" s="100"/>
      <c r="H162" s="100"/>
      <c r="I162" s="100"/>
      <c r="J162" s="99"/>
    </row>
    <row r="163">
      <c r="A163" s="95" t="s">
        <v>37</v>
      </c>
      <c r="B163" s="96" t="s">
        <v>254</v>
      </c>
      <c r="C163" s="97" t="s">
        <v>802</v>
      </c>
      <c r="D163" s="91" t="s">
        <v>803</v>
      </c>
      <c r="E163" s="91" t="s">
        <v>804</v>
      </c>
      <c r="F163" s="93" t="s">
        <v>457</v>
      </c>
      <c r="G163" s="98"/>
      <c r="H163" s="98"/>
      <c r="I163" s="98"/>
      <c r="J163" s="99"/>
    </row>
    <row r="164">
      <c r="A164" s="101" t="s">
        <v>37</v>
      </c>
      <c r="B164" s="102" t="s">
        <v>254</v>
      </c>
      <c r="C164" s="103" t="s">
        <v>549</v>
      </c>
      <c r="D164" s="83" t="s">
        <v>805</v>
      </c>
      <c r="E164" s="83" t="s">
        <v>806</v>
      </c>
      <c r="F164" s="85" t="s">
        <v>457</v>
      </c>
      <c r="G164" s="100"/>
      <c r="H164" s="100"/>
      <c r="I164" s="100"/>
      <c r="J164" s="99"/>
    </row>
    <row r="165">
      <c r="A165" s="95" t="s">
        <v>37</v>
      </c>
      <c r="B165" s="96" t="s">
        <v>254</v>
      </c>
      <c r="C165" s="97" t="s">
        <v>551</v>
      </c>
      <c r="D165" s="91" t="s">
        <v>807</v>
      </c>
      <c r="E165" s="91" t="s">
        <v>808</v>
      </c>
      <c r="F165" s="93" t="s">
        <v>457</v>
      </c>
      <c r="G165" s="98"/>
      <c r="H165" s="98"/>
      <c r="I165" s="98"/>
      <c r="J165" s="99"/>
    </row>
    <row r="166">
      <c r="A166" s="101" t="s">
        <v>37</v>
      </c>
      <c r="B166" s="102" t="s">
        <v>254</v>
      </c>
      <c r="C166" s="103" t="s">
        <v>553</v>
      </c>
      <c r="D166" s="83" t="s">
        <v>809</v>
      </c>
      <c r="E166" s="83" t="s">
        <v>810</v>
      </c>
      <c r="F166" s="85" t="s">
        <v>457</v>
      </c>
      <c r="G166" s="100"/>
      <c r="H166" s="100"/>
      <c r="I166" s="100"/>
      <c r="J166" s="99"/>
    </row>
    <row r="167">
      <c r="A167" s="95" t="s">
        <v>37</v>
      </c>
      <c r="B167" s="96" t="s">
        <v>254</v>
      </c>
      <c r="C167" s="97" t="s">
        <v>555</v>
      </c>
      <c r="D167" s="91" t="s">
        <v>811</v>
      </c>
      <c r="E167" s="91" t="s">
        <v>810</v>
      </c>
      <c r="F167" s="93" t="s">
        <v>457</v>
      </c>
      <c r="G167" s="98"/>
      <c r="H167" s="98"/>
      <c r="I167" s="98"/>
      <c r="J167" s="99"/>
    </row>
    <row r="168">
      <c r="A168" s="101" t="s">
        <v>37</v>
      </c>
      <c r="B168" s="102" t="s">
        <v>254</v>
      </c>
      <c r="C168" s="103" t="s">
        <v>812</v>
      </c>
      <c r="D168" s="83" t="s">
        <v>813</v>
      </c>
      <c r="E168" s="83" t="s">
        <v>814</v>
      </c>
      <c r="F168" s="85" t="s">
        <v>457</v>
      </c>
      <c r="G168" s="100"/>
      <c r="H168" s="100"/>
      <c r="I168" s="100"/>
      <c r="J168" s="99"/>
    </row>
    <row r="169">
      <c r="A169" s="95" t="s">
        <v>37</v>
      </c>
      <c r="B169" s="96" t="s">
        <v>254</v>
      </c>
      <c r="C169" s="97" t="s">
        <v>622</v>
      </c>
      <c r="D169" s="91" t="s">
        <v>815</v>
      </c>
      <c r="E169" s="91" t="s">
        <v>816</v>
      </c>
      <c r="F169" s="93" t="s">
        <v>457</v>
      </c>
      <c r="G169" s="98"/>
      <c r="H169" s="98"/>
      <c r="I169" s="98"/>
      <c r="J169" s="99"/>
    </row>
    <row r="170">
      <c r="A170" s="101" t="s">
        <v>37</v>
      </c>
      <c r="B170" s="102" t="s">
        <v>254</v>
      </c>
      <c r="C170" s="103" t="s">
        <v>625</v>
      </c>
      <c r="D170" s="83" t="s">
        <v>817</v>
      </c>
      <c r="E170" s="83" t="s">
        <v>818</v>
      </c>
      <c r="F170" s="85" t="s">
        <v>457</v>
      </c>
      <c r="G170" s="100"/>
      <c r="H170" s="100"/>
      <c r="I170" s="100"/>
      <c r="J170" s="99"/>
    </row>
    <row r="171">
      <c r="A171" s="95" t="s">
        <v>37</v>
      </c>
      <c r="B171" s="96" t="s">
        <v>254</v>
      </c>
      <c r="C171" s="97" t="s">
        <v>628</v>
      </c>
      <c r="D171" s="91" t="s">
        <v>819</v>
      </c>
      <c r="E171" s="91" t="s">
        <v>820</v>
      </c>
      <c r="F171" s="93" t="s">
        <v>457</v>
      </c>
      <c r="G171" s="98"/>
      <c r="H171" s="98"/>
      <c r="I171" s="98"/>
      <c r="J171" s="99"/>
    </row>
    <row r="172">
      <c r="A172" s="101" t="s">
        <v>37</v>
      </c>
      <c r="B172" s="102" t="s">
        <v>254</v>
      </c>
      <c r="C172" s="103" t="s">
        <v>821</v>
      </c>
      <c r="D172" s="83" t="s">
        <v>795</v>
      </c>
      <c r="E172" s="83" t="s">
        <v>822</v>
      </c>
      <c r="F172" s="85" t="s">
        <v>460</v>
      </c>
      <c r="G172" s="85" t="s">
        <v>539</v>
      </c>
      <c r="H172" s="100"/>
      <c r="I172" s="100"/>
      <c r="J172" s="99"/>
    </row>
    <row r="173">
      <c r="A173" s="95" t="s">
        <v>37</v>
      </c>
      <c r="B173" s="96" t="s">
        <v>254</v>
      </c>
      <c r="C173" s="97" t="s">
        <v>823</v>
      </c>
      <c r="D173" s="91" t="s">
        <v>792</v>
      </c>
      <c r="E173" s="91" t="s">
        <v>822</v>
      </c>
      <c r="F173" s="93" t="s">
        <v>460</v>
      </c>
      <c r="G173" s="93" t="s">
        <v>539</v>
      </c>
      <c r="H173" s="98"/>
      <c r="I173" s="98"/>
      <c r="J173" s="99"/>
    </row>
    <row r="174">
      <c r="A174" s="101" t="s">
        <v>37</v>
      </c>
      <c r="B174" s="102" t="s">
        <v>258</v>
      </c>
      <c r="C174" s="103" t="s">
        <v>824</v>
      </c>
      <c r="D174" s="83" t="s">
        <v>825</v>
      </c>
      <c r="E174" s="83" t="s">
        <v>826</v>
      </c>
      <c r="F174" s="85" t="s">
        <v>457</v>
      </c>
      <c r="G174" s="100"/>
      <c r="H174" s="100"/>
      <c r="I174" s="100"/>
      <c r="J174" s="99"/>
    </row>
    <row r="175">
      <c r="A175" s="98" t="s">
        <v>37</v>
      </c>
      <c r="B175" s="108" t="s">
        <v>258</v>
      </c>
      <c r="C175" s="109" t="s">
        <v>575</v>
      </c>
      <c r="D175" s="104" t="s">
        <v>827</v>
      </c>
      <c r="E175" s="104" t="s">
        <v>828</v>
      </c>
      <c r="F175" s="92" t="s">
        <v>457</v>
      </c>
      <c r="G175" s="98"/>
      <c r="H175" s="94"/>
      <c r="I175" s="94"/>
      <c r="J175" s="87"/>
    </row>
    <row r="176">
      <c r="A176" s="80" t="s">
        <v>37</v>
      </c>
      <c r="B176" s="81" t="s">
        <v>258</v>
      </c>
      <c r="C176" s="82" t="s">
        <v>579</v>
      </c>
      <c r="D176" s="83" t="s">
        <v>829</v>
      </c>
      <c r="E176" s="83" t="s">
        <v>830</v>
      </c>
      <c r="F176" s="84" t="s">
        <v>460</v>
      </c>
      <c r="G176" s="85" t="s">
        <v>582</v>
      </c>
      <c r="H176" s="86"/>
      <c r="I176" s="86"/>
      <c r="J176" s="87"/>
    </row>
    <row r="177">
      <c r="A177" s="88" t="s">
        <v>37</v>
      </c>
      <c r="B177" s="89" t="s">
        <v>258</v>
      </c>
      <c r="C177" s="90" t="s">
        <v>583</v>
      </c>
      <c r="D177" s="91" t="s">
        <v>831</v>
      </c>
      <c r="E177" s="91" t="s">
        <v>830</v>
      </c>
      <c r="F177" s="92" t="s">
        <v>460</v>
      </c>
      <c r="G177" s="93" t="s">
        <v>539</v>
      </c>
      <c r="H177" s="94"/>
      <c r="I177" s="94"/>
      <c r="J177" s="87"/>
    </row>
    <row r="178">
      <c r="A178" s="80" t="s">
        <v>37</v>
      </c>
      <c r="B178" s="81" t="s">
        <v>258</v>
      </c>
      <c r="C178" s="82" t="s">
        <v>586</v>
      </c>
      <c r="D178" s="83" t="s">
        <v>832</v>
      </c>
      <c r="E178" s="83" t="s">
        <v>830</v>
      </c>
      <c r="F178" s="84" t="s">
        <v>460</v>
      </c>
      <c r="G178" s="85" t="s">
        <v>539</v>
      </c>
      <c r="H178" s="86"/>
      <c r="I178" s="86"/>
      <c r="J178" s="87"/>
    </row>
    <row r="179">
      <c r="A179" s="88" t="s">
        <v>37</v>
      </c>
      <c r="B179" s="89" t="s">
        <v>258</v>
      </c>
      <c r="C179" s="90" t="s">
        <v>589</v>
      </c>
      <c r="D179" s="91" t="s">
        <v>833</v>
      </c>
      <c r="E179" s="91" t="s">
        <v>830</v>
      </c>
      <c r="F179" s="92" t="s">
        <v>460</v>
      </c>
      <c r="G179" s="93" t="s">
        <v>539</v>
      </c>
      <c r="H179" s="94"/>
      <c r="I179" s="94"/>
      <c r="J179" s="87"/>
    </row>
    <row r="180">
      <c r="A180" s="80" t="s">
        <v>37</v>
      </c>
      <c r="B180" s="81" t="s">
        <v>258</v>
      </c>
      <c r="C180" s="82" t="s">
        <v>592</v>
      </c>
      <c r="D180" s="83" t="s">
        <v>834</v>
      </c>
      <c r="E180" s="83" t="s">
        <v>835</v>
      </c>
      <c r="F180" s="84" t="s">
        <v>460</v>
      </c>
      <c r="G180" s="85" t="s">
        <v>545</v>
      </c>
      <c r="H180" s="86"/>
      <c r="I180" s="86"/>
      <c r="J180" s="87"/>
    </row>
    <row r="181">
      <c r="A181" s="88" t="s">
        <v>37</v>
      </c>
      <c r="B181" s="89" t="s">
        <v>258</v>
      </c>
      <c r="C181" s="90" t="s">
        <v>595</v>
      </c>
      <c r="D181" s="91" t="s">
        <v>836</v>
      </c>
      <c r="E181" s="91" t="s">
        <v>835</v>
      </c>
      <c r="F181" s="92" t="s">
        <v>460</v>
      </c>
      <c r="G181" s="93" t="s">
        <v>545</v>
      </c>
      <c r="H181" s="94"/>
      <c r="I181" s="94"/>
      <c r="J181" s="87"/>
    </row>
    <row r="182">
      <c r="A182" s="80" t="s">
        <v>37</v>
      </c>
      <c r="B182" s="81" t="s">
        <v>258</v>
      </c>
      <c r="C182" s="82" t="s">
        <v>598</v>
      </c>
      <c r="D182" s="83" t="s">
        <v>837</v>
      </c>
      <c r="E182" s="83" t="s">
        <v>838</v>
      </c>
      <c r="F182" s="84" t="s">
        <v>460</v>
      </c>
      <c r="G182" s="85" t="s">
        <v>545</v>
      </c>
      <c r="H182" s="86"/>
      <c r="I182" s="86"/>
      <c r="J182" s="87"/>
    </row>
    <row r="183">
      <c r="A183" s="88" t="s">
        <v>37</v>
      </c>
      <c r="B183" s="89" t="s">
        <v>258</v>
      </c>
      <c r="C183" s="90" t="s">
        <v>601</v>
      </c>
      <c r="D183" s="91" t="s">
        <v>839</v>
      </c>
      <c r="E183" s="91" t="s">
        <v>830</v>
      </c>
      <c r="F183" s="92" t="s">
        <v>457</v>
      </c>
      <c r="G183" s="98"/>
      <c r="H183" s="94"/>
      <c r="I183" s="94"/>
      <c r="J183" s="87"/>
    </row>
    <row r="184">
      <c r="A184" s="100" t="s">
        <v>37</v>
      </c>
      <c r="B184" s="105" t="s">
        <v>258</v>
      </c>
      <c r="C184" s="106" t="s">
        <v>546</v>
      </c>
      <c r="D184" s="107" t="s">
        <v>840</v>
      </c>
      <c r="E184" s="107" t="s">
        <v>841</v>
      </c>
      <c r="F184" s="84" t="s">
        <v>457</v>
      </c>
      <c r="G184" s="100"/>
      <c r="H184" s="86"/>
      <c r="I184" s="86"/>
      <c r="J184" s="87"/>
    </row>
    <row r="185">
      <c r="A185" s="98" t="s">
        <v>37</v>
      </c>
      <c r="B185" s="108" t="s">
        <v>258</v>
      </c>
      <c r="C185" s="109" t="s">
        <v>549</v>
      </c>
      <c r="D185" s="104" t="s">
        <v>842</v>
      </c>
      <c r="E185" s="104" t="s">
        <v>841</v>
      </c>
      <c r="F185" s="92" t="s">
        <v>457</v>
      </c>
      <c r="G185" s="98"/>
      <c r="H185" s="94"/>
      <c r="I185" s="94"/>
      <c r="J185" s="87"/>
    </row>
    <row r="186">
      <c r="A186" s="101" t="s">
        <v>37</v>
      </c>
      <c r="B186" s="102" t="s">
        <v>258</v>
      </c>
      <c r="C186" s="103" t="s">
        <v>551</v>
      </c>
      <c r="D186" s="83" t="s">
        <v>843</v>
      </c>
      <c r="E186" s="83" t="s">
        <v>841</v>
      </c>
      <c r="F186" s="85" t="s">
        <v>457</v>
      </c>
      <c r="G186" s="100"/>
      <c r="H186" s="100"/>
      <c r="I186" s="100"/>
      <c r="J186" s="99"/>
    </row>
    <row r="187">
      <c r="A187" s="95" t="s">
        <v>37</v>
      </c>
      <c r="B187" s="96" t="s">
        <v>258</v>
      </c>
      <c r="C187" s="97" t="s">
        <v>553</v>
      </c>
      <c r="D187" s="91" t="s">
        <v>844</v>
      </c>
      <c r="E187" s="91" t="s">
        <v>845</v>
      </c>
      <c r="F187" s="93" t="s">
        <v>457</v>
      </c>
      <c r="G187" s="98"/>
      <c r="H187" s="98"/>
      <c r="I187" s="98"/>
      <c r="J187" s="99"/>
    </row>
    <row r="188">
      <c r="A188" s="100" t="s">
        <v>37</v>
      </c>
      <c r="B188" s="105" t="s">
        <v>258</v>
      </c>
      <c r="C188" s="106" t="s">
        <v>555</v>
      </c>
      <c r="D188" s="107" t="s">
        <v>846</v>
      </c>
      <c r="E188" s="107" t="s">
        <v>841</v>
      </c>
      <c r="F188" s="84" t="s">
        <v>457</v>
      </c>
      <c r="G188" s="100"/>
      <c r="H188" s="86"/>
      <c r="I188" s="86"/>
      <c r="J188" s="87"/>
    </row>
    <row r="189">
      <c r="A189" s="95" t="s">
        <v>37</v>
      </c>
      <c r="B189" s="96" t="s">
        <v>258</v>
      </c>
      <c r="C189" s="97" t="s">
        <v>557</v>
      </c>
      <c r="D189" s="91" t="s">
        <v>847</v>
      </c>
      <c r="E189" s="91" t="s">
        <v>841</v>
      </c>
      <c r="F189" s="93" t="s">
        <v>457</v>
      </c>
      <c r="G189" s="98"/>
      <c r="H189" s="98"/>
      <c r="I189" s="98"/>
      <c r="J189" s="99"/>
    </row>
    <row r="190">
      <c r="A190" s="101" t="s">
        <v>37</v>
      </c>
      <c r="B190" s="102" t="s">
        <v>258</v>
      </c>
      <c r="C190" s="103" t="s">
        <v>618</v>
      </c>
      <c r="D190" s="83" t="s">
        <v>848</v>
      </c>
      <c r="E190" s="83" t="s">
        <v>841</v>
      </c>
      <c r="F190" s="85" t="s">
        <v>457</v>
      </c>
      <c r="G190" s="100"/>
      <c r="H190" s="100"/>
      <c r="I190" s="100"/>
      <c r="J190" s="99"/>
    </row>
    <row r="191">
      <c r="A191" s="95" t="s">
        <v>37</v>
      </c>
      <c r="B191" s="96" t="s">
        <v>258</v>
      </c>
      <c r="C191" s="97" t="s">
        <v>561</v>
      </c>
      <c r="D191" s="91" t="s">
        <v>849</v>
      </c>
      <c r="E191" s="91" t="s">
        <v>841</v>
      </c>
      <c r="F191" s="93" t="s">
        <v>457</v>
      </c>
      <c r="G191" s="98"/>
      <c r="H191" s="98"/>
      <c r="I191" s="98"/>
      <c r="J191" s="99"/>
    </row>
    <row r="192">
      <c r="A192" s="101" t="s">
        <v>37</v>
      </c>
      <c r="B192" s="102" t="s">
        <v>258</v>
      </c>
      <c r="C192" s="103" t="s">
        <v>622</v>
      </c>
      <c r="D192" s="83" t="s">
        <v>850</v>
      </c>
      <c r="E192" s="83" t="s">
        <v>851</v>
      </c>
      <c r="F192" s="85" t="s">
        <v>457</v>
      </c>
      <c r="G192" s="100"/>
      <c r="H192" s="100"/>
      <c r="I192" s="100"/>
      <c r="J192" s="99"/>
    </row>
    <row r="193">
      <c r="A193" s="95" t="s">
        <v>37</v>
      </c>
      <c r="B193" s="96" t="s">
        <v>258</v>
      </c>
      <c r="C193" s="97" t="s">
        <v>625</v>
      </c>
      <c r="D193" s="91" t="s">
        <v>825</v>
      </c>
      <c r="E193" s="91" t="s">
        <v>851</v>
      </c>
      <c r="F193" s="93" t="s">
        <v>457</v>
      </c>
      <c r="G193" s="98"/>
      <c r="H193" s="98"/>
      <c r="I193" s="98"/>
      <c r="J193" s="99"/>
    </row>
    <row r="194">
      <c r="A194" s="101" t="s">
        <v>37</v>
      </c>
      <c r="B194" s="102" t="s">
        <v>258</v>
      </c>
      <c r="C194" s="103" t="s">
        <v>628</v>
      </c>
      <c r="D194" s="83" t="s">
        <v>852</v>
      </c>
      <c r="E194" s="83" t="s">
        <v>851</v>
      </c>
      <c r="F194" s="85" t="s">
        <v>457</v>
      </c>
      <c r="G194" s="100"/>
      <c r="H194" s="100"/>
      <c r="I194" s="100"/>
      <c r="J194" s="99"/>
    </row>
    <row r="195">
      <c r="A195" s="95" t="s">
        <v>37</v>
      </c>
      <c r="B195" s="96" t="s">
        <v>258</v>
      </c>
      <c r="C195" s="97" t="s">
        <v>631</v>
      </c>
      <c r="D195" s="91" t="s">
        <v>853</v>
      </c>
      <c r="E195" s="91" t="s">
        <v>851</v>
      </c>
      <c r="F195" s="93" t="s">
        <v>457</v>
      </c>
      <c r="G195" s="98"/>
      <c r="H195" s="98"/>
      <c r="I195" s="98"/>
      <c r="J195" s="99"/>
    </row>
    <row r="196">
      <c r="A196" s="101" t="s">
        <v>37</v>
      </c>
      <c r="B196" s="102" t="s">
        <v>258</v>
      </c>
      <c r="C196" s="103" t="s">
        <v>634</v>
      </c>
      <c r="D196" s="83" t="s">
        <v>854</v>
      </c>
      <c r="E196" s="83" t="s">
        <v>855</v>
      </c>
      <c r="F196" s="85" t="s">
        <v>457</v>
      </c>
      <c r="G196" s="100"/>
      <c r="H196" s="100"/>
      <c r="I196" s="100"/>
      <c r="J196" s="99"/>
    </row>
    <row r="197">
      <c r="A197" s="95" t="s">
        <v>37</v>
      </c>
      <c r="B197" s="96" t="s">
        <v>258</v>
      </c>
      <c r="C197" s="97" t="s">
        <v>637</v>
      </c>
      <c r="D197" s="91" t="s">
        <v>856</v>
      </c>
      <c r="E197" s="91" t="s">
        <v>857</v>
      </c>
      <c r="F197" s="93" t="s">
        <v>457</v>
      </c>
      <c r="G197" s="98"/>
      <c r="H197" s="98"/>
      <c r="I197" s="98"/>
      <c r="J197" s="99"/>
    </row>
    <row r="198">
      <c r="A198" s="100" t="s">
        <v>37</v>
      </c>
      <c r="B198" s="105" t="s">
        <v>258</v>
      </c>
      <c r="C198" s="106" t="s">
        <v>640</v>
      </c>
      <c r="D198" s="107" t="s">
        <v>858</v>
      </c>
      <c r="E198" s="107" t="s">
        <v>859</v>
      </c>
      <c r="F198" s="84" t="s">
        <v>457</v>
      </c>
      <c r="G198" s="100"/>
      <c r="H198" s="86"/>
      <c r="I198" s="86"/>
      <c r="J198" s="87"/>
    </row>
    <row r="199">
      <c r="A199" s="98" t="s">
        <v>37</v>
      </c>
      <c r="B199" s="108" t="s">
        <v>258</v>
      </c>
      <c r="C199" s="109" t="s">
        <v>531</v>
      </c>
      <c r="D199" s="104" t="s">
        <v>860</v>
      </c>
      <c r="E199" s="104" t="s">
        <v>859</v>
      </c>
      <c r="F199" s="92" t="s">
        <v>457</v>
      </c>
      <c r="G199" s="98"/>
      <c r="H199" s="94"/>
      <c r="I199" s="94"/>
      <c r="J199" s="87"/>
    </row>
    <row r="200">
      <c r="A200" s="100" t="s">
        <v>37</v>
      </c>
      <c r="B200" s="105" t="s">
        <v>258</v>
      </c>
      <c r="C200" s="106" t="s">
        <v>533</v>
      </c>
      <c r="D200" s="107" t="s">
        <v>861</v>
      </c>
      <c r="E200" s="107" t="s">
        <v>859</v>
      </c>
      <c r="F200" s="84" t="s">
        <v>457</v>
      </c>
      <c r="G200" s="100"/>
      <c r="H200" s="86"/>
      <c r="I200" s="86"/>
      <c r="J200" s="87"/>
    </row>
    <row r="201">
      <c r="A201" s="98" t="s">
        <v>37</v>
      </c>
      <c r="B201" s="108" t="s">
        <v>258</v>
      </c>
      <c r="C201" s="109" t="s">
        <v>535</v>
      </c>
      <c r="D201" s="104" t="s">
        <v>862</v>
      </c>
      <c r="E201" s="104" t="s">
        <v>863</v>
      </c>
      <c r="F201" s="92" t="s">
        <v>457</v>
      </c>
      <c r="G201" s="98"/>
      <c r="H201" s="94"/>
      <c r="I201" s="94"/>
      <c r="J201" s="87"/>
    </row>
    <row r="202">
      <c r="A202" s="101" t="s">
        <v>37</v>
      </c>
      <c r="B202" s="102" t="s">
        <v>258</v>
      </c>
      <c r="C202" s="103" t="s">
        <v>649</v>
      </c>
      <c r="D202" s="83" t="s">
        <v>864</v>
      </c>
      <c r="E202" s="83" t="s">
        <v>857</v>
      </c>
      <c r="F202" s="100"/>
      <c r="G202" s="100"/>
      <c r="H202" s="100"/>
      <c r="I202" s="100"/>
      <c r="J202" s="99"/>
    </row>
    <row r="203">
      <c r="A203" s="98" t="s">
        <v>37</v>
      </c>
      <c r="B203" s="108" t="s">
        <v>258</v>
      </c>
      <c r="C203" s="109" t="s">
        <v>652</v>
      </c>
      <c r="D203" s="104" t="s">
        <v>865</v>
      </c>
      <c r="E203" s="104" t="s">
        <v>866</v>
      </c>
      <c r="F203" s="94"/>
      <c r="G203" s="98"/>
      <c r="H203" s="94"/>
      <c r="I203" s="94"/>
      <c r="J203" s="87"/>
    </row>
    <row r="204">
      <c r="A204" s="100" t="s">
        <v>37</v>
      </c>
      <c r="B204" s="105" t="s">
        <v>258</v>
      </c>
      <c r="C204" s="106" t="s">
        <v>655</v>
      </c>
      <c r="D204" s="107" t="s">
        <v>867</v>
      </c>
      <c r="E204" s="107" t="s">
        <v>866</v>
      </c>
      <c r="F204" s="86"/>
      <c r="G204" s="100"/>
      <c r="H204" s="86"/>
      <c r="I204" s="86"/>
      <c r="J204" s="87"/>
    </row>
    <row r="205">
      <c r="A205" s="98" t="s">
        <v>37</v>
      </c>
      <c r="B205" s="108" t="s">
        <v>258</v>
      </c>
      <c r="C205" s="109" t="s">
        <v>658</v>
      </c>
      <c r="D205" s="104" t="s">
        <v>868</v>
      </c>
      <c r="E205" s="104" t="s">
        <v>869</v>
      </c>
      <c r="F205" s="94"/>
      <c r="G205" s="98"/>
      <c r="H205" s="94"/>
      <c r="I205" s="94"/>
      <c r="J205" s="87"/>
    </row>
    <row r="206">
      <c r="A206" s="100" t="s">
        <v>37</v>
      </c>
      <c r="B206" s="105" t="s">
        <v>258</v>
      </c>
      <c r="C206" s="106" t="s">
        <v>661</v>
      </c>
      <c r="D206" s="107" t="s">
        <v>870</v>
      </c>
      <c r="E206" s="107" t="s">
        <v>871</v>
      </c>
      <c r="F206" s="86"/>
      <c r="G206" s="100"/>
      <c r="H206" s="86"/>
      <c r="I206" s="86"/>
      <c r="J206" s="87"/>
    </row>
    <row r="207">
      <c r="A207" s="94" t="s">
        <v>37</v>
      </c>
      <c r="B207" s="110" t="s">
        <v>260</v>
      </c>
      <c r="C207" s="111" t="s">
        <v>740</v>
      </c>
      <c r="D207" s="104" t="s">
        <v>872</v>
      </c>
      <c r="E207" s="104" t="s">
        <v>873</v>
      </c>
      <c r="F207" s="94"/>
      <c r="G207" s="98"/>
      <c r="H207" s="94"/>
      <c r="I207" s="94"/>
      <c r="J207" s="87"/>
    </row>
    <row r="208">
      <c r="A208" s="86" t="s">
        <v>37</v>
      </c>
      <c r="B208" s="112" t="s">
        <v>260</v>
      </c>
      <c r="C208" s="113" t="s">
        <v>874</v>
      </c>
      <c r="D208" s="107" t="s">
        <v>875</v>
      </c>
      <c r="E208" s="107" t="s">
        <v>876</v>
      </c>
      <c r="F208" s="86"/>
      <c r="G208" s="100"/>
      <c r="H208" s="86"/>
      <c r="I208" s="86"/>
      <c r="J208" s="87"/>
    </row>
    <row r="209">
      <c r="A209" s="94" t="s">
        <v>37</v>
      </c>
      <c r="B209" s="110" t="s">
        <v>260</v>
      </c>
      <c r="C209" s="111" t="s">
        <v>877</v>
      </c>
      <c r="D209" s="104" t="s">
        <v>878</v>
      </c>
      <c r="E209" s="104" t="s">
        <v>654</v>
      </c>
      <c r="F209" s="94"/>
      <c r="G209" s="98"/>
      <c r="H209" s="94"/>
      <c r="I209" s="94"/>
      <c r="J209" s="87"/>
    </row>
    <row r="210">
      <c r="A210" s="86" t="s">
        <v>37</v>
      </c>
      <c r="B210" s="112" t="s">
        <v>260</v>
      </c>
      <c r="C210" s="113" t="s">
        <v>879</v>
      </c>
      <c r="D210" s="107" t="s">
        <v>880</v>
      </c>
      <c r="E210" s="107" t="s">
        <v>612</v>
      </c>
      <c r="F210" s="86"/>
      <c r="G210" s="100"/>
      <c r="H210" s="86"/>
      <c r="I210" s="86"/>
      <c r="J210" s="87"/>
    </row>
    <row r="211">
      <c r="A211" s="94" t="s">
        <v>37</v>
      </c>
      <c r="B211" s="110" t="s">
        <v>260</v>
      </c>
      <c r="C211" s="111" t="s">
        <v>881</v>
      </c>
      <c r="D211" s="104" t="s">
        <v>882</v>
      </c>
      <c r="E211" s="104" t="s">
        <v>883</v>
      </c>
      <c r="F211" s="94"/>
      <c r="G211" s="98"/>
      <c r="H211" s="94"/>
      <c r="I211" s="94"/>
      <c r="J211" s="87"/>
    </row>
    <row r="212">
      <c r="A212" s="80" t="s">
        <v>37</v>
      </c>
      <c r="B212" s="81" t="s">
        <v>260</v>
      </c>
      <c r="C212" s="82" t="s">
        <v>546</v>
      </c>
      <c r="D212" s="83" t="s">
        <v>653</v>
      </c>
      <c r="E212" s="83" t="s">
        <v>654</v>
      </c>
      <c r="F212" s="86"/>
      <c r="G212" s="100"/>
      <c r="H212" s="86"/>
      <c r="I212" s="86"/>
      <c r="J212" s="87"/>
    </row>
    <row r="213">
      <c r="A213" s="88" t="s">
        <v>37</v>
      </c>
      <c r="B213" s="89" t="s">
        <v>260</v>
      </c>
      <c r="C213" s="90" t="s">
        <v>549</v>
      </c>
      <c r="D213" s="91" t="s">
        <v>656</v>
      </c>
      <c r="E213" s="91" t="s">
        <v>884</v>
      </c>
      <c r="F213" s="94"/>
      <c r="G213" s="98"/>
      <c r="H213" s="94"/>
      <c r="I213" s="94"/>
      <c r="J213" s="87"/>
    </row>
    <row r="214">
      <c r="A214" s="80" t="s">
        <v>37</v>
      </c>
      <c r="B214" s="81" t="s">
        <v>260</v>
      </c>
      <c r="C214" s="82" t="s">
        <v>551</v>
      </c>
      <c r="D214" s="83" t="s">
        <v>885</v>
      </c>
      <c r="E214" s="83" t="s">
        <v>660</v>
      </c>
      <c r="F214" s="86"/>
      <c r="G214" s="100"/>
      <c r="H214" s="86"/>
      <c r="I214" s="86"/>
      <c r="J214" s="87"/>
    </row>
    <row r="215">
      <c r="A215" s="88" t="s">
        <v>37</v>
      </c>
      <c r="B215" s="89" t="s">
        <v>260</v>
      </c>
      <c r="C215" s="90" t="s">
        <v>553</v>
      </c>
      <c r="D215" s="91" t="s">
        <v>886</v>
      </c>
      <c r="E215" s="91" t="s">
        <v>887</v>
      </c>
      <c r="F215" s="94"/>
      <c r="G215" s="98"/>
      <c r="H215" s="94"/>
      <c r="I215" s="94"/>
      <c r="J215" s="87"/>
    </row>
    <row r="216">
      <c r="A216" s="80" t="s">
        <v>37</v>
      </c>
      <c r="B216" s="81" t="s">
        <v>260</v>
      </c>
      <c r="C216" s="82" t="s">
        <v>555</v>
      </c>
      <c r="D216" s="83" t="s">
        <v>888</v>
      </c>
      <c r="E216" s="83" t="s">
        <v>889</v>
      </c>
      <c r="F216" s="86"/>
      <c r="G216" s="100"/>
      <c r="H216" s="86"/>
      <c r="I216" s="86"/>
      <c r="J216" s="87"/>
    </row>
    <row r="217">
      <c r="A217" s="88" t="s">
        <v>37</v>
      </c>
      <c r="B217" s="89" t="s">
        <v>260</v>
      </c>
      <c r="C217" s="90" t="s">
        <v>557</v>
      </c>
      <c r="D217" s="91" t="s">
        <v>890</v>
      </c>
      <c r="E217" s="91" t="s">
        <v>889</v>
      </c>
      <c r="F217" s="94"/>
      <c r="G217" s="98"/>
      <c r="H217" s="94"/>
      <c r="I217" s="94"/>
      <c r="J217" s="87"/>
    </row>
    <row r="218">
      <c r="A218" s="80" t="s">
        <v>37</v>
      </c>
      <c r="B218" s="81" t="s">
        <v>260</v>
      </c>
      <c r="C218" s="82" t="s">
        <v>618</v>
      </c>
      <c r="D218" s="83" t="s">
        <v>609</v>
      </c>
      <c r="E218" s="83" t="s">
        <v>610</v>
      </c>
      <c r="F218" s="86"/>
      <c r="G218" s="100"/>
      <c r="H218" s="86"/>
      <c r="I218" s="86"/>
      <c r="J218" s="87"/>
    </row>
    <row r="219">
      <c r="A219" s="94" t="s">
        <v>37</v>
      </c>
      <c r="B219" s="110" t="s">
        <v>260</v>
      </c>
      <c r="C219" s="111" t="s">
        <v>561</v>
      </c>
      <c r="D219" s="104" t="s">
        <v>617</v>
      </c>
      <c r="E219" s="104" t="s">
        <v>610</v>
      </c>
      <c r="F219" s="94"/>
      <c r="G219" s="98"/>
      <c r="H219" s="94"/>
      <c r="I219" s="94"/>
      <c r="J219" s="87"/>
    </row>
    <row r="220">
      <c r="A220" s="86" t="s">
        <v>37</v>
      </c>
      <c r="B220" s="112" t="s">
        <v>260</v>
      </c>
      <c r="C220" s="113" t="s">
        <v>891</v>
      </c>
      <c r="D220" s="107" t="s">
        <v>892</v>
      </c>
      <c r="E220" s="107" t="s">
        <v>612</v>
      </c>
      <c r="F220" s="86"/>
      <c r="G220" s="100"/>
      <c r="H220" s="86"/>
      <c r="I220" s="86"/>
      <c r="J220" s="87"/>
    </row>
    <row r="221">
      <c r="A221" s="94" t="s">
        <v>37</v>
      </c>
      <c r="B221" s="110" t="s">
        <v>260</v>
      </c>
      <c r="C221" s="111" t="s">
        <v>563</v>
      </c>
      <c r="D221" s="104" t="s">
        <v>893</v>
      </c>
      <c r="E221" s="104" t="s">
        <v>612</v>
      </c>
      <c r="F221" s="94"/>
      <c r="G221" s="98"/>
      <c r="H221" s="94"/>
      <c r="I221" s="94"/>
      <c r="J221" s="87"/>
    </row>
    <row r="222">
      <c r="A222" s="86" t="s">
        <v>37</v>
      </c>
      <c r="B222" s="112" t="s">
        <v>260</v>
      </c>
      <c r="C222" s="113" t="s">
        <v>622</v>
      </c>
      <c r="D222" s="107" t="s">
        <v>894</v>
      </c>
      <c r="E222" s="107" t="s">
        <v>895</v>
      </c>
      <c r="F222" s="86"/>
      <c r="G222" s="100"/>
      <c r="H222" s="86"/>
      <c r="I222" s="86"/>
      <c r="J222" s="87"/>
    </row>
    <row r="223">
      <c r="A223" s="94" t="s">
        <v>37</v>
      </c>
      <c r="B223" s="110" t="s">
        <v>260</v>
      </c>
      <c r="C223" s="111" t="s">
        <v>625</v>
      </c>
      <c r="D223" s="104" t="s">
        <v>896</v>
      </c>
      <c r="E223" s="104" t="s">
        <v>630</v>
      </c>
      <c r="F223" s="94"/>
      <c r="G223" s="98"/>
      <c r="H223" s="94"/>
      <c r="I223" s="94"/>
      <c r="J223" s="87"/>
    </row>
    <row r="224">
      <c r="A224" s="86" t="s">
        <v>37</v>
      </c>
      <c r="B224" s="112" t="s">
        <v>260</v>
      </c>
      <c r="C224" s="113" t="s">
        <v>628</v>
      </c>
      <c r="D224" s="107" t="s">
        <v>897</v>
      </c>
      <c r="E224" s="107" t="s">
        <v>898</v>
      </c>
      <c r="F224" s="86"/>
      <c r="G224" s="100"/>
      <c r="H224" s="86"/>
      <c r="I224" s="86"/>
      <c r="J224" s="87"/>
    </row>
    <row r="225">
      <c r="A225" s="94" t="s">
        <v>37</v>
      </c>
      <c r="B225" s="110" t="s">
        <v>260</v>
      </c>
      <c r="C225" s="111" t="s">
        <v>631</v>
      </c>
      <c r="D225" s="104" t="s">
        <v>899</v>
      </c>
      <c r="E225" s="104" t="s">
        <v>900</v>
      </c>
      <c r="F225" s="94"/>
      <c r="G225" s="98"/>
      <c r="H225" s="94"/>
      <c r="I225" s="94"/>
      <c r="J225" s="87"/>
    </row>
    <row r="226">
      <c r="A226" s="86" t="s">
        <v>37</v>
      </c>
      <c r="B226" s="112" t="s">
        <v>263</v>
      </c>
      <c r="C226" s="113" t="s">
        <v>740</v>
      </c>
      <c r="D226" s="107" t="s">
        <v>901</v>
      </c>
      <c r="E226" s="107" t="s">
        <v>902</v>
      </c>
      <c r="F226" s="86"/>
      <c r="G226" s="100"/>
      <c r="H226" s="86"/>
      <c r="I226" s="86"/>
      <c r="J226" s="87"/>
    </row>
    <row r="227">
      <c r="A227" s="94" t="s">
        <v>37</v>
      </c>
      <c r="B227" s="110" t="s">
        <v>263</v>
      </c>
      <c r="C227" s="111" t="s">
        <v>743</v>
      </c>
      <c r="D227" s="104" t="s">
        <v>903</v>
      </c>
      <c r="E227" s="104" t="s">
        <v>904</v>
      </c>
      <c r="F227" s="94"/>
      <c r="G227" s="98"/>
      <c r="H227" s="94"/>
      <c r="I227" s="94"/>
      <c r="J227" s="87"/>
    </row>
    <row r="228">
      <c r="A228" s="86" t="s">
        <v>37</v>
      </c>
      <c r="B228" s="112" t="s">
        <v>263</v>
      </c>
      <c r="C228" s="113" t="s">
        <v>746</v>
      </c>
      <c r="D228" s="107" t="s">
        <v>905</v>
      </c>
      <c r="E228" s="107" t="s">
        <v>904</v>
      </c>
      <c r="F228" s="86"/>
      <c r="G228" s="100"/>
      <c r="H228" s="86"/>
      <c r="I228" s="86"/>
      <c r="J228" s="87"/>
    </row>
    <row r="229">
      <c r="A229" s="94" t="s">
        <v>37</v>
      </c>
      <c r="B229" s="110" t="s">
        <v>263</v>
      </c>
      <c r="C229" s="111" t="s">
        <v>874</v>
      </c>
      <c r="D229" s="104" t="s">
        <v>906</v>
      </c>
      <c r="E229" s="104" t="s">
        <v>907</v>
      </c>
      <c r="F229" s="94"/>
      <c r="G229" s="98"/>
      <c r="H229" s="94"/>
      <c r="I229" s="94"/>
      <c r="J229" s="87"/>
    </row>
    <row r="230">
      <c r="A230" s="86" t="s">
        <v>37</v>
      </c>
      <c r="B230" s="112" t="s">
        <v>263</v>
      </c>
      <c r="C230" s="113" t="s">
        <v>877</v>
      </c>
      <c r="D230" s="107" t="s">
        <v>908</v>
      </c>
      <c r="E230" s="107" t="s">
        <v>909</v>
      </c>
      <c r="F230" s="86"/>
      <c r="G230" s="100"/>
      <c r="H230" s="86"/>
      <c r="I230" s="86"/>
      <c r="J230" s="87"/>
    </row>
    <row r="231">
      <c r="A231" s="94" t="s">
        <v>37</v>
      </c>
      <c r="B231" s="110" t="s">
        <v>263</v>
      </c>
      <c r="C231" s="111" t="s">
        <v>879</v>
      </c>
      <c r="D231" s="104" t="s">
        <v>910</v>
      </c>
      <c r="E231" s="104" t="s">
        <v>911</v>
      </c>
      <c r="F231" s="94"/>
      <c r="G231" s="98"/>
      <c r="H231" s="94"/>
      <c r="I231" s="94"/>
      <c r="J231" s="87"/>
    </row>
    <row r="232">
      <c r="A232" s="86" t="s">
        <v>37</v>
      </c>
      <c r="B232" s="112" t="s">
        <v>263</v>
      </c>
      <c r="C232" s="113" t="s">
        <v>881</v>
      </c>
      <c r="D232" s="107" t="s">
        <v>912</v>
      </c>
      <c r="E232" s="107" t="s">
        <v>913</v>
      </c>
      <c r="F232" s="86"/>
      <c r="G232" s="100"/>
      <c r="H232" s="86"/>
      <c r="I232" s="86"/>
      <c r="J232" s="87"/>
    </row>
    <row r="233">
      <c r="A233" s="94" t="s">
        <v>37</v>
      </c>
      <c r="B233" s="110" t="s">
        <v>263</v>
      </c>
      <c r="C233" s="111" t="s">
        <v>542</v>
      </c>
      <c r="D233" s="104" t="s">
        <v>914</v>
      </c>
      <c r="E233" s="104" t="s">
        <v>915</v>
      </c>
      <c r="F233" s="94"/>
      <c r="G233" s="98"/>
      <c r="H233" s="94"/>
      <c r="I233" s="94"/>
      <c r="J233" s="87"/>
    </row>
    <row r="234">
      <c r="A234" s="86" t="s">
        <v>37</v>
      </c>
      <c r="B234" s="112" t="s">
        <v>263</v>
      </c>
      <c r="C234" s="113" t="s">
        <v>916</v>
      </c>
      <c r="D234" s="107" t="s">
        <v>917</v>
      </c>
      <c r="E234" s="107" t="s">
        <v>918</v>
      </c>
      <c r="F234" s="86"/>
      <c r="G234" s="100"/>
      <c r="H234" s="86"/>
      <c r="I234" s="86"/>
      <c r="J234" s="87"/>
    </row>
    <row r="235">
      <c r="A235" s="94" t="s">
        <v>37</v>
      </c>
      <c r="B235" s="110" t="s">
        <v>263</v>
      </c>
      <c r="C235" s="111" t="s">
        <v>919</v>
      </c>
      <c r="D235" s="104" t="s">
        <v>920</v>
      </c>
      <c r="E235" s="104" t="s">
        <v>921</v>
      </c>
      <c r="F235" s="94"/>
      <c r="G235" s="98"/>
      <c r="H235" s="94"/>
      <c r="I235" s="94"/>
      <c r="J235" s="87"/>
    </row>
    <row r="236">
      <c r="A236" s="86" t="s">
        <v>37</v>
      </c>
      <c r="B236" s="112" t="s">
        <v>263</v>
      </c>
      <c r="C236" s="113" t="s">
        <v>922</v>
      </c>
      <c r="D236" s="107" t="s">
        <v>923</v>
      </c>
      <c r="E236" s="107" t="s">
        <v>924</v>
      </c>
      <c r="F236" s="86"/>
      <c r="G236" s="100"/>
      <c r="H236" s="86"/>
      <c r="I236" s="86"/>
      <c r="J236" s="87"/>
    </row>
    <row r="237">
      <c r="A237" s="94" t="s">
        <v>37</v>
      </c>
      <c r="B237" s="110" t="s">
        <v>263</v>
      </c>
      <c r="C237" s="111" t="s">
        <v>925</v>
      </c>
      <c r="D237" s="104" t="s">
        <v>926</v>
      </c>
      <c r="E237" s="104" t="s">
        <v>927</v>
      </c>
      <c r="F237" s="94"/>
      <c r="G237" s="98"/>
      <c r="H237" s="94"/>
      <c r="I237" s="94"/>
      <c r="J237" s="87"/>
    </row>
    <row r="238">
      <c r="A238" s="86" t="s">
        <v>37</v>
      </c>
      <c r="B238" s="112" t="s">
        <v>263</v>
      </c>
      <c r="C238" s="113" t="s">
        <v>928</v>
      </c>
      <c r="D238" s="107" t="s">
        <v>929</v>
      </c>
      <c r="E238" s="107" t="s">
        <v>930</v>
      </c>
      <c r="F238" s="86"/>
      <c r="G238" s="100"/>
      <c r="H238" s="86"/>
      <c r="I238" s="86"/>
      <c r="J238" s="87"/>
    </row>
    <row r="239">
      <c r="A239" s="94" t="s">
        <v>37</v>
      </c>
      <c r="B239" s="110" t="s">
        <v>263</v>
      </c>
      <c r="C239" s="111" t="s">
        <v>931</v>
      </c>
      <c r="D239" s="104" t="s">
        <v>932</v>
      </c>
      <c r="E239" s="104" t="s">
        <v>933</v>
      </c>
      <c r="F239" s="94"/>
      <c r="G239" s="98"/>
      <c r="H239" s="94"/>
      <c r="I239" s="94"/>
      <c r="J239" s="87"/>
    </row>
    <row r="240">
      <c r="A240" s="86" t="s">
        <v>37</v>
      </c>
      <c r="B240" s="112" t="s">
        <v>263</v>
      </c>
      <c r="C240" s="113" t="s">
        <v>546</v>
      </c>
      <c r="D240" s="107" t="s">
        <v>934</v>
      </c>
      <c r="E240" s="107" t="s">
        <v>935</v>
      </c>
      <c r="F240" s="86"/>
      <c r="G240" s="100"/>
      <c r="H240" s="86"/>
      <c r="I240" s="86"/>
      <c r="J240" s="87"/>
    </row>
    <row r="241">
      <c r="A241" s="94" t="s">
        <v>37</v>
      </c>
      <c r="B241" s="110" t="s">
        <v>263</v>
      </c>
      <c r="C241" s="111" t="s">
        <v>549</v>
      </c>
      <c r="D241" s="104" t="s">
        <v>936</v>
      </c>
      <c r="E241" s="104" t="s">
        <v>937</v>
      </c>
      <c r="F241" s="94"/>
      <c r="G241" s="98"/>
      <c r="H241" s="94"/>
      <c r="I241" s="94"/>
      <c r="J241" s="87"/>
    </row>
    <row r="242">
      <c r="A242" s="86" t="s">
        <v>37</v>
      </c>
      <c r="B242" s="112" t="s">
        <v>263</v>
      </c>
      <c r="C242" s="113" t="s">
        <v>551</v>
      </c>
      <c r="D242" s="107" t="s">
        <v>938</v>
      </c>
      <c r="E242" s="107" t="s">
        <v>939</v>
      </c>
      <c r="F242" s="86"/>
      <c r="G242" s="100"/>
      <c r="H242" s="86"/>
      <c r="I242" s="86"/>
      <c r="J242" s="87"/>
    </row>
    <row r="243">
      <c r="A243" s="94" t="s">
        <v>37</v>
      </c>
      <c r="B243" s="110" t="s">
        <v>263</v>
      </c>
      <c r="C243" s="111" t="s">
        <v>553</v>
      </c>
      <c r="D243" s="104" t="s">
        <v>940</v>
      </c>
      <c r="E243" s="104" t="s">
        <v>941</v>
      </c>
      <c r="F243" s="94"/>
      <c r="G243" s="98"/>
      <c r="H243" s="94"/>
      <c r="I243" s="94"/>
      <c r="J243" s="87"/>
    </row>
    <row r="244">
      <c r="A244" s="86" t="s">
        <v>37</v>
      </c>
      <c r="B244" s="112" t="s">
        <v>263</v>
      </c>
      <c r="C244" s="113" t="s">
        <v>555</v>
      </c>
      <c r="D244" s="107" t="s">
        <v>942</v>
      </c>
      <c r="E244" s="107" t="s">
        <v>943</v>
      </c>
      <c r="F244" s="86"/>
      <c r="G244" s="100"/>
      <c r="H244" s="86"/>
      <c r="I244" s="86"/>
      <c r="J244" s="87"/>
    </row>
    <row r="245">
      <c r="A245" s="94" t="s">
        <v>37</v>
      </c>
      <c r="B245" s="110" t="s">
        <v>263</v>
      </c>
      <c r="C245" s="111" t="s">
        <v>557</v>
      </c>
      <c r="D245" s="104" t="s">
        <v>944</v>
      </c>
      <c r="E245" s="104" t="s">
        <v>945</v>
      </c>
      <c r="F245" s="94"/>
      <c r="G245" s="98"/>
      <c r="H245" s="94"/>
      <c r="I245" s="94"/>
      <c r="J245" s="87"/>
    </row>
    <row r="246">
      <c r="A246" s="86" t="s">
        <v>37</v>
      </c>
      <c r="B246" s="112" t="s">
        <v>263</v>
      </c>
      <c r="C246" s="113" t="s">
        <v>618</v>
      </c>
      <c r="D246" s="107" t="s">
        <v>946</v>
      </c>
      <c r="E246" s="107" t="s">
        <v>947</v>
      </c>
      <c r="F246" s="86"/>
      <c r="G246" s="100"/>
      <c r="H246" s="86"/>
      <c r="I246" s="86"/>
      <c r="J246" s="87"/>
    </row>
    <row r="247">
      <c r="A247" s="94" t="s">
        <v>37</v>
      </c>
      <c r="B247" s="110" t="s">
        <v>263</v>
      </c>
      <c r="C247" s="111" t="s">
        <v>561</v>
      </c>
      <c r="D247" s="104" t="s">
        <v>948</v>
      </c>
      <c r="E247" s="104" t="s">
        <v>947</v>
      </c>
      <c r="F247" s="94"/>
      <c r="G247" s="98"/>
      <c r="H247" s="94"/>
      <c r="I247" s="94"/>
      <c r="J247" s="87"/>
    </row>
    <row r="248">
      <c r="A248" s="86" t="s">
        <v>37</v>
      </c>
      <c r="B248" s="112" t="s">
        <v>263</v>
      </c>
      <c r="C248" s="113" t="s">
        <v>891</v>
      </c>
      <c r="D248" s="107" t="s">
        <v>949</v>
      </c>
      <c r="E248" s="107" t="s">
        <v>950</v>
      </c>
      <c r="F248" s="86"/>
      <c r="G248" s="100"/>
      <c r="H248" s="86"/>
      <c r="I248" s="86"/>
      <c r="J248" s="87"/>
    </row>
    <row r="249">
      <c r="A249" s="94" t="s">
        <v>37</v>
      </c>
      <c r="B249" s="110" t="s">
        <v>263</v>
      </c>
      <c r="C249" s="111" t="s">
        <v>563</v>
      </c>
      <c r="D249" s="104" t="s">
        <v>951</v>
      </c>
      <c r="E249" s="104" t="s">
        <v>950</v>
      </c>
      <c r="F249" s="94"/>
      <c r="G249" s="98"/>
      <c r="H249" s="94"/>
      <c r="I249" s="94"/>
      <c r="J249" s="87"/>
    </row>
    <row r="250">
      <c r="A250" s="86" t="s">
        <v>37</v>
      </c>
      <c r="B250" s="112" t="s">
        <v>263</v>
      </c>
      <c r="C250" s="113" t="s">
        <v>565</v>
      </c>
      <c r="D250" s="107" t="s">
        <v>952</v>
      </c>
      <c r="E250" s="107" t="s">
        <v>953</v>
      </c>
      <c r="F250" s="86"/>
      <c r="G250" s="100"/>
      <c r="H250" s="86"/>
      <c r="I250" s="86"/>
      <c r="J250" s="87"/>
    </row>
    <row r="251">
      <c r="A251" s="94" t="s">
        <v>37</v>
      </c>
      <c r="B251" s="110" t="s">
        <v>263</v>
      </c>
      <c r="C251" s="111" t="s">
        <v>567</v>
      </c>
      <c r="D251" s="104" t="s">
        <v>954</v>
      </c>
      <c r="E251" s="104" t="s">
        <v>955</v>
      </c>
      <c r="F251" s="94"/>
      <c r="G251" s="98"/>
      <c r="H251" s="94"/>
      <c r="I251" s="94"/>
      <c r="J251" s="87"/>
    </row>
    <row r="252">
      <c r="A252" s="86" t="s">
        <v>37</v>
      </c>
      <c r="B252" s="112" t="s">
        <v>263</v>
      </c>
      <c r="C252" s="113" t="s">
        <v>569</v>
      </c>
      <c r="D252" s="107" t="s">
        <v>956</v>
      </c>
      <c r="E252" s="107" t="s">
        <v>957</v>
      </c>
      <c r="F252" s="86"/>
      <c r="G252" s="100"/>
      <c r="H252" s="86"/>
      <c r="I252" s="86"/>
      <c r="J252" s="87"/>
    </row>
    <row r="253">
      <c r="A253" s="94" t="s">
        <v>37</v>
      </c>
      <c r="B253" s="110" t="s">
        <v>263</v>
      </c>
      <c r="C253" s="111" t="s">
        <v>571</v>
      </c>
      <c r="D253" s="104" t="s">
        <v>958</v>
      </c>
      <c r="E253" s="104" t="s">
        <v>959</v>
      </c>
      <c r="F253" s="94"/>
      <c r="G253" s="98"/>
      <c r="H253" s="94"/>
      <c r="I253" s="94"/>
      <c r="J253" s="87"/>
    </row>
    <row r="254">
      <c r="A254" s="86" t="s">
        <v>37</v>
      </c>
      <c r="B254" s="112" t="s">
        <v>263</v>
      </c>
      <c r="C254" s="113" t="s">
        <v>573</v>
      </c>
      <c r="D254" s="107" t="s">
        <v>960</v>
      </c>
      <c r="E254" s="107" t="s">
        <v>961</v>
      </c>
      <c r="F254" s="86"/>
      <c r="G254" s="100"/>
      <c r="H254" s="86"/>
      <c r="I254" s="86"/>
      <c r="J254" s="87"/>
    </row>
    <row r="255">
      <c r="A255" s="94" t="s">
        <v>37</v>
      </c>
      <c r="B255" s="110" t="s">
        <v>263</v>
      </c>
      <c r="C255" s="111" t="s">
        <v>962</v>
      </c>
      <c r="D255" s="104" t="s">
        <v>963</v>
      </c>
      <c r="E255" s="104" t="s">
        <v>961</v>
      </c>
      <c r="F255" s="94"/>
      <c r="G255" s="98"/>
      <c r="H255" s="94"/>
      <c r="I255" s="94"/>
      <c r="J255" s="87"/>
    </row>
    <row r="256">
      <c r="A256" s="86" t="s">
        <v>37</v>
      </c>
      <c r="B256" s="112" t="s">
        <v>263</v>
      </c>
      <c r="C256" s="113" t="s">
        <v>622</v>
      </c>
      <c r="D256" s="107" t="s">
        <v>964</v>
      </c>
      <c r="E256" s="107" t="s">
        <v>961</v>
      </c>
      <c r="F256" s="86"/>
      <c r="G256" s="100"/>
      <c r="H256" s="86"/>
      <c r="I256" s="86"/>
      <c r="J256" s="87"/>
    </row>
    <row r="257">
      <c r="A257" s="94" t="s">
        <v>37</v>
      </c>
      <c r="B257" s="110" t="s">
        <v>263</v>
      </c>
      <c r="C257" s="111" t="s">
        <v>625</v>
      </c>
      <c r="D257" s="104" t="s">
        <v>965</v>
      </c>
      <c r="E257" s="104" t="s">
        <v>961</v>
      </c>
      <c r="F257" s="94"/>
      <c r="G257" s="98"/>
      <c r="H257" s="94"/>
      <c r="I257" s="94"/>
      <c r="J257" s="87"/>
    </row>
    <row r="258">
      <c r="A258" s="86" t="s">
        <v>37</v>
      </c>
      <c r="B258" s="112" t="s">
        <v>263</v>
      </c>
      <c r="C258" s="113" t="s">
        <v>628</v>
      </c>
      <c r="D258" s="107" t="s">
        <v>966</v>
      </c>
      <c r="E258" s="107" t="s">
        <v>961</v>
      </c>
      <c r="F258" s="86"/>
      <c r="G258" s="100"/>
      <c r="H258" s="86"/>
      <c r="I258" s="86"/>
      <c r="J258" s="87"/>
    </row>
    <row r="259">
      <c r="A259" s="94" t="s">
        <v>37</v>
      </c>
      <c r="B259" s="110" t="s">
        <v>263</v>
      </c>
      <c r="C259" s="111" t="s">
        <v>631</v>
      </c>
      <c r="D259" s="104" t="s">
        <v>967</v>
      </c>
      <c r="E259" s="104" t="s">
        <v>968</v>
      </c>
      <c r="F259" s="94"/>
      <c r="G259" s="98"/>
      <c r="H259" s="94"/>
      <c r="I259" s="94"/>
      <c r="J259" s="87"/>
    </row>
    <row r="260">
      <c r="A260" s="101" t="s">
        <v>37</v>
      </c>
      <c r="B260" s="102" t="s">
        <v>271</v>
      </c>
      <c r="C260" s="103" t="s">
        <v>575</v>
      </c>
      <c r="D260" s="83" t="s">
        <v>576</v>
      </c>
      <c r="E260" s="83" t="s">
        <v>577</v>
      </c>
      <c r="F260" s="100"/>
      <c r="G260" s="100"/>
      <c r="H260" s="100"/>
      <c r="I260" s="100"/>
      <c r="J260" s="99"/>
    </row>
    <row r="261">
      <c r="A261" s="95" t="s">
        <v>37</v>
      </c>
      <c r="B261" s="96" t="s">
        <v>271</v>
      </c>
      <c r="C261" s="97" t="s">
        <v>579</v>
      </c>
      <c r="D261" s="91" t="s">
        <v>580</v>
      </c>
      <c r="E261" s="91" t="s">
        <v>581</v>
      </c>
      <c r="F261" s="98"/>
      <c r="G261" s="98"/>
      <c r="H261" s="98"/>
      <c r="I261" s="98"/>
      <c r="J261" s="99"/>
    </row>
    <row r="262">
      <c r="A262" s="101" t="s">
        <v>37</v>
      </c>
      <c r="B262" s="102" t="s">
        <v>271</v>
      </c>
      <c r="C262" s="103" t="s">
        <v>583</v>
      </c>
      <c r="D262" s="83" t="s">
        <v>584</v>
      </c>
      <c r="E262" s="83" t="s">
        <v>585</v>
      </c>
      <c r="F262" s="100"/>
      <c r="G262" s="100"/>
      <c r="H262" s="100"/>
      <c r="I262" s="100"/>
      <c r="J262" s="99"/>
    </row>
    <row r="263">
      <c r="A263" s="95" t="s">
        <v>37</v>
      </c>
      <c r="B263" s="96" t="s">
        <v>271</v>
      </c>
      <c r="C263" s="97" t="s">
        <v>586</v>
      </c>
      <c r="D263" s="91" t="s">
        <v>587</v>
      </c>
      <c r="E263" s="91" t="s">
        <v>588</v>
      </c>
      <c r="F263" s="98"/>
      <c r="G263" s="98"/>
      <c r="H263" s="98"/>
      <c r="I263" s="98"/>
      <c r="J263" s="99"/>
    </row>
    <row r="264">
      <c r="A264" s="101" t="s">
        <v>37</v>
      </c>
      <c r="B264" s="102" t="s">
        <v>271</v>
      </c>
      <c r="C264" s="103" t="s">
        <v>589</v>
      </c>
      <c r="D264" s="83" t="s">
        <v>590</v>
      </c>
      <c r="E264" s="83" t="s">
        <v>591</v>
      </c>
      <c r="F264" s="100"/>
      <c r="G264" s="100"/>
      <c r="H264" s="100"/>
      <c r="I264" s="100"/>
      <c r="J264" s="99"/>
    </row>
    <row r="265">
      <c r="A265" s="95" t="s">
        <v>37</v>
      </c>
      <c r="B265" s="96" t="s">
        <v>271</v>
      </c>
      <c r="C265" s="97" t="s">
        <v>592</v>
      </c>
      <c r="D265" s="91" t="s">
        <v>593</v>
      </c>
      <c r="E265" s="91" t="s">
        <v>594</v>
      </c>
      <c r="F265" s="98"/>
      <c r="G265" s="98"/>
      <c r="H265" s="98"/>
      <c r="I265" s="98"/>
      <c r="J265" s="99"/>
    </row>
    <row r="266">
      <c r="A266" s="101" t="s">
        <v>37</v>
      </c>
      <c r="B266" s="102" t="s">
        <v>271</v>
      </c>
      <c r="C266" s="103" t="s">
        <v>595</v>
      </c>
      <c r="D266" s="83" t="s">
        <v>596</v>
      </c>
      <c r="E266" s="83" t="s">
        <v>597</v>
      </c>
      <c r="F266" s="100"/>
      <c r="G266" s="100"/>
      <c r="H266" s="100"/>
      <c r="I266" s="100"/>
      <c r="J266" s="99"/>
    </row>
    <row r="267">
      <c r="A267" s="95" t="s">
        <v>37</v>
      </c>
      <c r="B267" s="96" t="s">
        <v>271</v>
      </c>
      <c r="C267" s="97" t="s">
        <v>598</v>
      </c>
      <c r="D267" s="91" t="s">
        <v>599</v>
      </c>
      <c r="E267" s="91" t="s">
        <v>600</v>
      </c>
      <c r="F267" s="98"/>
      <c r="G267" s="98"/>
      <c r="H267" s="98"/>
      <c r="I267" s="98"/>
      <c r="J267" s="99"/>
    </row>
    <row r="268">
      <c r="A268" s="101" t="s">
        <v>37</v>
      </c>
      <c r="B268" s="102" t="s">
        <v>271</v>
      </c>
      <c r="C268" s="103" t="s">
        <v>601</v>
      </c>
      <c r="D268" s="83" t="s">
        <v>602</v>
      </c>
      <c r="E268" s="83" t="s">
        <v>603</v>
      </c>
      <c r="F268" s="100"/>
      <c r="G268" s="100"/>
      <c r="H268" s="100"/>
      <c r="I268" s="100"/>
      <c r="J268" s="99"/>
    </row>
    <row r="269">
      <c r="A269" s="88" t="s">
        <v>37</v>
      </c>
      <c r="B269" s="89" t="s">
        <v>271</v>
      </c>
      <c r="C269" s="90" t="s">
        <v>604</v>
      </c>
      <c r="D269" s="91" t="s">
        <v>605</v>
      </c>
      <c r="E269" s="91" t="s">
        <v>606</v>
      </c>
      <c r="F269" s="94"/>
      <c r="G269" s="98"/>
      <c r="H269" s="94"/>
      <c r="I269" s="94"/>
      <c r="J269" s="87"/>
    </row>
    <row r="270">
      <c r="A270" s="101" t="s">
        <v>37</v>
      </c>
      <c r="B270" s="102" t="s">
        <v>271</v>
      </c>
      <c r="C270" s="103" t="s">
        <v>546</v>
      </c>
      <c r="D270" s="83" t="s">
        <v>607</v>
      </c>
      <c r="E270" s="83" t="s">
        <v>608</v>
      </c>
      <c r="F270" s="100"/>
      <c r="G270" s="100"/>
      <c r="H270" s="100"/>
      <c r="I270" s="100"/>
      <c r="J270" s="99"/>
    </row>
    <row r="271">
      <c r="A271" s="88" t="s">
        <v>37</v>
      </c>
      <c r="B271" s="89" t="s">
        <v>271</v>
      </c>
      <c r="C271" s="90" t="s">
        <v>549</v>
      </c>
      <c r="D271" s="91" t="s">
        <v>609</v>
      </c>
      <c r="E271" s="91" t="s">
        <v>610</v>
      </c>
      <c r="F271" s="94"/>
      <c r="G271" s="98"/>
      <c r="H271" s="94"/>
      <c r="I271" s="94"/>
      <c r="J271" s="87"/>
    </row>
    <row r="272">
      <c r="A272" s="80" t="s">
        <v>37</v>
      </c>
      <c r="B272" s="81" t="s">
        <v>271</v>
      </c>
      <c r="C272" s="82" t="s">
        <v>551</v>
      </c>
      <c r="D272" s="83" t="s">
        <v>611</v>
      </c>
      <c r="E272" s="83" t="s">
        <v>612</v>
      </c>
      <c r="F272" s="86"/>
      <c r="G272" s="100"/>
      <c r="H272" s="86"/>
      <c r="I272" s="86"/>
      <c r="J272" s="87"/>
    </row>
    <row r="273">
      <c r="A273" s="88" t="s">
        <v>37</v>
      </c>
      <c r="B273" s="89" t="s">
        <v>271</v>
      </c>
      <c r="C273" s="90" t="s">
        <v>553</v>
      </c>
      <c r="D273" s="91" t="s">
        <v>613</v>
      </c>
      <c r="E273" s="91" t="s">
        <v>614</v>
      </c>
      <c r="F273" s="94"/>
      <c r="G273" s="98"/>
      <c r="H273" s="94"/>
      <c r="I273" s="94"/>
      <c r="J273" s="87"/>
    </row>
    <row r="274">
      <c r="A274" s="80" t="s">
        <v>37</v>
      </c>
      <c r="B274" s="81" t="s">
        <v>271</v>
      </c>
      <c r="C274" s="82" t="s">
        <v>555</v>
      </c>
      <c r="D274" s="83" t="s">
        <v>615</v>
      </c>
      <c r="E274" s="83" t="s">
        <v>616</v>
      </c>
      <c r="F274" s="86"/>
      <c r="G274" s="100"/>
      <c r="H274" s="86"/>
      <c r="I274" s="86"/>
      <c r="J274" s="87"/>
    </row>
    <row r="275">
      <c r="A275" s="88" t="s">
        <v>37</v>
      </c>
      <c r="B275" s="89" t="s">
        <v>271</v>
      </c>
      <c r="C275" s="90" t="s">
        <v>557</v>
      </c>
      <c r="D275" s="91" t="s">
        <v>617</v>
      </c>
      <c r="E275" s="91" t="s">
        <v>610</v>
      </c>
      <c r="F275" s="94"/>
      <c r="G275" s="98"/>
      <c r="H275" s="94"/>
      <c r="I275" s="94"/>
      <c r="J275" s="87"/>
    </row>
    <row r="276">
      <c r="A276" s="80" t="s">
        <v>37</v>
      </c>
      <c r="B276" s="81" t="s">
        <v>271</v>
      </c>
      <c r="C276" s="82" t="s">
        <v>618</v>
      </c>
      <c r="D276" s="83" t="s">
        <v>619</v>
      </c>
      <c r="E276" s="83" t="s">
        <v>612</v>
      </c>
      <c r="F276" s="86"/>
      <c r="G276" s="100"/>
      <c r="H276" s="86"/>
      <c r="I276" s="86"/>
      <c r="J276" s="87"/>
    </row>
    <row r="277">
      <c r="A277" s="88" t="s">
        <v>37</v>
      </c>
      <c r="B277" s="89" t="s">
        <v>271</v>
      </c>
      <c r="C277" s="90" t="s">
        <v>561</v>
      </c>
      <c r="D277" s="91" t="s">
        <v>620</v>
      </c>
      <c r="E277" s="91" t="s">
        <v>621</v>
      </c>
      <c r="F277" s="94"/>
      <c r="G277" s="98"/>
      <c r="H277" s="94"/>
      <c r="I277" s="94"/>
      <c r="J277" s="87"/>
    </row>
    <row r="278">
      <c r="A278" s="80" t="s">
        <v>37</v>
      </c>
      <c r="B278" s="81" t="s">
        <v>271</v>
      </c>
      <c r="C278" s="82" t="s">
        <v>622</v>
      </c>
      <c r="D278" s="83" t="s">
        <v>623</v>
      </c>
      <c r="E278" s="83" t="s">
        <v>624</v>
      </c>
      <c r="F278" s="86"/>
      <c r="G278" s="100"/>
      <c r="H278" s="86"/>
      <c r="I278" s="86"/>
      <c r="J278" s="87"/>
    </row>
    <row r="279">
      <c r="A279" s="95" t="s">
        <v>37</v>
      </c>
      <c r="B279" s="96" t="s">
        <v>271</v>
      </c>
      <c r="C279" s="97" t="s">
        <v>625</v>
      </c>
      <c r="D279" s="91" t="s">
        <v>626</v>
      </c>
      <c r="E279" s="91" t="s">
        <v>627</v>
      </c>
      <c r="F279" s="98"/>
      <c r="G279" s="98"/>
      <c r="H279" s="98"/>
      <c r="I279" s="98"/>
      <c r="J279" s="99"/>
    </row>
    <row r="280">
      <c r="A280" s="101" t="s">
        <v>37</v>
      </c>
      <c r="B280" s="102" t="s">
        <v>271</v>
      </c>
      <c r="C280" s="103" t="s">
        <v>628</v>
      </c>
      <c r="D280" s="83" t="s">
        <v>629</v>
      </c>
      <c r="E280" s="83" t="s">
        <v>630</v>
      </c>
      <c r="F280" s="100"/>
      <c r="G280" s="100"/>
      <c r="H280" s="100"/>
      <c r="I280" s="100"/>
      <c r="J280" s="99"/>
    </row>
    <row r="281">
      <c r="A281" s="95" t="s">
        <v>37</v>
      </c>
      <c r="B281" s="96" t="s">
        <v>271</v>
      </c>
      <c r="C281" s="97" t="s">
        <v>631</v>
      </c>
      <c r="D281" s="91" t="s">
        <v>632</v>
      </c>
      <c r="E281" s="91" t="s">
        <v>633</v>
      </c>
      <c r="F281" s="98"/>
      <c r="G281" s="98"/>
      <c r="H281" s="98"/>
      <c r="I281" s="98"/>
      <c r="J281" s="99"/>
    </row>
    <row r="282">
      <c r="A282" s="80" t="s">
        <v>37</v>
      </c>
      <c r="B282" s="81" t="s">
        <v>271</v>
      </c>
      <c r="C282" s="82" t="s">
        <v>634</v>
      </c>
      <c r="D282" s="83" t="s">
        <v>635</v>
      </c>
      <c r="E282" s="83" t="s">
        <v>636</v>
      </c>
      <c r="F282" s="86"/>
      <c r="G282" s="100"/>
      <c r="H282" s="86"/>
      <c r="I282" s="86"/>
      <c r="J282" s="87"/>
    </row>
    <row r="283">
      <c r="A283" s="88" t="s">
        <v>37</v>
      </c>
      <c r="B283" s="89" t="s">
        <v>271</v>
      </c>
      <c r="C283" s="90" t="s">
        <v>637</v>
      </c>
      <c r="D283" s="91" t="s">
        <v>638</v>
      </c>
      <c r="E283" s="91" t="s">
        <v>639</v>
      </c>
      <c r="F283" s="94"/>
      <c r="G283" s="98"/>
      <c r="H283" s="94"/>
      <c r="I283" s="94"/>
      <c r="J283" s="87"/>
    </row>
    <row r="284">
      <c r="A284" s="101" t="s">
        <v>37</v>
      </c>
      <c r="B284" s="102" t="s">
        <v>271</v>
      </c>
      <c r="C284" s="103" t="s">
        <v>640</v>
      </c>
      <c r="D284" s="83" t="s">
        <v>641</v>
      </c>
      <c r="E284" s="83" t="s">
        <v>642</v>
      </c>
      <c r="F284" s="100"/>
      <c r="G284" s="100"/>
      <c r="H284" s="100"/>
      <c r="I284" s="100"/>
      <c r="J284" s="99"/>
    </row>
    <row r="285">
      <c r="A285" s="95" t="s">
        <v>37</v>
      </c>
      <c r="B285" s="96" t="s">
        <v>271</v>
      </c>
      <c r="C285" s="97" t="s">
        <v>531</v>
      </c>
      <c r="D285" s="91" t="s">
        <v>643</v>
      </c>
      <c r="E285" s="91" t="s">
        <v>644</v>
      </c>
      <c r="F285" s="98"/>
      <c r="G285" s="98"/>
      <c r="H285" s="98"/>
      <c r="I285" s="98"/>
      <c r="J285" s="99"/>
    </row>
    <row r="286">
      <c r="A286" s="101" t="s">
        <v>37</v>
      </c>
      <c r="B286" s="102" t="s">
        <v>271</v>
      </c>
      <c r="C286" s="103" t="s">
        <v>533</v>
      </c>
      <c r="D286" s="83" t="s">
        <v>645</v>
      </c>
      <c r="E286" s="83" t="s">
        <v>646</v>
      </c>
      <c r="F286" s="100"/>
      <c r="G286" s="100"/>
      <c r="H286" s="100"/>
      <c r="I286" s="100"/>
      <c r="J286" s="99"/>
    </row>
    <row r="287">
      <c r="A287" s="95" t="s">
        <v>37</v>
      </c>
      <c r="B287" s="96" t="s">
        <v>271</v>
      </c>
      <c r="C287" s="97" t="s">
        <v>535</v>
      </c>
      <c r="D287" s="91" t="s">
        <v>647</v>
      </c>
      <c r="E287" s="91" t="s">
        <v>648</v>
      </c>
      <c r="F287" s="98"/>
      <c r="G287" s="98"/>
      <c r="H287" s="98"/>
      <c r="I287" s="98"/>
      <c r="J287" s="99"/>
    </row>
    <row r="288">
      <c r="A288" s="80" t="s">
        <v>37</v>
      </c>
      <c r="B288" s="81" t="s">
        <v>271</v>
      </c>
      <c r="C288" s="82" t="s">
        <v>649</v>
      </c>
      <c r="D288" s="83" t="s">
        <v>650</v>
      </c>
      <c r="E288" s="83" t="s">
        <v>651</v>
      </c>
      <c r="F288" s="86"/>
      <c r="G288" s="100"/>
      <c r="H288" s="86"/>
      <c r="I288" s="86"/>
      <c r="J288" s="87"/>
    </row>
    <row r="289">
      <c r="A289" s="88" t="s">
        <v>37</v>
      </c>
      <c r="B289" s="89" t="s">
        <v>271</v>
      </c>
      <c r="C289" s="97" t="s">
        <v>652</v>
      </c>
      <c r="D289" s="91" t="s">
        <v>653</v>
      </c>
      <c r="E289" s="104" t="s">
        <v>654</v>
      </c>
      <c r="F289" s="94"/>
      <c r="G289" s="98"/>
      <c r="H289" s="94"/>
      <c r="I289" s="94"/>
      <c r="J289" s="87"/>
    </row>
    <row r="290">
      <c r="A290" s="101" t="s">
        <v>37</v>
      </c>
      <c r="B290" s="102" t="s">
        <v>271</v>
      </c>
      <c r="C290" s="103" t="s">
        <v>655</v>
      </c>
      <c r="D290" s="83" t="s">
        <v>656</v>
      </c>
      <c r="E290" s="83" t="s">
        <v>657</v>
      </c>
      <c r="F290" s="100"/>
      <c r="G290" s="100"/>
      <c r="H290" s="100"/>
      <c r="I290" s="100"/>
      <c r="J290" s="99"/>
    </row>
    <row r="291">
      <c r="A291" s="95" t="s">
        <v>37</v>
      </c>
      <c r="B291" s="96" t="s">
        <v>271</v>
      </c>
      <c r="C291" s="97" t="s">
        <v>658</v>
      </c>
      <c r="D291" s="91" t="s">
        <v>659</v>
      </c>
      <c r="E291" s="91" t="s">
        <v>660</v>
      </c>
      <c r="F291" s="98"/>
      <c r="G291" s="98"/>
      <c r="H291" s="98"/>
      <c r="I291" s="98"/>
      <c r="J291" s="99"/>
    </row>
    <row r="292">
      <c r="A292" s="101" t="s">
        <v>37</v>
      </c>
      <c r="B292" s="102" t="s">
        <v>271</v>
      </c>
      <c r="C292" s="103" t="s">
        <v>661</v>
      </c>
      <c r="D292" s="83" t="s">
        <v>662</v>
      </c>
      <c r="E292" s="83" t="s">
        <v>663</v>
      </c>
      <c r="F292" s="100"/>
      <c r="G292" s="100"/>
      <c r="H292" s="100"/>
      <c r="I292" s="100"/>
      <c r="J292" s="99"/>
    </row>
    <row r="293">
      <c r="A293" s="94" t="s">
        <v>37</v>
      </c>
      <c r="B293" s="110" t="s">
        <v>273</v>
      </c>
      <c r="C293" s="111" t="s">
        <v>748</v>
      </c>
      <c r="D293" s="104" t="s">
        <v>969</v>
      </c>
      <c r="E293" s="104" t="s">
        <v>970</v>
      </c>
      <c r="F293" s="94"/>
      <c r="G293" s="98"/>
      <c r="H293" s="94"/>
      <c r="I293" s="94"/>
      <c r="J293" s="87"/>
    </row>
    <row r="294">
      <c r="A294" s="86" t="s">
        <v>37</v>
      </c>
      <c r="B294" s="112" t="s">
        <v>273</v>
      </c>
      <c r="C294" s="113" t="s">
        <v>874</v>
      </c>
      <c r="D294" s="107" t="s">
        <v>971</v>
      </c>
      <c r="E294" s="107" t="s">
        <v>972</v>
      </c>
      <c r="F294" s="86"/>
      <c r="G294" s="100"/>
      <c r="H294" s="86"/>
      <c r="I294" s="86"/>
      <c r="J294" s="87"/>
    </row>
    <row r="295">
      <c r="A295" s="94" t="s">
        <v>37</v>
      </c>
      <c r="B295" s="110" t="s">
        <v>273</v>
      </c>
      <c r="C295" s="111" t="s">
        <v>877</v>
      </c>
      <c r="D295" s="104" t="s">
        <v>971</v>
      </c>
      <c r="E295" s="104" t="s">
        <v>973</v>
      </c>
      <c r="F295" s="94"/>
      <c r="G295" s="98"/>
      <c r="H295" s="94"/>
      <c r="I295" s="94"/>
      <c r="J295" s="87"/>
    </row>
    <row r="296">
      <c r="A296" s="86" t="s">
        <v>37</v>
      </c>
      <c r="B296" s="112" t="s">
        <v>273</v>
      </c>
      <c r="C296" s="113" t="s">
        <v>879</v>
      </c>
      <c r="D296" s="107" t="s">
        <v>974</v>
      </c>
      <c r="E296" s="107" t="s">
        <v>975</v>
      </c>
      <c r="F296" s="86"/>
      <c r="G296" s="100"/>
      <c r="H296" s="86"/>
      <c r="I296" s="86"/>
      <c r="J296" s="87"/>
    </row>
    <row r="297">
      <c r="A297" s="94" t="s">
        <v>37</v>
      </c>
      <c r="B297" s="110" t="s">
        <v>273</v>
      </c>
      <c r="C297" s="111" t="s">
        <v>881</v>
      </c>
      <c r="D297" s="104" t="s">
        <v>976</v>
      </c>
      <c r="E297" s="104" t="s">
        <v>977</v>
      </c>
      <c r="F297" s="94"/>
      <c r="G297" s="98"/>
      <c r="H297" s="94"/>
      <c r="I297" s="94"/>
      <c r="J297" s="87"/>
    </row>
    <row r="298">
      <c r="A298" s="86" t="s">
        <v>37</v>
      </c>
      <c r="B298" s="112" t="s">
        <v>273</v>
      </c>
      <c r="C298" s="113" t="s">
        <v>542</v>
      </c>
      <c r="D298" s="107" t="s">
        <v>978</v>
      </c>
      <c r="E298" s="107" t="s">
        <v>979</v>
      </c>
      <c r="F298" s="86"/>
      <c r="G298" s="100"/>
      <c r="H298" s="86"/>
      <c r="I298" s="86"/>
      <c r="J298" s="87"/>
    </row>
    <row r="299">
      <c r="A299" s="94" t="s">
        <v>37</v>
      </c>
      <c r="B299" s="110" t="s">
        <v>273</v>
      </c>
      <c r="C299" s="111" t="s">
        <v>919</v>
      </c>
      <c r="D299" s="104" t="s">
        <v>980</v>
      </c>
      <c r="E299" s="104" t="s">
        <v>981</v>
      </c>
      <c r="F299" s="94"/>
      <c r="G299" s="98"/>
      <c r="H299" s="94"/>
      <c r="I299" s="94"/>
      <c r="J299" s="87"/>
    </row>
    <row r="300">
      <c r="A300" s="86" t="s">
        <v>37</v>
      </c>
      <c r="B300" s="112" t="s">
        <v>273</v>
      </c>
      <c r="C300" s="113" t="s">
        <v>922</v>
      </c>
      <c r="D300" s="107" t="s">
        <v>982</v>
      </c>
      <c r="E300" s="107" t="s">
        <v>979</v>
      </c>
      <c r="F300" s="86"/>
      <c r="G300" s="100"/>
      <c r="H300" s="86"/>
      <c r="I300" s="86"/>
      <c r="J300" s="87"/>
    </row>
    <row r="301">
      <c r="A301" s="94" t="s">
        <v>37</v>
      </c>
      <c r="B301" s="110" t="s">
        <v>273</v>
      </c>
      <c r="C301" s="111" t="s">
        <v>925</v>
      </c>
      <c r="D301" s="104" t="s">
        <v>983</v>
      </c>
      <c r="E301" s="104" t="s">
        <v>984</v>
      </c>
      <c r="F301" s="94"/>
      <c r="G301" s="98"/>
      <c r="H301" s="94"/>
      <c r="I301" s="94"/>
      <c r="J301" s="87"/>
    </row>
    <row r="302">
      <c r="A302" s="86" t="s">
        <v>37</v>
      </c>
      <c r="B302" s="112" t="s">
        <v>273</v>
      </c>
      <c r="C302" s="113" t="s">
        <v>928</v>
      </c>
      <c r="D302" s="107" t="s">
        <v>985</v>
      </c>
      <c r="E302" s="107" t="s">
        <v>986</v>
      </c>
      <c r="F302" s="86"/>
      <c r="G302" s="100"/>
      <c r="H302" s="86"/>
      <c r="I302" s="86"/>
      <c r="J302" s="87"/>
    </row>
    <row r="303">
      <c r="A303" s="94" t="s">
        <v>37</v>
      </c>
      <c r="B303" s="110" t="s">
        <v>273</v>
      </c>
      <c r="C303" s="111" t="s">
        <v>931</v>
      </c>
      <c r="D303" s="104" t="s">
        <v>987</v>
      </c>
      <c r="E303" s="104" t="s">
        <v>979</v>
      </c>
      <c r="F303" s="94"/>
      <c r="G303" s="98"/>
      <c r="H303" s="94"/>
      <c r="I303" s="94"/>
      <c r="J303" s="87"/>
    </row>
    <row r="304">
      <c r="A304" s="86" t="s">
        <v>37</v>
      </c>
      <c r="B304" s="112" t="s">
        <v>273</v>
      </c>
      <c r="C304" s="113" t="s">
        <v>988</v>
      </c>
      <c r="D304" s="107" t="s">
        <v>989</v>
      </c>
      <c r="E304" s="107" t="s">
        <v>990</v>
      </c>
      <c r="F304" s="86"/>
      <c r="G304" s="100"/>
      <c r="H304" s="86"/>
      <c r="I304" s="86"/>
      <c r="J304" s="87"/>
    </row>
    <row r="305">
      <c r="A305" s="94" t="s">
        <v>37</v>
      </c>
      <c r="B305" s="110" t="s">
        <v>273</v>
      </c>
      <c r="C305" s="111" t="s">
        <v>586</v>
      </c>
      <c r="D305" s="104" t="s">
        <v>991</v>
      </c>
      <c r="E305" s="104" t="s">
        <v>992</v>
      </c>
      <c r="F305" s="94"/>
      <c r="G305" s="98"/>
      <c r="H305" s="94"/>
      <c r="I305" s="94"/>
      <c r="J305" s="87"/>
    </row>
    <row r="306">
      <c r="A306" s="86" t="s">
        <v>37</v>
      </c>
      <c r="B306" s="112" t="s">
        <v>273</v>
      </c>
      <c r="C306" s="113" t="s">
        <v>589</v>
      </c>
      <c r="D306" s="107" t="s">
        <v>993</v>
      </c>
      <c r="E306" s="107" t="s">
        <v>994</v>
      </c>
      <c r="F306" s="86"/>
      <c r="G306" s="100"/>
      <c r="H306" s="86"/>
      <c r="I306" s="86"/>
      <c r="J306" s="87"/>
    </row>
    <row r="307">
      <c r="A307" s="94" t="s">
        <v>37</v>
      </c>
      <c r="B307" s="110" t="s">
        <v>273</v>
      </c>
      <c r="C307" s="111" t="s">
        <v>592</v>
      </c>
      <c r="D307" s="104" t="s">
        <v>995</v>
      </c>
      <c r="E307" s="104" t="s">
        <v>979</v>
      </c>
      <c r="F307" s="94"/>
      <c r="G307" s="98"/>
      <c r="H307" s="94"/>
      <c r="I307" s="94"/>
      <c r="J307" s="87"/>
    </row>
    <row r="308">
      <c r="A308" s="86" t="s">
        <v>37</v>
      </c>
      <c r="B308" s="112" t="s">
        <v>273</v>
      </c>
      <c r="C308" s="113" t="s">
        <v>996</v>
      </c>
      <c r="D308" s="107" t="s">
        <v>997</v>
      </c>
      <c r="E308" s="107" t="s">
        <v>998</v>
      </c>
      <c r="F308" s="86"/>
      <c r="G308" s="100"/>
      <c r="H308" s="86"/>
      <c r="I308" s="86"/>
      <c r="J308" s="87"/>
    </row>
    <row r="309">
      <c r="A309" s="94" t="s">
        <v>37</v>
      </c>
      <c r="B309" s="110" t="s">
        <v>273</v>
      </c>
      <c r="C309" s="111" t="s">
        <v>515</v>
      </c>
      <c r="D309" s="104" t="s">
        <v>999</v>
      </c>
      <c r="E309" s="104" t="s">
        <v>1000</v>
      </c>
      <c r="F309" s="94"/>
      <c r="G309" s="98"/>
      <c r="H309" s="94"/>
      <c r="I309" s="94"/>
      <c r="J309" s="87"/>
    </row>
    <row r="310">
      <c r="A310" s="86" t="s">
        <v>37</v>
      </c>
      <c r="B310" s="112" t="s">
        <v>273</v>
      </c>
      <c r="C310" s="113" t="s">
        <v>517</v>
      </c>
      <c r="D310" s="107" t="s">
        <v>1001</v>
      </c>
      <c r="E310" s="107" t="s">
        <v>1002</v>
      </c>
      <c r="F310" s="86"/>
      <c r="G310" s="100"/>
      <c r="H310" s="86"/>
      <c r="I310" s="86"/>
      <c r="J310" s="87"/>
    </row>
    <row r="311">
      <c r="A311" s="94" t="s">
        <v>37</v>
      </c>
      <c r="B311" s="110" t="s">
        <v>273</v>
      </c>
      <c r="C311" s="111" t="s">
        <v>1003</v>
      </c>
      <c r="D311" s="104" t="s">
        <v>1004</v>
      </c>
      <c r="E311" s="104" t="s">
        <v>1005</v>
      </c>
      <c r="F311" s="94"/>
      <c r="G311" s="98"/>
      <c r="H311" s="94"/>
      <c r="I311" s="94"/>
      <c r="J311" s="87"/>
    </row>
    <row r="312">
      <c r="A312" s="86" t="s">
        <v>37</v>
      </c>
      <c r="B312" s="112" t="s">
        <v>273</v>
      </c>
      <c r="C312" s="113" t="s">
        <v>1006</v>
      </c>
      <c r="D312" s="107" t="s">
        <v>1007</v>
      </c>
      <c r="E312" s="107" t="s">
        <v>1008</v>
      </c>
      <c r="F312" s="86"/>
      <c r="G312" s="100"/>
      <c r="H312" s="86"/>
      <c r="I312" s="86"/>
      <c r="J312" s="87"/>
    </row>
    <row r="313">
      <c r="A313" s="94" t="s">
        <v>37</v>
      </c>
      <c r="B313" s="110" t="s">
        <v>273</v>
      </c>
      <c r="C313" s="111" t="s">
        <v>1009</v>
      </c>
      <c r="D313" s="104" t="s">
        <v>1010</v>
      </c>
      <c r="E313" s="104" t="s">
        <v>1011</v>
      </c>
      <c r="F313" s="94"/>
      <c r="G313" s="98"/>
      <c r="H313" s="94"/>
      <c r="I313" s="94"/>
      <c r="J313" s="87"/>
    </row>
    <row r="314">
      <c r="A314" s="86" t="s">
        <v>37</v>
      </c>
      <c r="B314" s="112" t="s">
        <v>273</v>
      </c>
      <c r="C314" s="113" t="s">
        <v>788</v>
      </c>
      <c r="D314" s="107" t="s">
        <v>1012</v>
      </c>
      <c r="E314" s="107" t="s">
        <v>1013</v>
      </c>
      <c r="F314" s="86"/>
      <c r="G314" s="100"/>
      <c r="H314" s="86"/>
      <c r="I314" s="86"/>
      <c r="J314" s="87"/>
    </row>
    <row r="315">
      <c r="A315" s="94" t="s">
        <v>37</v>
      </c>
      <c r="B315" s="110" t="s">
        <v>273</v>
      </c>
      <c r="C315" s="111" t="s">
        <v>640</v>
      </c>
      <c r="D315" s="104" t="s">
        <v>1014</v>
      </c>
      <c r="E315" s="104" t="s">
        <v>1015</v>
      </c>
      <c r="F315" s="94"/>
      <c r="G315" s="98"/>
      <c r="H315" s="94"/>
      <c r="I315" s="94"/>
      <c r="J315" s="87"/>
    </row>
    <row r="316">
      <c r="A316" s="101" t="s">
        <v>37</v>
      </c>
      <c r="B316" s="102" t="s">
        <v>276</v>
      </c>
      <c r="C316" s="103" t="s">
        <v>542</v>
      </c>
      <c r="D316" s="83" t="s">
        <v>543</v>
      </c>
      <c r="E316" s="83" t="s">
        <v>544</v>
      </c>
      <c r="F316" s="100"/>
      <c r="G316" s="100"/>
      <c r="H316" s="100"/>
      <c r="I316" s="100"/>
      <c r="J316" s="99"/>
    </row>
    <row r="317">
      <c r="A317" s="88" t="s">
        <v>37</v>
      </c>
      <c r="B317" s="89" t="s">
        <v>276</v>
      </c>
      <c r="C317" s="90" t="s">
        <v>546</v>
      </c>
      <c r="D317" s="91" t="s">
        <v>547</v>
      </c>
      <c r="E317" s="91" t="s">
        <v>548</v>
      </c>
      <c r="F317" s="94"/>
      <c r="G317" s="98"/>
      <c r="H317" s="94"/>
      <c r="I317" s="94"/>
      <c r="J317" s="87"/>
    </row>
    <row r="318">
      <c r="A318" s="80" t="s">
        <v>37</v>
      </c>
      <c r="B318" s="81" t="s">
        <v>276</v>
      </c>
      <c r="C318" s="82" t="s">
        <v>549</v>
      </c>
      <c r="D318" s="83" t="s">
        <v>550</v>
      </c>
      <c r="E318" s="83" t="s">
        <v>548</v>
      </c>
      <c r="F318" s="86"/>
      <c r="G318" s="100"/>
      <c r="H318" s="86"/>
      <c r="I318" s="86"/>
      <c r="J318" s="87"/>
    </row>
    <row r="319">
      <c r="A319" s="88" t="s">
        <v>37</v>
      </c>
      <c r="B319" s="89" t="s">
        <v>276</v>
      </c>
      <c r="C319" s="90" t="s">
        <v>551</v>
      </c>
      <c r="D319" s="91" t="s">
        <v>552</v>
      </c>
      <c r="E319" s="91" t="s">
        <v>548</v>
      </c>
      <c r="F319" s="94"/>
      <c r="G319" s="98"/>
      <c r="H319" s="94"/>
      <c r="I319" s="94"/>
      <c r="J319" s="87"/>
    </row>
    <row r="320">
      <c r="A320" s="80" t="s">
        <v>37</v>
      </c>
      <c r="B320" s="81" t="s">
        <v>276</v>
      </c>
      <c r="C320" s="82" t="s">
        <v>553</v>
      </c>
      <c r="D320" s="83" t="s">
        <v>554</v>
      </c>
      <c r="E320" s="83" t="s">
        <v>548</v>
      </c>
      <c r="F320" s="86"/>
      <c r="G320" s="100"/>
      <c r="H320" s="86"/>
      <c r="I320" s="86"/>
      <c r="J320" s="87"/>
    </row>
    <row r="321">
      <c r="A321" s="88" t="s">
        <v>37</v>
      </c>
      <c r="B321" s="89" t="s">
        <v>276</v>
      </c>
      <c r="C321" s="90" t="s">
        <v>555</v>
      </c>
      <c r="D321" s="91" t="s">
        <v>556</v>
      </c>
      <c r="E321" s="91" t="s">
        <v>548</v>
      </c>
      <c r="F321" s="94"/>
      <c r="G321" s="98"/>
      <c r="H321" s="94"/>
      <c r="I321" s="94"/>
      <c r="J321" s="87"/>
    </row>
    <row r="322">
      <c r="A322" s="101" t="s">
        <v>37</v>
      </c>
      <c r="B322" s="102" t="s">
        <v>276</v>
      </c>
      <c r="C322" s="103" t="s">
        <v>557</v>
      </c>
      <c r="D322" s="83" t="s">
        <v>558</v>
      </c>
      <c r="E322" s="83" t="s">
        <v>544</v>
      </c>
      <c r="F322" s="100"/>
      <c r="G322" s="100"/>
      <c r="H322" s="100"/>
      <c r="I322" s="100"/>
      <c r="J322" s="99"/>
    </row>
    <row r="323">
      <c r="A323" s="95" t="s">
        <v>37</v>
      </c>
      <c r="B323" s="96" t="s">
        <v>276</v>
      </c>
      <c r="C323" s="97" t="s">
        <v>559</v>
      </c>
      <c r="D323" s="91" t="s">
        <v>560</v>
      </c>
      <c r="E323" s="91" t="s">
        <v>544</v>
      </c>
      <c r="F323" s="98"/>
      <c r="G323" s="98"/>
      <c r="H323" s="98"/>
      <c r="I323" s="98"/>
      <c r="J323" s="99"/>
    </row>
    <row r="324">
      <c r="A324" s="101" t="s">
        <v>37</v>
      </c>
      <c r="B324" s="102" t="s">
        <v>276</v>
      </c>
      <c r="C324" s="103" t="s">
        <v>561</v>
      </c>
      <c r="D324" s="83" t="s">
        <v>562</v>
      </c>
      <c r="E324" s="83" t="s">
        <v>544</v>
      </c>
      <c r="F324" s="100"/>
      <c r="G324" s="100"/>
      <c r="H324" s="100"/>
      <c r="I324" s="100"/>
      <c r="J324" s="99"/>
    </row>
    <row r="325">
      <c r="A325" s="95" t="s">
        <v>37</v>
      </c>
      <c r="B325" s="96" t="s">
        <v>276</v>
      </c>
      <c r="C325" s="97" t="s">
        <v>563</v>
      </c>
      <c r="D325" s="91" t="s">
        <v>564</v>
      </c>
      <c r="E325" s="91" t="s">
        <v>544</v>
      </c>
      <c r="F325" s="98"/>
      <c r="G325" s="98"/>
      <c r="H325" s="98"/>
      <c r="I325" s="98"/>
      <c r="J325" s="99"/>
    </row>
    <row r="326">
      <c r="A326" s="101" t="s">
        <v>37</v>
      </c>
      <c r="B326" s="102" t="s">
        <v>276</v>
      </c>
      <c r="C326" s="103" t="s">
        <v>565</v>
      </c>
      <c r="D326" s="83" t="s">
        <v>566</v>
      </c>
      <c r="E326" s="83" t="s">
        <v>544</v>
      </c>
      <c r="F326" s="100"/>
      <c r="G326" s="100"/>
      <c r="H326" s="100"/>
      <c r="I326" s="100"/>
      <c r="J326" s="99"/>
    </row>
    <row r="327">
      <c r="A327" s="95" t="s">
        <v>37</v>
      </c>
      <c r="B327" s="96" t="s">
        <v>276</v>
      </c>
      <c r="C327" s="97" t="s">
        <v>567</v>
      </c>
      <c r="D327" s="91" t="s">
        <v>568</v>
      </c>
      <c r="E327" s="91" t="s">
        <v>544</v>
      </c>
      <c r="F327" s="98"/>
      <c r="G327" s="98"/>
      <c r="H327" s="98"/>
      <c r="I327" s="98"/>
      <c r="J327" s="99"/>
    </row>
    <row r="328">
      <c r="A328" s="101" t="s">
        <v>37</v>
      </c>
      <c r="B328" s="102" t="s">
        <v>276</v>
      </c>
      <c r="C328" s="103" t="s">
        <v>569</v>
      </c>
      <c r="D328" s="83" t="s">
        <v>570</v>
      </c>
      <c r="E328" s="83" t="s">
        <v>544</v>
      </c>
      <c r="F328" s="100"/>
      <c r="G328" s="100"/>
      <c r="H328" s="100"/>
      <c r="I328" s="100"/>
      <c r="J328" s="99"/>
    </row>
    <row r="329">
      <c r="A329" s="95" t="s">
        <v>37</v>
      </c>
      <c r="B329" s="96" t="s">
        <v>276</v>
      </c>
      <c r="C329" s="97" t="s">
        <v>571</v>
      </c>
      <c r="D329" s="91" t="s">
        <v>572</v>
      </c>
      <c r="E329" s="91" t="s">
        <v>544</v>
      </c>
      <c r="F329" s="98"/>
      <c r="G329" s="98"/>
      <c r="H329" s="98"/>
      <c r="I329" s="98"/>
      <c r="J329" s="99"/>
    </row>
    <row r="330">
      <c r="A330" s="101" t="s">
        <v>37</v>
      </c>
      <c r="B330" s="102" t="s">
        <v>276</v>
      </c>
      <c r="C330" s="103" t="s">
        <v>573</v>
      </c>
      <c r="D330" s="83" t="s">
        <v>574</v>
      </c>
      <c r="E330" s="83" t="s">
        <v>544</v>
      </c>
      <c r="F330" s="100"/>
      <c r="G330" s="100"/>
      <c r="H330" s="100"/>
      <c r="I330" s="100"/>
      <c r="J330" s="99"/>
    </row>
    <row r="331">
      <c r="A331" s="94" t="s">
        <v>37</v>
      </c>
      <c r="B331" s="110" t="s">
        <v>278</v>
      </c>
      <c r="C331" s="111" t="s">
        <v>1016</v>
      </c>
      <c r="D331" s="104" t="s">
        <v>1017</v>
      </c>
      <c r="E331" s="104" t="s">
        <v>1018</v>
      </c>
      <c r="F331" s="94"/>
      <c r="G331" s="98"/>
      <c r="H331" s="94"/>
      <c r="I331" s="94"/>
      <c r="J331" s="87"/>
    </row>
    <row r="332">
      <c r="A332" s="86" t="s">
        <v>37</v>
      </c>
      <c r="B332" s="112" t="s">
        <v>278</v>
      </c>
      <c r="C332" s="113" t="s">
        <v>512</v>
      </c>
      <c r="D332" s="107" t="s">
        <v>1019</v>
      </c>
      <c r="E332" s="107" t="s">
        <v>1020</v>
      </c>
      <c r="F332" s="86"/>
      <c r="G332" s="100"/>
      <c r="H332" s="86"/>
      <c r="I332" s="86"/>
      <c r="J332" s="87"/>
    </row>
    <row r="333">
      <c r="A333" s="94" t="s">
        <v>37</v>
      </c>
      <c r="B333" s="110" t="s">
        <v>278</v>
      </c>
      <c r="C333" s="111" t="s">
        <v>515</v>
      </c>
      <c r="D333" s="104" t="s">
        <v>1021</v>
      </c>
      <c r="E333" s="104" t="s">
        <v>1020</v>
      </c>
      <c r="F333" s="94"/>
      <c r="G333" s="98"/>
      <c r="H333" s="94"/>
      <c r="I333" s="94"/>
      <c r="J333" s="87"/>
    </row>
    <row r="334">
      <c r="A334" s="86" t="s">
        <v>37</v>
      </c>
      <c r="B334" s="112" t="s">
        <v>278</v>
      </c>
      <c r="C334" s="113" t="s">
        <v>517</v>
      </c>
      <c r="D334" s="107" t="s">
        <v>1022</v>
      </c>
      <c r="E334" s="107" t="s">
        <v>1020</v>
      </c>
      <c r="F334" s="86"/>
      <c r="G334" s="100"/>
      <c r="H334" s="86"/>
      <c r="I334" s="86"/>
      <c r="J334" s="87"/>
    </row>
    <row r="335">
      <c r="A335" s="94" t="s">
        <v>37</v>
      </c>
      <c r="B335" s="110" t="s">
        <v>278</v>
      </c>
      <c r="C335" s="111" t="s">
        <v>519</v>
      </c>
      <c r="D335" s="104" t="s">
        <v>1023</v>
      </c>
      <c r="E335" s="104" t="s">
        <v>1020</v>
      </c>
      <c r="F335" s="94"/>
      <c r="G335" s="98"/>
      <c r="H335" s="94"/>
      <c r="I335" s="94"/>
      <c r="J335" s="87"/>
    </row>
    <row r="336">
      <c r="A336" s="86" t="s">
        <v>37</v>
      </c>
      <c r="B336" s="112" t="s">
        <v>278</v>
      </c>
      <c r="C336" s="113" t="s">
        <v>1024</v>
      </c>
      <c r="D336" s="107" t="s">
        <v>1025</v>
      </c>
      <c r="E336" s="107" t="s">
        <v>1020</v>
      </c>
      <c r="F336" s="86"/>
      <c r="G336" s="100"/>
      <c r="H336" s="86"/>
      <c r="I336" s="86"/>
      <c r="J336" s="87"/>
    </row>
    <row r="337">
      <c r="A337" s="94" t="s">
        <v>37</v>
      </c>
      <c r="B337" s="110" t="s">
        <v>278</v>
      </c>
      <c r="C337" s="111" t="s">
        <v>1026</v>
      </c>
      <c r="D337" s="104" t="s">
        <v>1027</v>
      </c>
      <c r="E337" s="104" t="s">
        <v>1028</v>
      </c>
      <c r="F337" s="94"/>
      <c r="G337" s="98"/>
      <c r="H337" s="94"/>
      <c r="I337" s="94"/>
      <c r="J337" s="87"/>
    </row>
    <row r="338">
      <c r="A338" s="86" t="s">
        <v>37</v>
      </c>
      <c r="B338" s="112" t="s">
        <v>278</v>
      </c>
      <c r="C338" s="113" t="s">
        <v>1029</v>
      </c>
      <c r="D338" s="107" t="s">
        <v>1030</v>
      </c>
      <c r="E338" s="107" t="s">
        <v>1031</v>
      </c>
      <c r="F338" s="86"/>
      <c r="G338" s="100"/>
      <c r="H338" s="86"/>
      <c r="I338" s="86"/>
      <c r="J338" s="87"/>
    </row>
    <row r="339">
      <c r="A339" s="94" t="s">
        <v>37</v>
      </c>
      <c r="B339" s="110" t="s">
        <v>278</v>
      </c>
      <c r="C339" s="111" t="s">
        <v>1032</v>
      </c>
      <c r="D339" s="104" t="s">
        <v>1033</v>
      </c>
      <c r="E339" s="104" t="s">
        <v>1031</v>
      </c>
      <c r="F339" s="94"/>
      <c r="G339" s="98"/>
      <c r="H339" s="94"/>
      <c r="I339" s="94"/>
      <c r="J339" s="87"/>
    </row>
    <row r="340">
      <c r="A340" s="86" t="s">
        <v>37</v>
      </c>
      <c r="B340" s="112" t="s">
        <v>278</v>
      </c>
      <c r="C340" s="113" t="s">
        <v>1034</v>
      </c>
      <c r="D340" s="107" t="s">
        <v>1035</v>
      </c>
      <c r="E340" s="107" t="s">
        <v>1036</v>
      </c>
      <c r="F340" s="86"/>
      <c r="G340" s="100"/>
      <c r="H340" s="86"/>
      <c r="I340" s="86"/>
      <c r="J340" s="87"/>
    </row>
    <row r="341">
      <c r="A341" s="94" t="s">
        <v>37</v>
      </c>
      <c r="B341" s="110" t="s">
        <v>278</v>
      </c>
      <c r="C341" s="111" t="s">
        <v>531</v>
      </c>
      <c r="D341" s="104" t="s">
        <v>1037</v>
      </c>
      <c r="E341" s="104" t="s">
        <v>1038</v>
      </c>
      <c r="F341" s="94"/>
      <c r="G341" s="98"/>
      <c r="H341" s="94"/>
      <c r="I341" s="94"/>
      <c r="J341" s="87"/>
    </row>
    <row r="342">
      <c r="A342" s="86" t="s">
        <v>37</v>
      </c>
      <c r="B342" s="112" t="s">
        <v>278</v>
      </c>
      <c r="C342" s="113" t="s">
        <v>533</v>
      </c>
      <c r="D342" s="107" t="s">
        <v>1039</v>
      </c>
      <c r="E342" s="107" t="s">
        <v>1040</v>
      </c>
      <c r="F342" s="86"/>
      <c r="G342" s="100"/>
      <c r="H342" s="86"/>
      <c r="I342" s="86"/>
      <c r="J342" s="87"/>
    </row>
    <row r="343">
      <c r="A343" s="94" t="s">
        <v>37</v>
      </c>
      <c r="B343" s="110" t="s">
        <v>278</v>
      </c>
      <c r="C343" s="111" t="s">
        <v>535</v>
      </c>
      <c r="D343" s="104" t="s">
        <v>1041</v>
      </c>
      <c r="E343" s="104" t="s">
        <v>1042</v>
      </c>
      <c r="F343" s="94"/>
      <c r="G343" s="98"/>
      <c r="H343" s="94"/>
      <c r="I343" s="94"/>
      <c r="J343" s="87"/>
    </row>
    <row r="344">
      <c r="A344" s="86" t="s">
        <v>37</v>
      </c>
      <c r="B344" s="112" t="s">
        <v>278</v>
      </c>
      <c r="C344" s="113" t="s">
        <v>1043</v>
      </c>
      <c r="D344" s="107" t="s">
        <v>1044</v>
      </c>
      <c r="E344" s="107" t="s">
        <v>1045</v>
      </c>
      <c r="F344" s="86"/>
      <c r="G344" s="100"/>
      <c r="H344" s="86"/>
      <c r="I344" s="86"/>
      <c r="J344" s="87"/>
    </row>
    <row r="345">
      <c r="A345" s="94" t="s">
        <v>37</v>
      </c>
      <c r="B345" s="110" t="s">
        <v>278</v>
      </c>
      <c r="C345" s="111" t="s">
        <v>1046</v>
      </c>
      <c r="D345" s="104" t="s">
        <v>1047</v>
      </c>
      <c r="E345" s="104" t="s">
        <v>1048</v>
      </c>
      <c r="F345" s="94"/>
      <c r="G345" s="98"/>
      <c r="H345" s="94"/>
      <c r="I345" s="94"/>
      <c r="J345" s="87"/>
    </row>
    <row r="346">
      <c r="A346" s="86" t="s">
        <v>37</v>
      </c>
      <c r="B346" s="112" t="s">
        <v>281</v>
      </c>
      <c r="C346" s="113" t="s">
        <v>709</v>
      </c>
      <c r="D346" s="107" t="s">
        <v>1017</v>
      </c>
      <c r="E346" s="107" t="s">
        <v>1049</v>
      </c>
      <c r="F346" s="86"/>
      <c r="G346" s="100"/>
      <c r="H346" s="86"/>
      <c r="I346" s="86"/>
      <c r="J346" s="87"/>
    </row>
    <row r="347">
      <c r="A347" s="94" t="s">
        <v>37</v>
      </c>
      <c r="B347" s="110" t="s">
        <v>281</v>
      </c>
      <c r="C347" s="111" t="s">
        <v>512</v>
      </c>
      <c r="D347" s="104" t="s">
        <v>1050</v>
      </c>
      <c r="E347" s="104" t="s">
        <v>1051</v>
      </c>
      <c r="F347" s="94"/>
      <c r="G347" s="98"/>
      <c r="H347" s="94"/>
      <c r="I347" s="94"/>
      <c r="J347" s="87"/>
    </row>
    <row r="348">
      <c r="A348" s="86" t="s">
        <v>37</v>
      </c>
      <c r="B348" s="112" t="s">
        <v>281</v>
      </c>
      <c r="C348" s="113" t="s">
        <v>515</v>
      </c>
      <c r="D348" s="107" t="s">
        <v>1021</v>
      </c>
      <c r="E348" s="107" t="s">
        <v>1051</v>
      </c>
      <c r="F348" s="86"/>
      <c r="G348" s="100"/>
      <c r="H348" s="86"/>
      <c r="I348" s="86"/>
      <c r="J348" s="87"/>
    </row>
    <row r="349">
      <c r="A349" s="94" t="s">
        <v>37</v>
      </c>
      <c r="B349" s="110" t="s">
        <v>281</v>
      </c>
      <c r="C349" s="111" t="s">
        <v>517</v>
      </c>
      <c r="D349" s="104" t="s">
        <v>1052</v>
      </c>
      <c r="E349" s="104" t="s">
        <v>1053</v>
      </c>
      <c r="F349" s="94"/>
      <c r="G349" s="98"/>
      <c r="H349" s="94"/>
      <c r="I349" s="94"/>
      <c r="J349" s="87"/>
    </row>
    <row r="350">
      <c r="A350" s="86" t="s">
        <v>37</v>
      </c>
      <c r="B350" s="112" t="s">
        <v>281</v>
      </c>
      <c r="C350" s="113" t="s">
        <v>519</v>
      </c>
      <c r="D350" s="107" t="s">
        <v>1054</v>
      </c>
      <c r="E350" s="107" t="s">
        <v>1053</v>
      </c>
      <c r="F350" s="86"/>
      <c r="G350" s="100"/>
      <c r="H350" s="86"/>
      <c r="I350" s="86"/>
      <c r="J350" s="87"/>
    </row>
    <row r="351">
      <c r="A351" s="94" t="s">
        <v>37</v>
      </c>
      <c r="B351" s="110" t="s">
        <v>281</v>
      </c>
      <c r="C351" s="111" t="s">
        <v>1024</v>
      </c>
      <c r="D351" s="104" t="s">
        <v>1055</v>
      </c>
      <c r="E351" s="104" t="s">
        <v>1053</v>
      </c>
      <c r="F351" s="94"/>
      <c r="G351" s="98"/>
      <c r="H351" s="94"/>
      <c r="I351" s="94"/>
      <c r="J351" s="87"/>
    </row>
    <row r="352">
      <c r="A352" s="86" t="s">
        <v>37</v>
      </c>
      <c r="B352" s="112" t="s">
        <v>281</v>
      </c>
      <c r="C352" s="113" t="s">
        <v>721</v>
      </c>
      <c r="D352" s="107" t="s">
        <v>1056</v>
      </c>
      <c r="E352" s="107" t="s">
        <v>1057</v>
      </c>
      <c r="F352" s="86"/>
      <c r="G352" s="100"/>
      <c r="H352" s="86"/>
      <c r="I352" s="86"/>
      <c r="J352" s="87"/>
    </row>
    <row r="353">
      <c r="A353" s="94" t="s">
        <v>37</v>
      </c>
      <c r="B353" s="110" t="s">
        <v>281</v>
      </c>
      <c r="C353" s="111" t="s">
        <v>1058</v>
      </c>
      <c r="D353" s="104" t="s">
        <v>1059</v>
      </c>
      <c r="E353" s="104" t="s">
        <v>1060</v>
      </c>
      <c r="F353" s="94"/>
      <c r="G353" s="98"/>
      <c r="H353" s="94"/>
      <c r="I353" s="94"/>
      <c r="J353" s="87"/>
    </row>
    <row r="354">
      <c r="A354" s="86" t="s">
        <v>37</v>
      </c>
      <c r="B354" s="112" t="s">
        <v>281</v>
      </c>
      <c r="C354" s="113" t="s">
        <v>726</v>
      </c>
      <c r="D354" s="107" t="s">
        <v>1061</v>
      </c>
      <c r="E354" s="107" t="s">
        <v>1062</v>
      </c>
      <c r="F354" s="86"/>
      <c r="G354" s="100"/>
      <c r="H354" s="86"/>
      <c r="I354" s="86"/>
      <c r="J354" s="87"/>
    </row>
    <row r="355">
      <c r="A355" s="94" t="s">
        <v>37</v>
      </c>
      <c r="B355" s="110" t="s">
        <v>281</v>
      </c>
      <c r="C355" s="111" t="s">
        <v>1063</v>
      </c>
      <c r="D355" s="104" t="s">
        <v>1035</v>
      </c>
      <c r="E355" s="104" t="s">
        <v>1064</v>
      </c>
      <c r="F355" s="94"/>
      <c r="G355" s="98"/>
      <c r="H355" s="94"/>
      <c r="I355" s="94"/>
      <c r="J355" s="87"/>
    </row>
    <row r="356">
      <c r="A356" s="86" t="s">
        <v>37</v>
      </c>
      <c r="B356" s="112" t="s">
        <v>281</v>
      </c>
      <c r="C356" s="113" t="s">
        <v>531</v>
      </c>
      <c r="D356" s="107" t="s">
        <v>1065</v>
      </c>
      <c r="E356" s="107" t="s">
        <v>1066</v>
      </c>
      <c r="F356" s="86"/>
      <c r="G356" s="100"/>
      <c r="H356" s="86"/>
      <c r="I356" s="86"/>
      <c r="J356" s="87"/>
    </row>
    <row r="357">
      <c r="A357" s="94" t="s">
        <v>37</v>
      </c>
      <c r="B357" s="110" t="s">
        <v>281</v>
      </c>
      <c r="C357" s="111" t="s">
        <v>533</v>
      </c>
      <c r="D357" s="104" t="s">
        <v>1067</v>
      </c>
      <c r="E357" s="104" t="s">
        <v>1068</v>
      </c>
      <c r="F357" s="94"/>
      <c r="G357" s="98"/>
      <c r="H357" s="94"/>
      <c r="I357" s="94"/>
      <c r="J357" s="87"/>
    </row>
    <row r="358">
      <c r="A358" s="86" t="s">
        <v>37</v>
      </c>
      <c r="B358" s="112" t="s">
        <v>281</v>
      </c>
      <c r="C358" s="113" t="s">
        <v>535</v>
      </c>
      <c r="D358" s="107" t="s">
        <v>1069</v>
      </c>
      <c r="E358" s="107" t="s">
        <v>1070</v>
      </c>
      <c r="F358" s="86"/>
      <c r="G358" s="100"/>
      <c r="H358" s="86"/>
      <c r="I358" s="86"/>
      <c r="J358" s="87"/>
    </row>
    <row r="359">
      <c r="A359" s="94" t="s">
        <v>37</v>
      </c>
      <c r="B359" s="110" t="s">
        <v>281</v>
      </c>
      <c r="C359" s="111" t="s">
        <v>734</v>
      </c>
      <c r="D359" s="104" t="s">
        <v>1071</v>
      </c>
      <c r="E359" s="104" t="s">
        <v>1072</v>
      </c>
      <c r="F359" s="94"/>
      <c r="G359" s="98"/>
      <c r="H359" s="94"/>
      <c r="I359" s="94"/>
      <c r="J359" s="87"/>
    </row>
    <row r="360">
      <c r="A360" s="86" t="s">
        <v>37</v>
      </c>
      <c r="B360" s="112" t="s">
        <v>281</v>
      </c>
      <c r="C360" s="113" t="s">
        <v>737</v>
      </c>
      <c r="D360" s="107" t="s">
        <v>1073</v>
      </c>
      <c r="E360" s="107" t="s">
        <v>1074</v>
      </c>
      <c r="F360" s="86"/>
      <c r="G360" s="100"/>
      <c r="H360" s="86"/>
      <c r="I360" s="86"/>
      <c r="J360" s="87"/>
    </row>
    <row r="361">
      <c r="A361" s="94" t="s">
        <v>37</v>
      </c>
      <c r="B361" s="110" t="s">
        <v>286</v>
      </c>
      <c r="C361" s="111" t="s">
        <v>579</v>
      </c>
      <c r="D361" s="104" t="s">
        <v>1075</v>
      </c>
      <c r="E361" s="104" t="s">
        <v>1076</v>
      </c>
      <c r="F361" s="94"/>
      <c r="G361" s="98"/>
      <c r="H361" s="94"/>
      <c r="I361" s="94"/>
      <c r="J361" s="87"/>
    </row>
    <row r="362">
      <c r="A362" s="86" t="s">
        <v>37</v>
      </c>
      <c r="B362" s="112" t="s">
        <v>286</v>
      </c>
      <c r="C362" s="113" t="s">
        <v>1077</v>
      </c>
      <c r="D362" s="107" t="s">
        <v>1078</v>
      </c>
      <c r="E362" s="107" t="s">
        <v>1079</v>
      </c>
      <c r="F362" s="86"/>
      <c r="G362" s="100"/>
      <c r="H362" s="86"/>
      <c r="I362" s="86"/>
      <c r="J362" s="87"/>
    </row>
    <row r="363">
      <c r="A363" s="94" t="s">
        <v>37</v>
      </c>
      <c r="B363" s="110" t="s">
        <v>286</v>
      </c>
      <c r="C363" s="111" t="s">
        <v>598</v>
      </c>
      <c r="D363" s="104" t="s">
        <v>1080</v>
      </c>
      <c r="E363" s="104" t="s">
        <v>1081</v>
      </c>
      <c r="F363" s="94"/>
      <c r="G363" s="98"/>
      <c r="H363" s="94"/>
      <c r="I363" s="94"/>
      <c r="J363" s="87"/>
    </row>
    <row r="364">
      <c r="A364" s="86" t="s">
        <v>37</v>
      </c>
      <c r="B364" s="112" t="s">
        <v>286</v>
      </c>
      <c r="C364" s="113" t="s">
        <v>601</v>
      </c>
      <c r="D364" s="107" t="s">
        <v>1082</v>
      </c>
      <c r="E364" s="107" t="s">
        <v>1083</v>
      </c>
      <c r="F364" s="86"/>
      <c r="G364" s="100"/>
      <c r="H364" s="86"/>
      <c r="I364" s="86"/>
      <c r="J364" s="87"/>
    </row>
    <row r="365">
      <c r="A365" s="94" t="s">
        <v>37</v>
      </c>
      <c r="B365" s="110" t="s">
        <v>286</v>
      </c>
      <c r="C365" s="111" t="s">
        <v>1084</v>
      </c>
      <c r="D365" s="104" t="s">
        <v>1085</v>
      </c>
      <c r="E365" s="104" t="s">
        <v>1086</v>
      </c>
      <c r="F365" s="94"/>
      <c r="G365" s="98"/>
      <c r="H365" s="94"/>
      <c r="I365" s="94"/>
      <c r="J365" s="87"/>
    </row>
    <row r="366">
      <c r="A366" s="86" t="s">
        <v>37</v>
      </c>
      <c r="B366" s="112" t="s">
        <v>286</v>
      </c>
      <c r="C366" s="113" t="s">
        <v>546</v>
      </c>
      <c r="D366" s="107" t="s">
        <v>1087</v>
      </c>
      <c r="E366" s="107" t="s">
        <v>1088</v>
      </c>
      <c r="F366" s="86"/>
      <c r="G366" s="100"/>
      <c r="H366" s="86"/>
      <c r="I366" s="86"/>
      <c r="J366" s="87"/>
    </row>
    <row r="367">
      <c r="A367" s="94" t="s">
        <v>37</v>
      </c>
      <c r="B367" s="110" t="s">
        <v>286</v>
      </c>
      <c r="C367" s="111" t="s">
        <v>1089</v>
      </c>
      <c r="D367" s="104" t="s">
        <v>1090</v>
      </c>
      <c r="E367" s="104" t="s">
        <v>1091</v>
      </c>
      <c r="F367" s="94"/>
      <c r="G367" s="98"/>
      <c r="H367" s="94"/>
      <c r="I367" s="94"/>
      <c r="J367" s="87"/>
    </row>
    <row r="368">
      <c r="A368" s="86" t="s">
        <v>37</v>
      </c>
      <c r="B368" s="112" t="s">
        <v>286</v>
      </c>
      <c r="C368" s="113" t="s">
        <v>1092</v>
      </c>
      <c r="D368" s="107" t="s">
        <v>1093</v>
      </c>
      <c r="E368" s="107" t="s">
        <v>1094</v>
      </c>
      <c r="F368" s="86"/>
      <c r="G368" s="100"/>
      <c r="H368" s="86"/>
      <c r="I368" s="86"/>
      <c r="J368" s="87"/>
    </row>
    <row r="369">
      <c r="A369" s="94" t="s">
        <v>37</v>
      </c>
      <c r="B369" s="110" t="s">
        <v>286</v>
      </c>
      <c r="C369" s="111" t="s">
        <v>1095</v>
      </c>
      <c r="D369" s="104" t="s">
        <v>1096</v>
      </c>
      <c r="E369" s="104" t="s">
        <v>1097</v>
      </c>
      <c r="F369" s="94"/>
      <c r="G369" s="98"/>
      <c r="H369" s="94"/>
      <c r="I369" s="94"/>
      <c r="J369" s="87"/>
    </row>
    <row r="370">
      <c r="A370" s="86" t="s">
        <v>37</v>
      </c>
      <c r="B370" s="112" t="s">
        <v>286</v>
      </c>
      <c r="C370" s="113" t="s">
        <v>1098</v>
      </c>
      <c r="D370" s="107" t="s">
        <v>1099</v>
      </c>
      <c r="E370" s="107" t="s">
        <v>1100</v>
      </c>
      <c r="F370" s="86"/>
      <c r="G370" s="100"/>
      <c r="H370" s="86"/>
      <c r="I370" s="86"/>
      <c r="J370" s="87"/>
    </row>
    <row r="371">
      <c r="A371" s="94" t="s">
        <v>37</v>
      </c>
      <c r="B371" s="110" t="s">
        <v>286</v>
      </c>
      <c r="C371" s="111" t="s">
        <v>535</v>
      </c>
      <c r="D371" s="104" t="s">
        <v>1101</v>
      </c>
      <c r="E371" s="104" t="s">
        <v>1102</v>
      </c>
      <c r="F371" s="94"/>
      <c r="G371" s="98"/>
      <c r="H371" s="94"/>
      <c r="I371" s="94"/>
      <c r="J371" s="87"/>
    </row>
    <row r="372">
      <c r="A372" s="86" t="s">
        <v>37</v>
      </c>
      <c r="B372" s="112" t="s">
        <v>286</v>
      </c>
      <c r="C372" s="113" t="s">
        <v>1103</v>
      </c>
      <c r="D372" s="107" t="s">
        <v>1104</v>
      </c>
      <c r="E372" s="107" t="s">
        <v>1105</v>
      </c>
      <c r="F372" s="86"/>
      <c r="G372" s="100"/>
      <c r="H372" s="86"/>
      <c r="I372" s="86"/>
      <c r="J372" s="87"/>
    </row>
    <row r="373">
      <c r="A373" s="94" t="s">
        <v>37</v>
      </c>
      <c r="B373" s="110" t="s">
        <v>286</v>
      </c>
      <c r="C373" s="111" t="s">
        <v>652</v>
      </c>
      <c r="D373" s="104" t="s">
        <v>1106</v>
      </c>
      <c r="E373" s="104" t="s">
        <v>1107</v>
      </c>
      <c r="F373" s="94"/>
      <c r="G373" s="98"/>
      <c r="H373" s="94"/>
      <c r="I373" s="94"/>
      <c r="J373" s="87"/>
    </row>
    <row r="374">
      <c r="A374" s="86" t="s">
        <v>37</v>
      </c>
      <c r="B374" s="112" t="s">
        <v>286</v>
      </c>
      <c r="C374" s="113" t="s">
        <v>1108</v>
      </c>
      <c r="D374" s="107" t="s">
        <v>1109</v>
      </c>
      <c r="E374" s="107" t="s">
        <v>1102</v>
      </c>
      <c r="F374" s="86"/>
      <c r="G374" s="100"/>
      <c r="H374" s="86"/>
      <c r="I374" s="86"/>
      <c r="J374" s="87"/>
    </row>
    <row r="375">
      <c r="A375" s="94" t="s">
        <v>37</v>
      </c>
      <c r="B375" s="110" t="s">
        <v>286</v>
      </c>
      <c r="C375" s="111" t="s">
        <v>661</v>
      </c>
      <c r="D375" s="104" t="s">
        <v>1110</v>
      </c>
      <c r="E375" s="104" t="s">
        <v>1111</v>
      </c>
      <c r="F375" s="94"/>
      <c r="G375" s="98"/>
      <c r="H375" s="94"/>
      <c r="I375" s="94"/>
      <c r="J375" s="87"/>
    </row>
    <row r="376">
      <c r="A376" s="86" t="s">
        <v>37</v>
      </c>
      <c r="B376" s="112" t="s">
        <v>289</v>
      </c>
      <c r="C376" s="113" t="s">
        <v>509</v>
      </c>
      <c r="D376" s="107" t="s">
        <v>510</v>
      </c>
      <c r="E376" s="107" t="s">
        <v>511</v>
      </c>
      <c r="F376" s="86"/>
      <c r="G376" s="100"/>
      <c r="H376" s="86"/>
      <c r="I376" s="86"/>
      <c r="J376" s="87"/>
    </row>
    <row r="377">
      <c r="A377" s="94" t="s">
        <v>37</v>
      </c>
      <c r="B377" s="110" t="s">
        <v>289</v>
      </c>
      <c r="C377" s="111" t="s">
        <v>512</v>
      </c>
      <c r="D377" s="104" t="s">
        <v>513</v>
      </c>
      <c r="E377" s="104" t="s">
        <v>514</v>
      </c>
      <c r="F377" s="94"/>
      <c r="G377" s="98"/>
      <c r="H377" s="94"/>
      <c r="I377" s="94"/>
      <c r="J377" s="87"/>
    </row>
    <row r="378">
      <c r="A378" s="86" t="s">
        <v>37</v>
      </c>
      <c r="B378" s="112" t="s">
        <v>289</v>
      </c>
      <c r="C378" s="113" t="s">
        <v>515</v>
      </c>
      <c r="D378" s="107" t="s">
        <v>516</v>
      </c>
      <c r="E378" s="107" t="s">
        <v>514</v>
      </c>
      <c r="F378" s="86"/>
      <c r="G378" s="100"/>
      <c r="H378" s="86"/>
      <c r="I378" s="86"/>
      <c r="J378" s="87"/>
    </row>
    <row r="379">
      <c r="A379" s="94" t="s">
        <v>37</v>
      </c>
      <c r="B379" s="110" t="s">
        <v>289</v>
      </c>
      <c r="C379" s="111" t="s">
        <v>517</v>
      </c>
      <c r="D379" s="104" t="s">
        <v>518</v>
      </c>
      <c r="E379" s="104" t="s">
        <v>514</v>
      </c>
      <c r="F379" s="94"/>
      <c r="G379" s="98"/>
      <c r="H379" s="94"/>
      <c r="I379" s="94"/>
      <c r="J379" s="87"/>
    </row>
    <row r="380">
      <c r="A380" s="86" t="s">
        <v>37</v>
      </c>
      <c r="B380" s="112" t="s">
        <v>289</v>
      </c>
      <c r="C380" s="113" t="s">
        <v>519</v>
      </c>
      <c r="D380" s="107" t="s">
        <v>520</v>
      </c>
      <c r="E380" s="107" t="s">
        <v>514</v>
      </c>
      <c r="F380" s="86"/>
      <c r="G380" s="100"/>
      <c r="H380" s="86"/>
      <c r="I380" s="86"/>
      <c r="J380" s="87"/>
    </row>
    <row r="381">
      <c r="A381" s="94" t="s">
        <v>37</v>
      </c>
      <c r="B381" s="110" t="s">
        <v>289</v>
      </c>
      <c r="C381" s="111" t="s">
        <v>521</v>
      </c>
      <c r="D381" s="104" t="s">
        <v>522</v>
      </c>
      <c r="E381" s="104" t="s">
        <v>514</v>
      </c>
      <c r="F381" s="94"/>
      <c r="G381" s="98"/>
      <c r="H381" s="94"/>
      <c r="I381" s="94"/>
      <c r="J381" s="87"/>
    </row>
    <row r="382">
      <c r="A382" s="86" t="s">
        <v>37</v>
      </c>
      <c r="B382" s="112" t="s">
        <v>289</v>
      </c>
      <c r="C382" s="113" t="s">
        <v>523</v>
      </c>
      <c r="D382" s="107" t="s">
        <v>524</v>
      </c>
      <c r="E382" s="107" t="s">
        <v>511</v>
      </c>
      <c r="F382" s="86"/>
      <c r="G382" s="100"/>
      <c r="H382" s="86"/>
      <c r="I382" s="86"/>
      <c r="J382" s="87"/>
    </row>
    <row r="383">
      <c r="A383" s="94" t="s">
        <v>37</v>
      </c>
      <c r="B383" s="110" t="s">
        <v>289</v>
      </c>
      <c r="C383" s="111" t="s">
        <v>525</v>
      </c>
      <c r="D383" s="104" t="s">
        <v>526</v>
      </c>
      <c r="E383" s="104" t="s">
        <v>511</v>
      </c>
      <c r="F383" s="94"/>
      <c r="G383" s="98"/>
      <c r="H383" s="94"/>
      <c r="I383" s="94"/>
      <c r="J383" s="87"/>
    </row>
    <row r="384">
      <c r="A384" s="86" t="s">
        <v>37</v>
      </c>
      <c r="B384" s="112" t="s">
        <v>289</v>
      </c>
      <c r="C384" s="113" t="s">
        <v>527</v>
      </c>
      <c r="D384" s="107" t="s">
        <v>528</v>
      </c>
      <c r="E384" s="107" t="s">
        <v>511</v>
      </c>
      <c r="F384" s="86"/>
      <c r="G384" s="100"/>
      <c r="H384" s="86"/>
      <c r="I384" s="86"/>
      <c r="J384" s="87"/>
    </row>
    <row r="385">
      <c r="A385" s="94" t="s">
        <v>37</v>
      </c>
      <c r="B385" s="110" t="s">
        <v>289</v>
      </c>
      <c r="C385" s="111" t="s">
        <v>529</v>
      </c>
      <c r="D385" s="104" t="s">
        <v>530</v>
      </c>
      <c r="E385" s="104" t="s">
        <v>511</v>
      </c>
      <c r="F385" s="94"/>
      <c r="G385" s="98"/>
      <c r="H385" s="94"/>
      <c r="I385" s="94"/>
      <c r="J385" s="87"/>
    </row>
    <row r="386">
      <c r="A386" s="86" t="s">
        <v>37</v>
      </c>
      <c r="B386" s="112" t="s">
        <v>289</v>
      </c>
      <c r="C386" s="113" t="s">
        <v>531</v>
      </c>
      <c r="D386" s="107" t="s">
        <v>532</v>
      </c>
      <c r="E386" s="107" t="s">
        <v>514</v>
      </c>
      <c r="F386" s="86"/>
      <c r="G386" s="100"/>
      <c r="H386" s="86"/>
      <c r="I386" s="86"/>
      <c r="J386" s="87"/>
    </row>
    <row r="387">
      <c r="A387" s="94" t="s">
        <v>37</v>
      </c>
      <c r="B387" s="110" t="s">
        <v>289</v>
      </c>
      <c r="C387" s="111" t="s">
        <v>533</v>
      </c>
      <c r="D387" s="104" t="s">
        <v>534</v>
      </c>
      <c r="E387" s="104" t="s">
        <v>514</v>
      </c>
      <c r="F387" s="94"/>
      <c r="G387" s="98"/>
      <c r="H387" s="94"/>
      <c r="I387" s="94"/>
      <c r="J387" s="87"/>
    </row>
    <row r="388">
      <c r="A388" s="86" t="s">
        <v>37</v>
      </c>
      <c r="B388" s="112" t="s">
        <v>289</v>
      </c>
      <c r="C388" s="113" t="s">
        <v>535</v>
      </c>
      <c r="D388" s="107" t="s">
        <v>536</v>
      </c>
      <c r="E388" s="107" t="s">
        <v>514</v>
      </c>
      <c r="F388" s="86"/>
      <c r="G388" s="100"/>
      <c r="H388" s="86"/>
      <c r="I388" s="86"/>
      <c r="J388" s="87"/>
    </row>
    <row r="389">
      <c r="A389" s="94" t="s">
        <v>37</v>
      </c>
      <c r="B389" s="110" t="s">
        <v>289</v>
      </c>
      <c r="C389" s="111" t="s">
        <v>537</v>
      </c>
      <c r="D389" s="104" t="s">
        <v>538</v>
      </c>
      <c r="E389" s="104" t="s">
        <v>514</v>
      </c>
      <c r="F389" s="94"/>
      <c r="G389" s="98"/>
      <c r="H389" s="94"/>
      <c r="I389" s="94"/>
      <c r="J389" s="87"/>
    </row>
    <row r="390">
      <c r="A390" s="86" t="s">
        <v>37</v>
      </c>
      <c r="B390" s="112" t="s">
        <v>289</v>
      </c>
      <c r="C390" s="113" t="s">
        <v>540</v>
      </c>
      <c r="D390" s="107" t="s">
        <v>541</v>
      </c>
      <c r="E390" s="107" t="s">
        <v>514</v>
      </c>
      <c r="F390" s="86"/>
      <c r="G390" s="100"/>
      <c r="H390" s="86"/>
      <c r="I390" s="86"/>
      <c r="J390" s="87"/>
    </row>
    <row r="391">
      <c r="A391" s="94" t="s">
        <v>37</v>
      </c>
      <c r="B391" s="110" t="s">
        <v>291</v>
      </c>
      <c r="C391" s="111" t="s">
        <v>1112</v>
      </c>
      <c r="D391" s="104" t="s">
        <v>1113</v>
      </c>
      <c r="E391" s="104" t="s">
        <v>1114</v>
      </c>
      <c r="F391" s="94"/>
      <c r="G391" s="98"/>
      <c r="H391" s="94"/>
      <c r="I391" s="94"/>
      <c r="J391" s="87"/>
    </row>
    <row r="392">
      <c r="A392" s="86" t="s">
        <v>37</v>
      </c>
      <c r="B392" s="112" t="s">
        <v>291</v>
      </c>
      <c r="C392" s="113" t="s">
        <v>1115</v>
      </c>
      <c r="D392" s="107" t="s">
        <v>1116</v>
      </c>
      <c r="E392" s="107" t="s">
        <v>1117</v>
      </c>
      <c r="F392" s="86"/>
      <c r="G392" s="100"/>
      <c r="H392" s="86"/>
      <c r="I392" s="86"/>
      <c r="J392" s="87"/>
    </row>
    <row r="393">
      <c r="A393" s="94" t="s">
        <v>37</v>
      </c>
      <c r="B393" s="110" t="s">
        <v>291</v>
      </c>
      <c r="C393" s="111" t="s">
        <v>1016</v>
      </c>
      <c r="D393" s="104" t="s">
        <v>1118</v>
      </c>
      <c r="E393" s="104" t="s">
        <v>1119</v>
      </c>
      <c r="F393" s="94"/>
      <c r="G393" s="98"/>
      <c r="H393" s="94"/>
      <c r="I393" s="94"/>
      <c r="J393" s="87"/>
    </row>
    <row r="394">
      <c r="A394" s="86" t="s">
        <v>37</v>
      </c>
      <c r="B394" s="112" t="s">
        <v>291</v>
      </c>
      <c r="C394" s="113" t="s">
        <v>1120</v>
      </c>
      <c r="D394" s="107" t="s">
        <v>1121</v>
      </c>
      <c r="E394" s="107" t="s">
        <v>1122</v>
      </c>
      <c r="F394" s="86"/>
      <c r="G394" s="100"/>
      <c r="H394" s="86"/>
      <c r="I394" s="86"/>
      <c r="J394" s="87"/>
    </row>
    <row r="395">
      <c r="A395" s="94" t="s">
        <v>37</v>
      </c>
      <c r="B395" s="110" t="s">
        <v>291</v>
      </c>
      <c r="C395" s="111" t="s">
        <v>718</v>
      </c>
      <c r="D395" s="104" t="s">
        <v>1123</v>
      </c>
      <c r="E395" s="104" t="s">
        <v>1124</v>
      </c>
      <c r="F395" s="94"/>
      <c r="G395" s="98"/>
      <c r="H395" s="94"/>
      <c r="I395" s="94"/>
      <c r="J395" s="87"/>
    </row>
    <row r="396">
      <c r="A396" s="86" t="s">
        <v>37</v>
      </c>
      <c r="B396" s="112" t="s">
        <v>291</v>
      </c>
      <c r="C396" s="113" t="s">
        <v>1026</v>
      </c>
      <c r="D396" s="107" t="s">
        <v>1125</v>
      </c>
      <c r="E396" s="107" t="s">
        <v>1126</v>
      </c>
      <c r="F396" s="86"/>
      <c r="G396" s="100"/>
      <c r="H396" s="86"/>
      <c r="I396" s="86"/>
      <c r="J396" s="87"/>
    </row>
    <row r="397">
      <c r="A397" s="94" t="s">
        <v>37</v>
      </c>
      <c r="B397" s="110" t="s">
        <v>291</v>
      </c>
      <c r="C397" s="111" t="s">
        <v>1029</v>
      </c>
      <c r="D397" s="104" t="s">
        <v>1127</v>
      </c>
      <c r="E397" s="104" t="s">
        <v>1128</v>
      </c>
      <c r="F397" s="94"/>
      <c r="G397" s="98"/>
      <c r="H397" s="94"/>
      <c r="I397" s="94"/>
      <c r="J397" s="87"/>
    </row>
    <row r="398">
      <c r="A398" s="86" t="s">
        <v>37</v>
      </c>
      <c r="B398" s="112" t="s">
        <v>291</v>
      </c>
      <c r="C398" s="113" t="s">
        <v>1032</v>
      </c>
      <c r="D398" s="107" t="s">
        <v>1129</v>
      </c>
      <c r="E398" s="107" t="s">
        <v>1130</v>
      </c>
      <c r="F398" s="86"/>
      <c r="G398" s="100"/>
      <c r="H398" s="86"/>
      <c r="I398" s="86"/>
      <c r="J398" s="87"/>
    </row>
    <row r="399">
      <c r="A399" s="94" t="s">
        <v>37</v>
      </c>
      <c r="B399" s="110" t="s">
        <v>291</v>
      </c>
      <c r="C399" s="111" t="s">
        <v>1034</v>
      </c>
      <c r="D399" s="104" t="s">
        <v>1131</v>
      </c>
      <c r="E399" s="104" t="s">
        <v>1132</v>
      </c>
      <c r="F399" s="94"/>
      <c r="G399" s="98"/>
      <c r="H399" s="94"/>
      <c r="I399" s="94"/>
      <c r="J399" s="87"/>
    </row>
    <row r="400">
      <c r="A400" s="86" t="s">
        <v>37</v>
      </c>
      <c r="B400" s="112" t="s">
        <v>291</v>
      </c>
      <c r="C400" s="113" t="s">
        <v>531</v>
      </c>
      <c r="D400" s="107" t="s">
        <v>1133</v>
      </c>
      <c r="E400" s="107" t="s">
        <v>1134</v>
      </c>
      <c r="F400" s="86"/>
      <c r="G400" s="100"/>
      <c r="H400" s="86"/>
      <c r="I400" s="86"/>
      <c r="J400" s="87"/>
    </row>
    <row r="401">
      <c r="A401" s="94" t="s">
        <v>37</v>
      </c>
      <c r="B401" s="110" t="s">
        <v>291</v>
      </c>
      <c r="C401" s="111" t="s">
        <v>535</v>
      </c>
      <c r="D401" s="104" t="s">
        <v>1135</v>
      </c>
      <c r="E401" s="104" t="s">
        <v>1136</v>
      </c>
      <c r="F401" s="94"/>
      <c r="G401" s="98"/>
      <c r="H401" s="94"/>
      <c r="I401" s="94"/>
      <c r="J401" s="87"/>
    </row>
    <row r="402">
      <c r="A402" s="86" t="s">
        <v>37</v>
      </c>
      <c r="B402" s="112" t="s">
        <v>291</v>
      </c>
      <c r="C402" s="113" t="s">
        <v>1043</v>
      </c>
      <c r="D402" s="107" t="s">
        <v>1137</v>
      </c>
      <c r="E402" s="107" t="s">
        <v>1138</v>
      </c>
      <c r="F402" s="86"/>
      <c r="G402" s="100"/>
      <c r="H402" s="86"/>
      <c r="I402" s="86"/>
      <c r="J402" s="87"/>
    </row>
    <row r="403">
      <c r="A403" s="94" t="s">
        <v>37</v>
      </c>
      <c r="B403" s="110" t="s">
        <v>291</v>
      </c>
      <c r="C403" s="111" t="s">
        <v>1046</v>
      </c>
      <c r="D403" s="104" t="s">
        <v>1139</v>
      </c>
      <c r="E403" s="104" t="s">
        <v>1140</v>
      </c>
      <c r="F403" s="94"/>
      <c r="G403" s="98"/>
      <c r="H403" s="94"/>
      <c r="I403" s="94"/>
      <c r="J403" s="87"/>
    </row>
    <row r="404">
      <c r="A404" s="86" t="s">
        <v>37</v>
      </c>
      <c r="B404" s="112" t="s">
        <v>294</v>
      </c>
      <c r="C404" s="113" t="s">
        <v>748</v>
      </c>
      <c r="D404" s="107" t="s">
        <v>969</v>
      </c>
      <c r="E404" s="107" t="s">
        <v>970</v>
      </c>
      <c r="F404" s="86"/>
      <c r="G404" s="100"/>
      <c r="H404" s="86"/>
      <c r="I404" s="86"/>
      <c r="J404" s="87"/>
    </row>
    <row r="405">
      <c r="A405" s="94" t="s">
        <v>37</v>
      </c>
      <c r="B405" s="110" t="s">
        <v>294</v>
      </c>
      <c r="C405" s="111" t="s">
        <v>874</v>
      </c>
      <c r="D405" s="104" t="s">
        <v>971</v>
      </c>
      <c r="E405" s="104" t="s">
        <v>972</v>
      </c>
      <c r="F405" s="94"/>
      <c r="G405" s="98"/>
      <c r="H405" s="94"/>
      <c r="I405" s="94"/>
      <c r="J405" s="87"/>
    </row>
    <row r="406">
      <c r="A406" s="86" t="s">
        <v>37</v>
      </c>
      <c r="B406" s="112" t="s">
        <v>294</v>
      </c>
      <c r="C406" s="113" t="s">
        <v>877</v>
      </c>
      <c r="D406" s="107" t="s">
        <v>971</v>
      </c>
      <c r="E406" s="107" t="s">
        <v>973</v>
      </c>
      <c r="F406" s="86"/>
      <c r="G406" s="100"/>
      <c r="H406" s="86"/>
      <c r="I406" s="86"/>
      <c r="J406" s="87"/>
    </row>
    <row r="407">
      <c r="A407" s="94" t="s">
        <v>37</v>
      </c>
      <c r="B407" s="110" t="s">
        <v>294</v>
      </c>
      <c r="C407" s="111" t="s">
        <v>879</v>
      </c>
      <c r="D407" s="104" t="s">
        <v>974</v>
      </c>
      <c r="E407" s="104" t="s">
        <v>975</v>
      </c>
      <c r="F407" s="94"/>
      <c r="G407" s="98"/>
      <c r="H407" s="94"/>
      <c r="I407" s="94"/>
      <c r="J407" s="87"/>
    </row>
    <row r="408">
      <c r="A408" s="86" t="s">
        <v>37</v>
      </c>
      <c r="B408" s="112" t="s">
        <v>294</v>
      </c>
      <c r="C408" s="113" t="s">
        <v>881</v>
      </c>
      <c r="D408" s="107" t="s">
        <v>976</v>
      </c>
      <c r="E408" s="107" t="s">
        <v>977</v>
      </c>
      <c r="F408" s="86"/>
      <c r="G408" s="100"/>
      <c r="H408" s="86"/>
      <c r="I408" s="86"/>
      <c r="J408" s="87"/>
    </row>
    <row r="409">
      <c r="A409" s="94" t="s">
        <v>37</v>
      </c>
      <c r="B409" s="110" t="s">
        <v>294</v>
      </c>
      <c r="C409" s="111" t="s">
        <v>542</v>
      </c>
      <c r="D409" s="104" t="s">
        <v>978</v>
      </c>
      <c r="E409" s="104" t="s">
        <v>979</v>
      </c>
      <c r="F409" s="94"/>
      <c r="G409" s="98"/>
      <c r="H409" s="94"/>
      <c r="I409" s="94"/>
      <c r="J409" s="87"/>
    </row>
    <row r="410">
      <c r="A410" s="86" t="s">
        <v>37</v>
      </c>
      <c r="B410" s="112" t="s">
        <v>294</v>
      </c>
      <c r="C410" s="113" t="s">
        <v>919</v>
      </c>
      <c r="D410" s="107" t="s">
        <v>980</v>
      </c>
      <c r="E410" s="107" t="s">
        <v>981</v>
      </c>
      <c r="F410" s="86"/>
      <c r="G410" s="100"/>
      <c r="H410" s="86"/>
      <c r="I410" s="86"/>
      <c r="J410" s="87"/>
    </row>
    <row r="411">
      <c r="A411" s="94" t="s">
        <v>37</v>
      </c>
      <c r="B411" s="110" t="s">
        <v>294</v>
      </c>
      <c r="C411" s="111" t="s">
        <v>922</v>
      </c>
      <c r="D411" s="104" t="s">
        <v>982</v>
      </c>
      <c r="E411" s="104" t="s">
        <v>979</v>
      </c>
      <c r="F411" s="94"/>
      <c r="G411" s="98"/>
      <c r="H411" s="94"/>
      <c r="I411" s="94"/>
      <c r="J411" s="87"/>
    </row>
    <row r="412">
      <c r="A412" s="86" t="s">
        <v>37</v>
      </c>
      <c r="B412" s="112" t="s">
        <v>294</v>
      </c>
      <c r="C412" s="113" t="s">
        <v>925</v>
      </c>
      <c r="D412" s="107" t="s">
        <v>983</v>
      </c>
      <c r="E412" s="107" t="s">
        <v>984</v>
      </c>
      <c r="F412" s="86"/>
      <c r="G412" s="100"/>
      <c r="H412" s="86"/>
      <c r="I412" s="86"/>
      <c r="J412" s="87"/>
    </row>
    <row r="413">
      <c r="A413" s="94" t="s">
        <v>37</v>
      </c>
      <c r="B413" s="110" t="s">
        <v>294</v>
      </c>
      <c r="C413" s="111" t="s">
        <v>928</v>
      </c>
      <c r="D413" s="104" t="s">
        <v>985</v>
      </c>
      <c r="E413" s="104" t="s">
        <v>986</v>
      </c>
      <c r="F413" s="94"/>
      <c r="G413" s="98"/>
      <c r="H413" s="94"/>
      <c r="I413" s="94"/>
      <c r="J413" s="87"/>
    </row>
    <row r="414">
      <c r="A414" s="86" t="s">
        <v>37</v>
      </c>
      <c r="B414" s="112" t="s">
        <v>294</v>
      </c>
      <c r="C414" s="113" t="s">
        <v>931</v>
      </c>
      <c r="D414" s="107" t="s">
        <v>987</v>
      </c>
      <c r="E414" s="107" t="s">
        <v>979</v>
      </c>
      <c r="F414" s="86"/>
      <c r="G414" s="100"/>
      <c r="H414" s="86"/>
      <c r="I414" s="86"/>
      <c r="J414" s="87"/>
    </row>
    <row r="415">
      <c r="A415" s="94" t="s">
        <v>37</v>
      </c>
      <c r="B415" s="110" t="s">
        <v>294</v>
      </c>
      <c r="C415" s="111" t="s">
        <v>988</v>
      </c>
      <c r="D415" s="104" t="s">
        <v>989</v>
      </c>
      <c r="E415" s="104" t="s">
        <v>990</v>
      </c>
      <c r="F415" s="94"/>
      <c r="G415" s="98"/>
      <c r="H415" s="94"/>
      <c r="I415" s="94"/>
      <c r="J415" s="87"/>
    </row>
    <row r="416">
      <c r="A416" s="86" t="s">
        <v>37</v>
      </c>
      <c r="B416" s="112" t="s">
        <v>294</v>
      </c>
      <c r="C416" s="113" t="s">
        <v>586</v>
      </c>
      <c r="D416" s="107" t="s">
        <v>991</v>
      </c>
      <c r="E416" s="107" t="s">
        <v>992</v>
      </c>
      <c r="F416" s="86"/>
      <c r="G416" s="100"/>
      <c r="H416" s="86"/>
      <c r="I416" s="86"/>
      <c r="J416" s="87"/>
    </row>
    <row r="417">
      <c r="A417" s="94" t="s">
        <v>37</v>
      </c>
      <c r="B417" s="110" t="s">
        <v>294</v>
      </c>
      <c r="C417" s="111" t="s">
        <v>589</v>
      </c>
      <c r="D417" s="104" t="s">
        <v>993</v>
      </c>
      <c r="E417" s="104" t="s">
        <v>994</v>
      </c>
      <c r="F417" s="94"/>
      <c r="G417" s="98"/>
      <c r="H417" s="94"/>
      <c r="I417" s="94"/>
      <c r="J417" s="87"/>
    </row>
    <row r="418">
      <c r="A418" s="86" t="s">
        <v>37</v>
      </c>
      <c r="B418" s="112" t="s">
        <v>294</v>
      </c>
      <c r="C418" s="113" t="s">
        <v>592</v>
      </c>
      <c r="D418" s="107" t="s">
        <v>995</v>
      </c>
      <c r="E418" s="107" t="s">
        <v>979</v>
      </c>
      <c r="F418" s="86"/>
      <c r="G418" s="100"/>
      <c r="H418" s="86"/>
      <c r="I418" s="86"/>
      <c r="J418" s="87"/>
    </row>
    <row r="419">
      <c r="A419" s="94" t="s">
        <v>37</v>
      </c>
      <c r="B419" s="110" t="s">
        <v>294</v>
      </c>
      <c r="C419" s="111" t="s">
        <v>996</v>
      </c>
      <c r="D419" s="104" t="s">
        <v>997</v>
      </c>
      <c r="E419" s="104" t="s">
        <v>998</v>
      </c>
      <c r="F419" s="94"/>
      <c r="G419" s="98"/>
      <c r="H419" s="94"/>
      <c r="I419" s="94"/>
      <c r="J419" s="87"/>
    </row>
    <row r="420">
      <c r="A420" s="86" t="s">
        <v>37</v>
      </c>
      <c r="B420" s="112" t="s">
        <v>294</v>
      </c>
      <c r="C420" s="113" t="s">
        <v>515</v>
      </c>
      <c r="D420" s="107" t="s">
        <v>999</v>
      </c>
      <c r="E420" s="107" t="s">
        <v>1000</v>
      </c>
      <c r="F420" s="86"/>
      <c r="G420" s="100"/>
      <c r="H420" s="86"/>
      <c r="I420" s="86"/>
      <c r="J420" s="87"/>
    </row>
    <row r="421">
      <c r="A421" s="94" t="s">
        <v>37</v>
      </c>
      <c r="B421" s="110" t="s">
        <v>294</v>
      </c>
      <c r="C421" s="111" t="s">
        <v>517</v>
      </c>
      <c r="D421" s="104" t="s">
        <v>1001</v>
      </c>
      <c r="E421" s="104" t="s">
        <v>1002</v>
      </c>
      <c r="F421" s="94"/>
      <c r="G421" s="98"/>
      <c r="H421" s="94"/>
      <c r="I421" s="94"/>
      <c r="J421" s="87"/>
    </row>
    <row r="422">
      <c r="A422" s="86" t="s">
        <v>37</v>
      </c>
      <c r="B422" s="112" t="s">
        <v>294</v>
      </c>
      <c r="C422" s="113" t="s">
        <v>1003</v>
      </c>
      <c r="D422" s="107" t="s">
        <v>1004</v>
      </c>
      <c r="E422" s="107" t="s">
        <v>1005</v>
      </c>
      <c r="F422" s="86"/>
      <c r="G422" s="100"/>
      <c r="H422" s="86"/>
      <c r="I422" s="86"/>
      <c r="J422" s="87"/>
    </row>
    <row r="423">
      <c r="A423" s="94" t="s">
        <v>37</v>
      </c>
      <c r="B423" s="110" t="s">
        <v>294</v>
      </c>
      <c r="C423" s="111" t="s">
        <v>1006</v>
      </c>
      <c r="D423" s="104" t="s">
        <v>1007</v>
      </c>
      <c r="E423" s="104" t="s">
        <v>1008</v>
      </c>
      <c r="F423" s="94"/>
      <c r="G423" s="98"/>
      <c r="H423" s="94"/>
      <c r="I423" s="94"/>
      <c r="J423" s="87"/>
    </row>
    <row r="424">
      <c r="A424" s="86" t="s">
        <v>37</v>
      </c>
      <c r="B424" s="112" t="s">
        <v>294</v>
      </c>
      <c r="C424" s="113" t="s">
        <v>1009</v>
      </c>
      <c r="D424" s="107" t="s">
        <v>1010</v>
      </c>
      <c r="E424" s="107" t="s">
        <v>1011</v>
      </c>
      <c r="F424" s="86"/>
      <c r="G424" s="100"/>
      <c r="H424" s="86"/>
      <c r="I424" s="86"/>
      <c r="J424" s="87"/>
    </row>
    <row r="425">
      <c r="A425" s="94" t="s">
        <v>37</v>
      </c>
      <c r="B425" s="110" t="s">
        <v>294</v>
      </c>
      <c r="C425" s="111" t="s">
        <v>788</v>
      </c>
      <c r="D425" s="104" t="s">
        <v>1012</v>
      </c>
      <c r="E425" s="104" t="s">
        <v>1013</v>
      </c>
      <c r="F425" s="94"/>
      <c r="G425" s="98"/>
      <c r="H425" s="94"/>
      <c r="I425" s="94"/>
      <c r="J425" s="87"/>
    </row>
    <row r="426">
      <c r="A426" s="86" t="s">
        <v>37</v>
      </c>
      <c r="B426" s="112" t="s">
        <v>294</v>
      </c>
      <c r="C426" s="113" t="s">
        <v>640</v>
      </c>
      <c r="D426" s="107" t="s">
        <v>1014</v>
      </c>
      <c r="E426" s="107" t="s">
        <v>1015</v>
      </c>
      <c r="F426" s="86"/>
      <c r="G426" s="100"/>
      <c r="H426" s="86"/>
      <c r="I426" s="86"/>
      <c r="J426" s="87"/>
    </row>
    <row r="427">
      <c r="A427" s="95" t="s">
        <v>37</v>
      </c>
      <c r="B427" s="96" t="s">
        <v>296</v>
      </c>
      <c r="C427" s="97" t="s">
        <v>703</v>
      </c>
      <c r="D427" s="91" t="s">
        <v>704</v>
      </c>
      <c r="E427" s="91" t="s">
        <v>705</v>
      </c>
      <c r="F427" s="98"/>
      <c r="G427" s="98"/>
      <c r="H427" s="98"/>
      <c r="I427" s="98"/>
      <c r="J427" s="99"/>
    </row>
    <row r="428">
      <c r="A428" s="101" t="s">
        <v>37</v>
      </c>
      <c r="B428" s="102" t="s">
        <v>296</v>
      </c>
      <c r="C428" s="103" t="s">
        <v>706</v>
      </c>
      <c r="D428" s="83" t="s">
        <v>707</v>
      </c>
      <c r="E428" s="83" t="s">
        <v>708</v>
      </c>
      <c r="F428" s="100"/>
      <c r="G428" s="100"/>
      <c r="H428" s="100"/>
      <c r="I428" s="100"/>
      <c r="J428" s="99"/>
    </row>
    <row r="429">
      <c r="A429" s="88" t="s">
        <v>37</v>
      </c>
      <c r="B429" s="89" t="s">
        <v>296</v>
      </c>
      <c r="C429" s="90" t="s">
        <v>709</v>
      </c>
      <c r="D429" s="91" t="s">
        <v>710</v>
      </c>
      <c r="E429" s="91" t="s">
        <v>711</v>
      </c>
      <c r="F429" s="94"/>
      <c r="G429" s="98"/>
      <c r="H429" s="94"/>
      <c r="I429" s="94"/>
      <c r="J429" s="87"/>
    </row>
    <row r="430">
      <c r="A430" s="101" t="s">
        <v>37</v>
      </c>
      <c r="B430" s="102" t="s">
        <v>296</v>
      </c>
      <c r="C430" s="103" t="s">
        <v>712</v>
      </c>
      <c r="D430" s="83" t="s">
        <v>713</v>
      </c>
      <c r="E430" s="83" t="s">
        <v>714</v>
      </c>
      <c r="F430" s="100"/>
      <c r="G430" s="100"/>
      <c r="H430" s="100"/>
      <c r="I430" s="100"/>
      <c r="J430" s="99"/>
    </row>
    <row r="431">
      <c r="A431" s="95" t="s">
        <v>37</v>
      </c>
      <c r="B431" s="96" t="s">
        <v>296</v>
      </c>
      <c r="C431" s="97" t="s">
        <v>715</v>
      </c>
      <c r="D431" s="91" t="s">
        <v>716</v>
      </c>
      <c r="E431" s="91" t="s">
        <v>717</v>
      </c>
      <c r="F431" s="98"/>
      <c r="G431" s="98"/>
      <c r="H431" s="98"/>
      <c r="I431" s="98"/>
      <c r="J431" s="99"/>
    </row>
    <row r="432">
      <c r="A432" s="101" t="s">
        <v>37</v>
      </c>
      <c r="B432" s="102" t="s">
        <v>296</v>
      </c>
      <c r="C432" s="103" t="s">
        <v>718</v>
      </c>
      <c r="D432" s="83" t="s">
        <v>719</v>
      </c>
      <c r="E432" s="83" t="s">
        <v>720</v>
      </c>
      <c r="F432" s="100"/>
      <c r="G432" s="100"/>
      <c r="H432" s="100"/>
      <c r="I432" s="100"/>
      <c r="J432" s="99"/>
    </row>
    <row r="433">
      <c r="A433" s="95" t="s">
        <v>37</v>
      </c>
      <c r="B433" s="96" t="s">
        <v>296</v>
      </c>
      <c r="C433" s="97" t="s">
        <v>721</v>
      </c>
      <c r="D433" s="91" t="s">
        <v>722</v>
      </c>
      <c r="E433" s="91" t="s">
        <v>723</v>
      </c>
      <c r="F433" s="98"/>
      <c r="G433" s="98"/>
      <c r="H433" s="98"/>
      <c r="I433" s="98"/>
      <c r="J433" s="99"/>
    </row>
    <row r="434">
      <c r="A434" s="101" t="s">
        <v>37</v>
      </c>
      <c r="B434" s="102" t="s">
        <v>296</v>
      </c>
      <c r="C434" s="103" t="s">
        <v>525</v>
      </c>
      <c r="D434" s="83" t="s">
        <v>724</v>
      </c>
      <c r="E434" s="83" t="s">
        <v>725</v>
      </c>
      <c r="F434" s="100"/>
      <c r="G434" s="100"/>
      <c r="H434" s="100"/>
      <c r="I434" s="100"/>
      <c r="J434" s="99"/>
    </row>
    <row r="435">
      <c r="A435" s="95" t="s">
        <v>37</v>
      </c>
      <c r="B435" s="96" t="s">
        <v>296</v>
      </c>
      <c r="C435" s="97" t="s">
        <v>726</v>
      </c>
      <c r="D435" s="91" t="s">
        <v>727</v>
      </c>
      <c r="E435" s="91" t="s">
        <v>728</v>
      </c>
      <c r="F435" s="98"/>
      <c r="G435" s="98"/>
      <c r="H435" s="98"/>
      <c r="I435" s="98"/>
      <c r="J435" s="99"/>
    </row>
    <row r="436">
      <c r="A436" s="101" t="s">
        <v>37</v>
      </c>
      <c r="B436" s="102" t="s">
        <v>296</v>
      </c>
      <c r="C436" s="103" t="s">
        <v>729</v>
      </c>
      <c r="D436" s="83" t="s">
        <v>730</v>
      </c>
      <c r="E436" s="83" t="s">
        <v>731</v>
      </c>
      <c r="F436" s="100"/>
      <c r="G436" s="100"/>
      <c r="H436" s="100"/>
      <c r="I436" s="100"/>
      <c r="J436" s="99"/>
    </row>
    <row r="437">
      <c r="A437" s="95" t="s">
        <v>37</v>
      </c>
      <c r="B437" s="96" t="s">
        <v>296</v>
      </c>
      <c r="C437" s="97" t="s">
        <v>531</v>
      </c>
      <c r="D437" s="91" t="s">
        <v>732</v>
      </c>
      <c r="E437" s="91" t="s">
        <v>733</v>
      </c>
      <c r="F437" s="98"/>
      <c r="G437" s="98"/>
      <c r="H437" s="98"/>
      <c r="I437" s="98"/>
      <c r="J437" s="99"/>
    </row>
    <row r="438">
      <c r="A438" s="101" t="s">
        <v>37</v>
      </c>
      <c r="B438" s="102" t="s">
        <v>296</v>
      </c>
      <c r="C438" s="103" t="s">
        <v>734</v>
      </c>
      <c r="D438" s="83" t="s">
        <v>735</v>
      </c>
      <c r="E438" s="83" t="s">
        <v>736</v>
      </c>
      <c r="F438" s="100"/>
      <c r="G438" s="100"/>
      <c r="H438" s="100"/>
      <c r="I438" s="100"/>
      <c r="J438" s="99"/>
    </row>
    <row r="439">
      <c r="A439" s="95" t="s">
        <v>37</v>
      </c>
      <c r="B439" s="96" t="s">
        <v>296</v>
      </c>
      <c r="C439" s="97" t="s">
        <v>737</v>
      </c>
      <c r="D439" s="91" t="s">
        <v>738</v>
      </c>
      <c r="E439" s="91" t="s">
        <v>739</v>
      </c>
      <c r="F439" s="98"/>
      <c r="G439" s="98"/>
      <c r="H439" s="98"/>
      <c r="I439" s="98"/>
      <c r="J439" s="99"/>
    </row>
    <row r="440">
      <c r="A440" s="101" t="s">
        <v>37</v>
      </c>
      <c r="B440" s="114" t="s">
        <v>299</v>
      </c>
      <c r="C440" s="103" t="s">
        <v>575</v>
      </c>
      <c r="D440" s="83" t="s">
        <v>576</v>
      </c>
      <c r="E440" s="83" t="s">
        <v>577</v>
      </c>
      <c r="F440" s="100"/>
      <c r="G440" s="100"/>
      <c r="H440" s="100"/>
      <c r="I440" s="100"/>
      <c r="J440" s="99"/>
    </row>
    <row r="441">
      <c r="A441" s="95" t="s">
        <v>37</v>
      </c>
      <c r="B441" s="115" t="s">
        <v>299</v>
      </c>
      <c r="C441" s="97" t="s">
        <v>579</v>
      </c>
      <c r="D441" s="91" t="s">
        <v>580</v>
      </c>
      <c r="E441" s="91" t="s">
        <v>581</v>
      </c>
      <c r="F441" s="98"/>
      <c r="G441" s="98"/>
      <c r="H441" s="98"/>
      <c r="I441" s="98"/>
      <c r="J441" s="99"/>
    </row>
    <row r="442">
      <c r="A442" s="101" t="s">
        <v>37</v>
      </c>
      <c r="B442" s="114" t="s">
        <v>299</v>
      </c>
      <c r="C442" s="103" t="s">
        <v>583</v>
      </c>
      <c r="D442" s="83" t="s">
        <v>584</v>
      </c>
      <c r="E442" s="83" t="s">
        <v>585</v>
      </c>
      <c r="F442" s="100"/>
      <c r="G442" s="100"/>
      <c r="H442" s="100"/>
      <c r="I442" s="100"/>
      <c r="J442" s="99"/>
    </row>
    <row r="443">
      <c r="A443" s="95" t="s">
        <v>37</v>
      </c>
      <c r="B443" s="115" t="s">
        <v>299</v>
      </c>
      <c r="C443" s="97" t="s">
        <v>586</v>
      </c>
      <c r="D443" s="91" t="s">
        <v>587</v>
      </c>
      <c r="E443" s="91" t="s">
        <v>588</v>
      </c>
      <c r="F443" s="98"/>
      <c r="G443" s="98"/>
      <c r="H443" s="98"/>
      <c r="I443" s="98"/>
      <c r="J443" s="99"/>
    </row>
    <row r="444">
      <c r="A444" s="101" t="s">
        <v>37</v>
      </c>
      <c r="B444" s="114" t="s">
        <v>299</v>
      </c>
      <c r="C444" s="103" t="s">
        <v>589</v>
      </c>
      <c r="D444" s="83" t="s">
        <v>590</v>
      </c>
      <c r="E444" s="83" t="s">
        <v>591</v>
      </c>
      <c r="F444" s="100"/>
      <c r="G444" s="100"/>
      <c r="H444" s="100"/>
      <c r="I444" s="100"/>
      <c r="J444" s="99"/>
    </row>
    <row r="445">
      <c r="A445" s="95" t="s">
        <v>37</v>
      </c>
      <c r="B445" s="115" t="s">
        <v>299</v>
      </c>
      <c r="C445" s="97" t="s">
        <v>592</v>
      </c>
      <c r="D445" s="91" t="s">
        <v>593</v>
      </c>
      <c r="E445" s="91" t="s">
        <v>594</v>
      </c>
      <c r="F445" s="98"/>
      <c r="G445" s="98"/>
      <c r="H445" s="98"/>
      <c r="I445" s="98"/>
      <c r="J445" s="99"/>
    </row>
    <row r="446">
      <c r="A446" s="101" t="s">
        <v>37</v>
      </c>
      <c r="B446" s="114" t="s">
        <v>299</v>
      </c>
      <c r="C446" s="103" t="s">
        <v>595</v>
      </c>
      <c r="D446" s="83" t="s">
        <v>596</v>
      </c>
      <c r="E446" s="83" t="s">
        <v>597</v>
      </c>
      <c r="F446" s="100"/>
      <c r="G446" s="100"/>
      <c r="H446" s="100"/>
      <c r="I446" s="100"/>
      <c r="J446" s="99"/>
    </row>
    <row r="447">
      <c r="A447" s="95" t="s">
        <v>37</v>
      </c>
      <c r="B447" s="115" t="s">
        <v>299</v>
      </c>
      <c r="C447" s="97" t="s">
        <v>598</v>
      </c>
      <c r="D447" s="91" t="s">
        <v>599</v>
      </c>
      <c r="E447" s="91" t="s">
        <v>600</v>
      </c>
      <c r="F447" s="98"/>
      <c r="G447" s="98"/>
      <c r="H447" s="98"/>
      <c r="I447" s="98"/>
      <c r="J447" s="99"/>
    </row>
    <row r="448">
      <c r="A448" s="101" t="s">
        <v>37</v>
      </c>
      <c r="B448" s="114" t="s">
        <v>299</v>
      </c>
      <c r="C448" s="103" t="s">
        <v>601</v>
      </c>
      <c r="D448" s="83" t="s">
        <v>602</v>
      </c>
      <c r="E448" s="83" t="s">
        <v>603</v>
      </c>
      <c r="F448" s="100"/>
      <c r="G448" s="100"/>
      <c r="H448" s="100"/>
      <c r="I448" s="100"/>
      <c r="J448" s="99"/>
    </row>
    <row r="449">
      <c r="A449" s="88" t="s">
        <v>37</v>
      </c>
      <c r="B449" s="116" t="s">
        <v>299</v>
      </c>
      <c r="C449" s="90" t="s">
        <v>604</v>
      </c>
      <c r="D449" s="91" t="s">
        <v>605</v>
      </c>
      <c r="E449" s="91" t="s">
        <v>606</v>
      </c>
      <c r="F449" s="94"/>
      <c r="G449" s="98"/>
      <c r="H449" s="94"/>
      <c r="I449" s="94"/>
      <c r="J449" s="87"/>
    </row>
    <row r="450">
      <c r="A450" s="101" t="s">
        <v>37</v>
      </c>
      <c r="B450" s="114" t="s">
        <v>299</v>
      </c>
      <c r="C450" s="103" t="s">
        <v>546</v>
      </c>
      <c r="D450" s="83" t="s">
        <v>607</v>
      </c>
      <c r="E450" s="83" t="s">
        <v>608</v>
      </c>
      <c r="F450" s="100"/>
      <c r="G450" s="100"/>
      <c r="H450" s="100"/>
      <c r="I450" s="100"/>
      <c r="J450" s="99"/>
    </row>
    <row r="451">
      <c r="A451" s="88" t="s">
        <v>37</v>
      </c>
      <c r="B451" s="116" t="s">
        <v>299</v>
      </c>
      <c r="C451" s="90" t="s">
        <v>549</v>
      </c>
      <c r="D451" s="91" t="s">
        <v>609</v>
      </c>
      <c r="E451" s="91" t="s">
        <v>610</v>
      </c>
      <c r="F451" s="94"/>
      <c r="G451" s="98"/>
      <c r="H451" s="94"/>
      <c r="I451" s="94"/>
      <c r="J451" s="87"/>
    </row>
    <row r="452">
      <c r="A452" s="80" t="s">
        <v>37</v>
      </c>
      <c r="B452" s="117" t="s">
        <v>299</v>
      </c>
      <c r="C452" s="82" t="s">
        <v>551</v>
      </c>
      <c r="D452" s="83" t="s">
        <v>611</v>
      </c>
      <c r="E452" s="83" t="s">
        <v>612</v>
      </c>
      <c r="F452" s="86"/>
      <c r="G452" s="100"/>
      <c r="H452" s="86"/>
      <c r="I452" s="86"/>
      <c r="J452" s="87"/>
    </row>
    <row r="453">
      <c r="A453" s="88" t="s">
        <v>37</v>
      </c>
      <c r="B453" s="116" t="s">
        <v>299</v>
      </c>
      <c r="C453" s="90" t="s">
        <v>553</v>
      </c>
      <c r="D453" s="91" t="s">
        <v>613</v>
      </c>
      <c r="E453" s="91" t="s">
        <v>614</v>
      </c>
      <c r="F453" s="94"/>
      <c r="G453" s="98"/>
      <c r="H453" s="94"/>
      <c r="I453" s="94"/>
      <c r="J453" s="87"/>
    </row>
    <row r="454">
      <c r="A454" s="80" t="s">
        <v>37</v>
      </c>
      <c r="B454" s="117" t="s">
        <v>299</v>
      </c>
      <c r="C454" s="82" t="s">
        <v>555</v>
      </c>
      <c r="D454" s="83" t="s">
        <v>615</v>
      </c>
      <c r="E454" s="83" t="s">
        <v>616</v>
      </c>
      <c r="F454" s="86"/>
      <c r="G454" s="100"/>
      <c r="H454" s="86"/>
      <c r="I454" s="86"/>
      <c r="J454" s="87"/>
    </row>
    <row r="455">
      <c r="A455" s="88" t="s">
        <v>37</v>
      </c>
      <c r="B455" s="116" t="s">
        <v>299</v>
      </c>
      <c r="C455" s="90" t="s">
        <v>557</v>
      </c>
      <c r="D455" s="91" t="s">
        <v>617</v>
      </c>
      <c r="E455" s="91" t="s">
        <v>610</v>
      </c>
      <c r="F455" s="94"/>
      <c r="G455" s="98"/>
      <c r="H455" s="94"/>
      <c r="I455" s="94"/>
      <c r="J455" s="87"/>
    </row>
    <row r="456">
      <c r="A456" s="80" t="s">
        <v>37</v>
      </c>
      <c r="B456" s="117" t="s">
        <v>299</v>
      </c>
      <c r="C456" s="82" t="s">
        <v>618</v>
      </c>
      <c r="D456" s="83" t="s">
        <v>619</v>
      </c>
      <c r="E456" s="83" t="s">
        <v>612</v>
      </c>
      <c r="F456" s="86"/>
      <c r="G456" s="100"/>
      <c r="H456" s="86"/>
      <c r="I456" s="86"/>
      <c r="J456" s="87"/>
    </row>
    <row r="457">
      <c r="A457" s="88" t="s">
        <v>37</v>
      </c>
      <c r="B457" s="116" t="s">
        <v>299</v>
      </c>
      <c r="C457" s="90" t="s">
        <v>561</v>
      </c>
      <c r="D457" s="91" t="s">
        <v>620</v>
      </c>
      <c r="E457" s="91" t="s">
        <v>621</v>
      </c>
      <c r="F457" s="94"/>
      <c r="G457" s="98"/>
      <c r="H457" s="94"/>
      <c r="I457" s="94"/>
      <c r="J457" s="87"/>
    </row>
    <row r="458">
      <c r="A458" s="80" t="s">
        <v>37</v>
      </c>
      <c r="B458" s="117" t="s">
        <v>299</v>
      </c>
      <c r="C458" s="82" t="s">
        <v>622</v>
      </c>
      <c r="D458" s="83" t="s">
        <v>623</v>
      </c>
      <c r="E458" s="83" t="s">
        <v>624</v>
      </c>
      <c r="F458" s="86"/>
      <c r="G458" s="100"/>
      <c r="H458" s="86"/>
      <c r="I458" s="86"/>
      <c r="J458" s="87"/>
    </row>
    <row r="459">
      <c r="A459" s="95" t="s">
        <v>37</v>
      </c>
      <c r="B459" s="115" t="s">
        <v>299</v>
      </c>
      <c r="C459" s="97" t="s">
        <v>625</v>
      </c>
      <c r="D459" s="91" t="s">
        <v>626</v>
      </c>
      <c r="E459" s="91" t="s">
        <v>627</v>
      </c>
      <c r="F459" s="98"/>
      <c r="G459" s="98"/>
      <c r="H459" s="98"/>
      <c r="I459" s="98"/>
      <c r="J459" s="99"/>
    </row>
    <row r="460">
      <c r="A460" s="101" t="s">
        <v>37</v>
      </c>
      <c r="B460" s="114" t="s">
        <v>299</v>
      </c>
      <c r="C460" s="103" t="s">
        <v>628</v>
      </c>
      <c r="D460" s="83" t="s">
        <v>629</v>
      </c>
      <c r="E460" s="83" t="s">
        <v>630</v>
      </c>
      <c r="F460" s="100"/>
      <c r="G460" s="100"/>
      <c r="H460" s="100"/>
      <c r="I460" s="100"/>
      <c r="J460" s="99"/>
    </row>
    <row r="461">
      <c r="A461" s="95" t="s">
        <v>37</v>
      </c>
      <c r="B461" s="115" t="s">
        <v>299</v>
      </c>
      <c r="C461" s="97" t="s">
        <v>631</v>
      </c>
      <c r="D461" s="91" t="s">
        <v>632</v>
      </c>
      <c r="E461" s="91" t="s">
        <v>633</v>
      </c>
      <c r="F461" s="98"/>
      <c r="G461" s="98"/>
      <c r="H461" s="98"/>
      <c r="I461" s="98"/>
      <c r="J461" s="99"/>
    </row>
    <row r="462">
      <c r="A462" s="80" t="s">
        <v>37</v>
      </c>
      <c r="B462" s="117" t="s">
        <v>299</v>
      </c>
      <c r="C462" s="82" t="s">
        <v>634</v>
      </c>
      <c r="D462" s="83" t="s">
        <v>635</v>
      </c>
      <c r="E462" s="83" t="s">
        <v>636</v>
      </c>
      <c r="F462" s="86"/>
      <c r="G462" s="100"/>
      <c r="H462" s="86"/>
      <c r="I462" s="86"/>
      <c r="J462" s="87"/>
    </row>
    <row r="463">
      <c r="A463" s="88" t="s">
        <v>37</v>
      </c>
      <c r="B463" s="116" t="s">
        <v>299</v>
      </c>
      <c r="C463" s="90" t="s">
        <v>637</v>
      </c>
      <c r="D463" s="91" t="s">
        <v>638</v>
      </c>
      <c r="E463" s="91" t="s">
        <v>639</v>
      </c>
      <c r="F463" s="94"/>
      <c r="G463" s="98"/>
      <c r="H463" s="94"/>
      <c r="I463" s="94"/>
      <c r="J463" s="87"/>
    </row>
    <row r="464">
      <c r="A464" s="101" t="s">
        <v>37</v>
      </c>
      <c r="B464" s="114" t="s">
        <v>299</v>
      </c>
      <c r="C464" s="103" t="s">
        <v>640</v>
      </c>
      <c r="D464" s="83" t="s">
        <v>641</v>
      </c>
      <c r="E464" s="83" t="s">
        <v>642</v>
      </c>
      <c r="F464" s="100"/>
      <c r="G464" s="100"/>
      <c r="H464" s="100"/>
      <c r="I464" s="100"/>
      <c r="J464" s="99"/>
    </row>
    <row r="465">
      <c r="A465" s="95" t="s">
        <v>37</v>
      </c>
      <c r="B465" s="115" t="s">
        <v>299</v>
      </c>
      <c r="C465" s="97" t="s">
        <v>531</v>
      </c>
      <c r="D465" s="91" t="s">
        <v>643</v>
      </c>
      <c r="E465" s="91" t="s">
        <v>644</v>
      </c>
      <c r="F465" s="98"/>
      <c r="G465" s="98"/>
      <c r="H465" s="98"/>
      <c r="I465" s="98"/>
      <c r="J465" s="99"/>
    </row>
    <row r="466">
      <c r="A466" s="101" t="s">
        <v>37</v>
      </c>
      <c r="B466" s="114" t="s">
        <v>299</v>
      </c>
      <c r="C466" s="103" t="s">
        <v>533</v>
      </c>
      <c r="D466" s="83" t="s">
        <v>645</v>
      </c>
      <c r="E466" s="83" t="s">
        <v>646</v>
      </c>
      <c r="F466" s="100"/>
      <c r="G466" s="100"/>
      <c r="H466" s="100"/>
      <c r="I466" s="100"/>
      <c r="J466" s="99"/>
    </row>
    <row r="467">
      <c r="A467" s="95" t="s">
        <v>37</v>
      </c>
      <c r="B467" s="115" t="s">
        <v>299</v>
      </c>
      <c r="C467" s="97" t="s">
        <v>535</v>
      </c>
      <c r="D467" s="91" t="s">
        <v>647</v>
      </c>
      <c r="E467" s="91" t="s">
        <v>648</v>
      </c>
      <c r="F467" s="98"/>
      <c r="G467" s="98"/>
      <c r="H467" s="98"/>
      <c r="I467" s="98"/>
      <c r="J467" s="99"/>
    </row>
    <row r="468">
      <c r="A468" s="80" t="s">
        <v>37</v>
      </c>
      <c r="B468" s="117" t="s">
        <v>299</v>
      </c>
      <c r="C468" s="82" t="s">
        <v>649</v>
      </c>
      <c r="D468" s="83" t="s">
        <v>650</v>
      </c>
      <c r="E468" s="83" t="s">
        <v>651</v>
      </c>
      <c r="F468" s="86"/>
      <c r="G468" s="100"/>
      <c r="H468" s="86"/>
      <c r="I468" s="86"/>
      <c r="J468" s="87"/>
    </row>
    <row r="469">
      <c r="A469" s="88" t="s">
        <v>37</v>
      </c>
      <c r="B469" s="116" t="s">
        <v>299</v>
      </c>
      <c r="C469" s="97" t="s">
        <v>652</v>
      </c>
      <c r="D469" s="91" t="s">
        <v>653</v>
      </c>
      <c r="E469" s="104" t="s">
        <v>654</v>
      </c>
      <c r="F469" s="94"/>
      <c r="G469" s="98"/>
      <c r="H469" s="94"/>
      <c r="I469" s="94"/>
      <c r="J469" s="87"/>
    </row>
    <row r="470">
      <c r="A470" s="101" t="s">
        <v>37</v>
      </c>
      <c r="B470" s="114" t="s">
        <v>299</v>
      </c>
      <c r="C470" s="103" t="s">
        <v>655</v>
      </c>
      <c r="D470" s="83" t="s">
        <v>656</v>
      </c>
      <c r="E470" s="83" t="s">
        <v>657</v>
      </c>
      <c r="F470" s="100"/>
      <c r="G470" s="100"/>
      <c r="H470" s="100"/>
      <c r="I470" s="100"/>
      <c r="J470" s="99"/>
    </row>
    <row r="471">
      <c r="A471" s="95" t="s">
        <v>37</v>
      </c>
      <c r="B471" s="115" t="s">
        <v>299</v>
      </c>
      <c r="C471" s="97" t="s">
        <v>658</v>
      </c>
      <c r="D471" s="91" t="s">
        <v>659</v>
      </c>
      <c r="E471" s="91" t="s">
        <v>660</v>
      </c>
      <c r="F471" s="98"/>
      <c r="G471" s="98"/>
      <c r="H471" s="98"/>
      <c r="I471" s="98"/>
      <c r="J471" s="99"/>
    </row>
    <row r="472">
      <c r="A472" s="101" t="s">
        <v>37</v>
      </c>
      <c r="B472" s="114" t="s">
        <v>299</v>
      </c>
      <c r="C472" s="103" t="s">
        <v>661</v>
      </c>
      <c r="D472" s="83" t="s">
        <v>662</v>
      </c>
      <c r="E472" s="83" t="s">
        <v>663</v>
      </c>
      <c r="F472" s="100"/>
      <c r="G472" s="100"/>
      <c r="H472" s="100"/>
      <c r="I472" s="100"/>
      <c r="J472" s="99"/>
    </row>
    <row r="473">
      <c r="A473" s="94" t="s">
        <v>37</v>
      </c>
      <c r="B473" s="110" t="s">
        <v>304</v>
      </c>
      <c r="C473" s="111" t="s">
        <v>709</v>
      </c>
      <c r="D473" s="104" t="s">
        <v>1017</v>
      </c>
      <c r="E473" s="104" t="s">
        <v>1049</v>
      </c>
      <c r="F473" s="94"/>
      <c r="G473" s="98"/>
      <c r="H473" s="94"/>
      <c r="I473" s="94"/>
      <c r="J473" s="87"/>
    </row>
    <row r="474">
      <c r="A474" s="86" t="s">
        <v>37</v>
      </c>
      <c r="B474" s="112" t="s">
        <v>304</v>
      </c>
      <c r="C474" s="113" t="s">
        <v>512</v>
      </c>
      <c r="D474" s="107" t="s">
        <v>1050</v>
      </c>
      <c r="E474" s="107" t="s">
        <v>1051</v>
      </c>
      <c r="F474" s="86"/>
      <c r="G474" s="100"/>
      <c r="H474" s="86"/>
      <c r="I474" s="86"/>
      <c r="J474" s="87"/>
    </row>
    <row r="475">
      <c r="A475" s="94" t="s">
        <v>37</v>
      </c>
      <c r="B475" s="110" t="s">
        <v>304</v>
      </c>
      <c r="C475" s="111" t="s">
        <v>515</v>
      </c>
      <c r="D475" s="104" t="s">
        <v>1021</v>
      </c>
      <c r="E475" s="104" t="s">
        <v>1051</v>
      </c>
      <c r="F475" s="94"/>
      <c r="G475" s="98"/>
      <c r="H475" s="94"/>
      <c r="I475" s="94"/>
      <c r="J475" s="87"/>
    </row>
    <row r="476">
      <c r="A476" s="86" t="s">
        <v>37</v>
      </c>
      <c r="B476" s="112" t="s">
        <v>304</v>
      </c>
      <c r="C476" s="113" t="s">
        <v>517</v>
      </c>
      <c r="D476" s="107" t="s">
        <v>1052</v>
      </c>
      <c r="E476" s="107" t="s">
        <v>1053</v>
      </c>
      <c r="F476" s="86"/>
      <c r="G476" s="100"/>
      <c r="H476" s="86"/>
      <c r="I476" s="86"/>
      <c r="J476" s="87"/>
    </row>
    <row r="477">
      <c r="A477" s="94" t="s">
        <v>37</v>
      </c>
      <c r="B477" s="110" t="s">
        <v>304</v>
      </c>
      <c r="C477" s="111" t="s">
        <v>519</v>
      </c>
      <c r="D477" s="104" t="s">
        <v>1054</v>
      </c>
      <c r="E477" s="104" t="s">
        <v>1053</v>
      </c>
      <c r="F477" s="94"/>
      <c r="G477" s="98"/>
      <c r="H477" s="94"/>
      <c r="I477" s="94"/>
      <c r="J477" s="87"/>
    </row>
    <row r="478">
      <c r="A478" s="86" t="s">
        <v>37</v>
      </c>
      <c r="B478" s="112" t="s">
        <v>304</v>
      </c>
      <c r="C478" s="113" t="s">
        <v>1024</v>
      </c>
      <c r="D478" s="107" t="s">
        <v>1055</v>
      </c>
      <c r="E478" s="107" t="s">
        <v>1053</v>
      </c>
      <c r="F478" s="86"/>
      <c r="G478" s="100"/>
      <c r="H478" s="86"/>
      <c r="I478" s="86"/>
      <c r="J478" s="87"/>
    </row>
    <row r="479">
      <c r="A479" s="94" t="s">
        <v>37</v>
      </c>
      <c r="B479" s="110" t="s">
        <v>304</v>
      </c>
      <c r="C479" s="111" t="s">
        <v>721</v>
      </c>
      <c r="D479" s="104" t="s">
        <v>1056</v>
      </c>
      <c r="E479" s="104" t="s">
        <v>1057</v>
      </c>
      <c r="F479" s="94"/>
      <c r="G479" s="98"/>
      <c r="H479" s="94"/>
      <c r="I479" s="94"/>
      <c r="J479" s="87"/>
    </row>
    <row r="480">
      <c r="A480" s="86" t="s">
        <v>37</v>
      </c>
      <c r="B480" s="112" t="s">
        <v>304</v>
      </c>
      <c r="C480" s="113" t="s">
        <v>1058</v>
      </c>
      <c r="D480" s="107" t="s">
        <v>1059</v>
      </c>
      <c r="E480" s="107" t="s">
        <v>1060</v>
      </c>
      <c r="F480" s="86"/>
      <c r="G480" s="100"/>
      <c r="H480" s="86"/>
      <c r="I480" s="86"/>
      <c r="J480" s="87"/>
    </row>
    <row r="481">
      <c r="A481" s="94" t="s">
        <v>37</v>
      </c>
      <c r="B481" s="110" t="s">
        <v>304</v>
      </c>
      <c r="C481" s="111" t="s">
        <v>726</v>
      </c>
      <c r="D481" s="104" t="s">
        <v>1061</v>
      </c>
      <c r="E481" s="104" t="s">
        <v>1062</v>
      </c>
      <c r="F481" s="94"/>
      <c r="G481" s="98"/>
      <c r="H481" s="94"/>
      <c r="I481" s="94"/>
      <c r="J481" s="87"/>
    </row>
    <row r="482">
      <c r="A482" s="86" t="s">
        <v>37</v>
      </c>
      <c r="B482" s="112" t="s">
        <v>304</v>
      </c>
      <c r="C482" s="113" t="s">
        <v>1063</v>
      </c>
      <c r="D482" s="107" t="s">
        <v>1035</v>
      </c>
      <c r="E482" s="107" t="s">
        <v>1064</v>
      </c>
      <c r="F482" s="86"/>
      <c r="G482" s="100"/>
      <c r="H482" s="86"/>
      <c r="I482" s="86"/>
      <c r="J482" s="87"/>
    </row>
    <row r="483">
      <c r="A483" s="94" t="s">
        <v>37</v>
      </c>
      <c r="B483" s="110" t="s">
        <v>304</v>
      </c>
      <c r="C483" s="111" t="s">
        <v>531</v>
      </c>
      <c r="D483" s="104" t="s">
        <v>1065</v>
      </c>
      <c r="E483" s="104" t="s">
        <v>1066</v>
      </c>
      <c r="F483" s="94"/>
      <c r="G483" s="98"/>
      <c r="H483" s="94"/>
      <c r="I483" s="94"/>
      <c r="J483" s="87"/>
    </row>
    <row r="484">
      <c r="A484" s="86" t="s">
        <v>37</v>
      </c>
      <c r="B484" s="112" t="s">
        <v>304</v>
      </c>
      <c r="C484" s="113" t="s">
        <v>533</v>
      </c>
      <c r="D484" s="107" t="s">
        <v>1067</v>
      </c>
      <c r="E484" s="107" t="s">
        <v>1068</v>
      </c>
      <c r="F484" s="86"/>
      <c r="G484" s="100"/>
      <c r="H484" s="86"/>
      <c r="I484" s="86"/>
      <c r="J484" s="87"/>
    </row>
    <row r="485">
      <c r="A485" s="94" t="s">
        <v>37</v>
      </c>
      <c r="B485" s="110" t="s">
        <v>304</v>
      </c>
      <c r="C485" s="111" t="s">
        <v>535</v>
      </c>
      <c r="D485" s="104" t="s">
        <v>1069</v>
      </c>
      <c r="E485" s="104" t="s">
        <v>1070</v>
      </c>
      <c r="F485" s="94"/>
      <c r="G485" s="98"/>
      <c r="H485" s="94"/>
      <c r="I485" s="94"/>
      <c r="J485" s="87"/>
    </row>
    <row r="486">
      <c r="A486" s="86" t="s">
        <v>37</v>
      </c>
      <c r="B486" s="112" t="s">
        <v>304</v>
      </c>
      <c r="C486" s="113" t="s">
        <v>734</v>
      </c>
      <c r="D486" s="107" t="s">
        <v>1071</v>
      </c>
      <c r="E486" s="107" t="s">
        <v>1072</v>
      </c>
      <c r="F486" s="86"/>
      <c r="G486" s="100"/>
      <c r="H486" s="86"/>
      <c r="I486" s="86"/>
      <c r="J486" s="87"/>
    </row>
    <row r="487">
      <c r="A487" s="94" t="s">
        <v>37</v>
      </c>
      <c r="B487" s="110" t="s">
        <v>304</v>
      </c>
      <c r="C487" s="111" t="s">
        <v>737</v>
      </c>
      <c r="D487" s="104" t="s">
        <v>1073</v>
      </c>
      <c r="E487" s="104" t="s">
        <v>1074</v>
      </c>
      <c r="F487" s="94"/>
      <c r="G487" s="98"/>
      <c r="H487" s="94"/>
      <c r="I487" s="94"/>
      <c r="J487" s="87"/>
    </row>
    <row r="488">
      <c r="A488" s="84" t="s">
        <v>20</v>
      </c>
      <c r="B488" s="117">
        <v>4000.0</v>
      </c>
      <c r="C488" s="118" t="s">
        <v>1141</v>
      </c>
      <c r="D488" s="119" t="s">
        <v>1142</v>
      </c>
      <c r="E488" s="119" t="s">
        <v>1143</v>
      </c>
      <c r="F488" s="86"/>
      <c r="G488" s="100"/>
      <c r="H488" s="86"/>
      <c r="I488" s="86"/>
      <c r="J488" s="87"/>
    </row>
    <row r="489">
      <c r="A489" s="92" t="s">
        <v>20</v>
      </c>
      <c r="B489" s="116">
        <v>4000.0</v>
      </c>
      <c r="C489" s="120" t="s">
        <v>1144</v>
      </c>
      <c r="D489" s="121" t="s">
        <v>1145</v>
      </c>
      <c r="E489" s="121" t="s">
        <v>1146</v>
      </c>
      <c r="F489" s="94"/>
      <c r="G489" s="98"/>
      <c r="H489" s="94"/>
      <c r="I489" s="94"/>
      <c r="J489" s="87"/>
    </row>
    <row r="490">
      <c r="A490" s="84" t="s">
        <v>20</v>
      </c>
      <c r="B490" s="117">
        <v>4000.0</v>
      </c>
      <c r="C490" s="118" t="s">
        <v>1147</v>
      </c>
      <c r="D490" s="119" t="s">
        <v>1148</v>
      </c>
      <c r="E490" s="119" t="s">
        <v>1149</v>
      </c>
      <c r="F490" s="86"/>
      <c r="G490" s="100"/>
      <c r="H490" s="86"/>
      <c r="I490" s="86"/>
      <c r="J490" s="87"/>
    </row>
    <row r="491">
      <c r="A491" s="92" t="s">
        <v>20</v>
      </c>
      <c r="B491" s="116">
        <v>4000.0</v>
      </c>
      <c r="C491" s="120" t="s">
        <v>1150</v>
      </c>
      <c r="D491" s="121" t="s">
        <v>1151</v>
      </c>
      <c r="E491" s="121" t="s">
        <v>1152</v>
      </c>
      <c r="F491" s="94"/>
      <c r="G491" s="98"/>
      <c r="H491" s="94"/>
      <c r="I491" s="94"/>
      <c r="J491" s="87"/>
    </row>
    <row r="492">
      <c r="A492" s="84" t="s">
        <v>20</v>
      </c>
      <c r="B492" s="117">
        <v>4000.0</v>
      </c>
      <c r="C492" s="118" t="s">
        <v>1153</v>
      </c>
      <c r="D492" s="119" t="s">
        <v>1154</v>
      </c>
      <c r="E492" s="119" t="s">
        <v>1155</v>
      </c>
      <c r="F492" s="86"/>
      <c r="G492" s="100"/>
      <c r="H492" s="86"/>
      <c r="I492" s="86"/>
      <c r="J492" s="87"/>
    </row>
    <row r="493">
      <c r="A493" s="92" t="s">
        <v>20</v>
      </c>
      <c r="B493" s="116">
        <v>4000.0</v>
      </c>
      <c r="C493" s="120" t="s">
        <v>1156</v>
      </c>
      <c r="D493" s="121" t="s">
        <v>1157</v>
      </c>
      <c r="E493" s="121" t="s">
        <v>1158</v>
      </c>
      <c r="F493" s="94"/>
      <c r="G493" s="98"/>
      <c r="H493" s="94"/>
      <c r="I493" s="94"/>
      <c r="J493" s="87"/>
    </row>
    <row r="494">
      <c r="A494" s="84" t="s">
        <v>20</v>
      </c>
      <c r="B494" s="117">
        <v>4000.0</v>
      </c>
      <c r="C494" s="118" t="s">
        <v>1159</v>
      </c>
      <c r="D494" s="119" t="s">
        <v>1160</v>
      </c>
      <c r="E494" s="119" t="s">
        <v>1161</v>
      </c>
      <c r="F494" s="86"/>
      <c r="G494" s="100"/>
      <c r="H494" s="86"/>
      <c r="I494" s="86"/>
      <c r="J494" s="87"/>
    </row>
    <row r="495">
      <c r="A495" s="92" t="s">
        <v>20</v>
      </c>
      <c r="B495" s="116">
        <v>4000.0</v>
      </c>
      <c r="C495" s="120" t="s">
        <v>1162</v>
      </c>
      <c r="D495" s="121" t="s">
        <v>1163</v>
      </c>
      <c r="E495" s="121" t="s">
        <v>1164</v>
      </c>
      <c r="F495" s="94"/>
      <c r="G495" s="98"/>
      <c r="H495" s="94"/>
      <c r="I495" s="94"/>
      <c r="J495" s="87"/>
    </row>
    <row r="496">
      <c r="A496" s="84" t="s">
        <v>20</v>
      </c>
      <c r="B496" s="117">
        <v>4000.0</v>
      </c>
      <c r="C496" s="118" t="s">
        <v>1165</v>
      </c>
      <c r="D496" s="119" t="s">
        <v>1166</v>
      </c>
      <c r="E496" s="119" t="s">
        <v>1167</v>
      </c>
      <c r="F496" s="86"/>
      <c r="G496" s="100"/>
      <c r="H496" s="86"/>
      <c r="I496" s="86"/>
      <c r="J496" s="87"/>
    </row>
    <row r="497">
      <c r="A497" s="92" t="s">
        <v>20</v>
      </c>
      <c r="B497" s="116">
        <v>4000.0</v>
      </c>
      <c r="C497" s="122">
        <v>10.0</v>
      </c>
      <c r="D497" s="121" t="s">
        <v>1168</v>
      </c>
      <c r="E497" s="121" t="s">
        <v>1169</v>
      </c>
      <c r="F497" s="94"/>
      <c r="G497" s="98"/>
      <c r="H497" s="94"/>
      <c r="I497" s="94"/>
      <c r="J497" s="87"/>
    </row>
    <row r="498">
      <c r="A498" s="84" t="s">
        <v>20</v>
      </c>
      <c r="B498" s="117">
        <v>4000.0</v>
      </c>
      <c r="C498" s="123">
        <v>11.0</v>
      </c>
      <c r="D498" s="119" t="s">
        <v>1170</v>
      </c>
      <c r="E498" s="119" t="s">
        <v>1169</v>
      </c>
      <c r="F498" s="86"/>
      <c r="G498" s="100"/>
      <c r="H498" s="86"/>
      <c r="I498" s="86"/>
      <c r="J498" s="87"/>
    </row>
    <row r="499">
      <c r="A499" s="92" t="s">
        <v>20</v>
      </c>
      <c r="B499" s="116">
        <v>4000.0</v>
      </c>
      <c r="C499" s="122">
        <v>12.0</v>
      </c>
      <c r="D499" s="121" t="s">
        <v>1171</v>
      </c>
      <c r="E499" s="121" t="s">
        <v>1172</v>
      </c>
      <c r="F499" s="94"/>
      <c r="G499" s="98"/>
      <c r="H499" s="94"/>
      <c r="I499" s="94"/>
      <c r="J499" s="87"/>
    </row>
    <row r="500">
      <c r="A500" s="84" t="s">
        <v>20</v>
      </c>
      <c r="B500" s="117">
        <v>4000.0</v>
      </c>
      <c r="C500" s="123">
        <v>13.0</v>
      </c>
      <c r="D500" s="119" t="s">
        <v>1173</v>
      </c>
      <c r="E500" s="119" t="s">
        <v>1174</v>
      </c>
      <c r="F500" s="86"/>
      <c r="G500" s="100"/>
      <c r="H500" s="86"/>
      <c r="I500" s="86"/>
      <c r="J500" s="87"/>
    </row>
    <row r="501">
      <c r="A501" s="93" t="s">
        <v>20</v>
      </c>
      <c r="B501" s="115" t="s">
        <v>31</v>
      </c>
      <c r="C501" s="124">
        <v>1.0</v>
      </c>
      <c r="D501" s="121" t="s">
        <v>1175</v>
      </c>
      <c r="E501" s="121" t="s">
        <v>1176</v>
      </c>
      <c r="F501" s="98"/>
      <c r="G501" s="98"/>
      <c r="H501" s="98" t="str">
        <f>IMAGE("https://drive.google.com/uc?export=view&amp;id=1ml_l4VhfqmQODWuTgDVXPWgaHWgo9JUl")</f>
        <v/>
      </c>
      <c r="I501" s="98"/>
      <c r="J501" s="99"/>
    </row>
    <row r="502">
      <c r="A502" s="85" t="s">
        <v>20</v>
      </c>
      <c r="B502" s="114" t="s">
        <v>31</v>
      </c>
      <c r="C502" s="125">
        <v>2.0</v>
      </c>
      <c r="D502" s="119" t="s">
        <v>1177</v>
      </c>
      <c r="E502" s="119" t="s">
        <v>1178</v>
      </c>
      <c r="F502" s="100"/>
      <c r="G502" s="100"/>
      <c r="H502" s="100" t="str">
        <f>IMAGE("https://drive.google.com/uc?export=view&amp;id=1sImEFNDDoeRXD0TxGzZWUj26F2nmiOhC") </f>
        <v/>
      </c>
      <c r="I502" s="100"/>
      <c r="J502" s="99"/>
    </row>
    <row r="503">
      <c r="A503" s="93" t="s">
        <v>20</v>
      </c>
      <c r="B503" s="115" t="s">
        <v>31</v>
      </c>
      <c r="C503" s="124">
        <v>3.0</v>
      </c>
      <c r="D503" s="121" t="s">
        <v>1179</v>
      </c>
      <c r="E503" s="121" t="s">
        <v>1180</v>
      </c>
      <c r="F503" s="98"/>
      <c r="G503" s="98"/>
      <c r="H503" s="98" t="str">
        <f>IMAGE("https://drive.google.com/uc?export=view&amp;id=1sb6F7SW8LP6eg3lcZv6eyqyE5DoUdEQr")</f>
        <v/>
      </c>
      <c r="I503" s="98"/>
      <c r="J503" s="99"/>
    </row>
    <row r="504">
      <c r="A504" s="85" t="s">
        <v>20</v>
      </c>
      <c r="B504" s="114" t="s">
        <v>31</v>
      </c>
      <c r="C504" s="125">
        <v>4.0</v>
      </c>
      <c r="D504" s="119" t="s">
        <v>1181</v>
      </c>
      <c r="E504" s="119" t="s">
        <v>1182</v>
      </c>
      <c r="F504" s="100"/>
      <c r="G504" s="100"/>
      <c r="H504" s="100" t="str">
        <f>IMAGE("https://drive.google.com/uc?export=view&amp;id=1hzMvjtk6mQFkNP6uDQvUJP1m4iwpMOJB")</f>
        <v/>
      </c>
      <c r="I504" s="100"/>
      <c r="J504" s="99"/>
    </row>
    <row r="505">
      <c r="A505" s="93" t="s">
        <v>20</v>
      </c>
      <c r="B505" s="115" t="s">
        <v>31</v>
      </c>
      <c r="C505" s="124">
        <v>7.0</v>
      </c>
      <c r="D505" s="121" t="s">
        <v>1183</v>
      </c>
      <c r="E505" s="121" t="s">
        <v>1184</v>
      </c>
      <c r="F505" s="98"/>
      <c r="G505" s="98"/>
      <c r="H505" s="98" t="str">
        <f>IMAGE("https://drive.google.com/uc?export=view&amp;id=1h3X9C7BjcpdyG467YsDLloXxnkrLbJ6z")</f>
        <v/>
      </c>
      <c r="I505" s="98"/>
      <c r="J505" s="99"/>
    </row>
    <row r="506">
      <c r="A506" s="85" t="s">
        <v>20</v>
      </c>
      <c r="B506" s="114" t="s">
        <v>31</v>
      </c>
      <c r="C506" s="125">
        <v>8.0</v>
      </c>
      <c r="D506" s="119" t="s">
        <v>1185</v>
      </c>
      <c r="E506" s="119" t="s">
        <v>1186</v>
      </c>
      <c r="F506" s="100"/>
      <c r="G506" s="100"/>
      <c r="H506" s="100" t="str">
        <f>IMAGE("https://drive.google.com/uc?export=view&amp;id=1fJuUHFGXVqClersaeCOjqHx_C9h4qzYu")</f>
        <v/>
      </c>
      <c r="I506" s="100"/>
      <c r="J506" s="99"/>
    </row>
    <row r="507">
      <c r="A507" s="93" t="s">
        <v>20</v>
      </c>
      <c r="B507" s="115" t="s">
        <v>31</v>
      </c>
      <c r="C507" s="124">
        <v>9.0</v>
      </c>
      <c r="D507" s="121" t="s">
        <v>1187</v>
      </c>
      <c r="E507" s="121" t="s">
        <v>1186</v>
      </c>
      <c r="F507" s="98"/>
      <c r="G507" s="98"/>
      <c r="H507" s="98" t="str">
        <f>IMAGE("https://drive.google.com/uc?export=view&amp;id=1xzTvoqjik5Fre776XlnxO8ZzPwUxtXsX")</f>
        <v/>
      </c>
      <c r="I507" s="98"/>
      <c r="J507" s="99"/>
    </row>
    <row r="508">
      <c r="A508" s="85" t="s">
        <v>20</v>
      </c>
      <c r="B508" s="114" t="s">
        <v>31</v>
      </c>
      <c r="C508" s="125">
        <v>10.0</v>
      </c>
      <c r="D508" s="119" t="s">
        <v>1188</v>
      </c>
      <c r="E508" s="119" t="s">
        <v>1186</v>
      </c>
      <c r="F508" s="100"/>
      <c r="G508" s="100"/>
      <c r="H508" s="100" t="str">
        <f>IMAGE("https://drive.google.com/uc?export=view&amp;id=15DUDaIHaTBgGnbXiwCciRMyENoVSTEP-")</f>
        <v/>
      </c>
      <c r="I508" s="100"/>
      <c r="J508" s="99"/>
    </row>
    <row r="509">
      <c r="A509" s="93" t="s">
        <v>20</v>
      </c>
      <c r="B509" s="115" t="s">
        <v>31</v>
      </c>
      <c r="C509" s="124">
        <v>12.0</v>
      </c>
      <c r="D509" s="121" t="s">
        <v>1189</v>
      </c>
      <c r="E509" s="121" t="s">
        <v>1190</v>
      </c>
      <c r="F509" s="98"/>
      <c r="G509" s="98"/>
      <c r="H509" s="98" t="str">
        <f>IMAGE("https://drive.google.com/uc?export=view&amp;id=1PHNlxDxhkZ-ADG2Ylkl826U6PkfzFXBr")</f>
        <v/>
      </c>
      <c r="I509" s="98"/>
      <c r="J509" s="99"/>
    </row>
    <row r="510">
      <c r="A510" s="85" t="s">
        <v>20</v>
      </c>
      <c r="B510" s="114" t="s">
        <v>31</v>
      </c>
      <c r="C510" s="125">
        <v>13.0</v>
      </c>
      <c r="D510" s="119" t="s">
        <v>1191</v>
      </c>
      <c r="E510" s="119" t="s">
        <v>1192</v>
      </c>
      <c r="F510" s="100"/>
      <c r="G510" s="100"/>
      <c r="H510" s="100" t="str">
        <f>IMAGE("https://drive.google.com/uc?export=view&amp;id=19MRgX8cw4sWPw7YeHvYXl2OxtJWuZ29Y") </f>
        <v/>
      </c>
      <c r="I510" s="100"/>
      <c r="J510" s="99"/>
    </row>
    <row r="511">
      <c r="A511" s="93" t="s">
        <v>20</v>
      </c>
      <c r="B511" s="115" t="s">
        <v>31</v>
      </c>
      <c r="C511" s="124">
        <v>14.0</v>
      </c>
      <c r="D511" s="121" t="s">
        <v>1193</v>
      </c>
      <c r="E511" s="121" t="s">
        <v>1194</v>
      </c>
      <c r="F511" s="98"/>
      <c r="G511" s="98"/>
      <c r="H511" s="98" t="str">
        <f>IMAGE("https://drive.google.com/uc?export=view&amp;id=1hrZZ1neI6Ww6B6oRBejXLEALfqgJJ06A")  </f>
        <v/>
      </c>
      <c r="I511" s="98"/>
      <c r="J511" s="99"/>
    </row>
    <row r="512">
      <c r="A512" s="85" t="s">
        <v>20</v>
      </c>
      <c r="B512" s="114" t="s">
        <v>31</v>
      </c>
      <c r="C512" s="125">
        <v>15.0</v>
      </c>
      <c r="D512" s="119" t="s">
        <v>1195</v>
      </c>
      <c r="E512" s="119" t="s">
        <v>1196</v>
      </c>
      <c r="F512" s="100"/>
      <c r="G512" s="100"/>
      <c r="H512" s="100" t="str">
        <f>IMAGE("https://drive.google.com/uc?export=view&amp;id=1Y4WLImLhEUmqXzMAVycobU0RRuujYZmQ") </f>
        <v/>
      </c>
      <c r="I512" s="100"/>
      <c r="J512" s="99"/>
    </row>
    <row r="513">
      <c r="A513" s="93" t="s">
        <v>20</v>
      </c>
      <c r="B513" s="115" t="s">
        <v>31</v>
      </c>
      <c r="C513" s="124">
        <v>16.0</v>
      </c>
      <c r="D513" s="121" t="s">
        <v>1197</v>
      </c>
      <c r="E513" s="121" t="s">
        <v>1198</v>
      </c>
      <c r="F513" s="98"/>
      <c r="G513" s="98"/>
      <c r="H513" s="98" t="str">
        <f>IMAGE("https://drive.google.com/uc?export=view&amp;id=10ZWs10s6lmFE7q4bBfqf2APVO1RNHB5Q")</f>
        <v/>
      </c>
      <c r="I513" s="98"/>
      <c r="J513" s="99"/>
    </row>
    <row r="514">
      <c r="A514" s="85" t="s">
        <v>20</v>
      </c>
      <c r="B514" s="114" t="s">
        <v>31</v>
      </c>
      <c r="C514" s="125">
        <v>17.0</v>
      </c>
      <c r="D514" s="119" t="s">
        <v>1199</v>
      </c>
      <c r="E514" s="119" t="s">
        <v>1198</v>
      </c>
      <c r="F514" s="100"/>
      <c r="G514" s="100"/>
      <c r="H514" s="100" t="str">
        <f>IMAGE("https://drive.google.com/uc?export=view&amp;id=1nfQ60YoA4uuDq05nM5KlC90UD4TsjdXt")</f>
        <v/>
      </c>
      <c r="I514" s="100"/>
      <c r="J514" s="99"/>
    </row>
    <row r="515">
      <c r="A515" s="93" t="s">
        <v>20</v>
      </c>
      <c r="B515" s="115" t="s">
        <v>31</v>
      </c>
      <c r="C515" s="124">
        <v>18.0</v>
      </c>
      <c r="D515" s="121" t="s">
        <v>1200</v>
      </c>
      <c r="E515" s="121" t="s">
        <v>1201</v>
      </c>
      <c r="F515" s="98"/>
      <c r="G515" s="98"/>
      <c r="H515" s="98" t="str">
        <f>IMAGE("https://drive.google.com/uc?export=view&amp;id=1bUWOUFlgchdx1qZqvg1aQZ_E4UNa7V8u") </f>
        <v/>
      </c>
      <c r="I515" s="98"/>
      <c r="J515" s="99"/>
    </row>
    <row r="516">
      <c r="A516" s="85" t="s">
        <v>20</v>
      </c>
      <c r="B516" s="114" t="s">
        <v>31</v>
      </c>
      <c r="C516" s="125">
        <v>19.0</v>
      </c>
      <c r="D516" s="119" t="s">
        <v>1202</v>
      </c>
      <c r="E516" s="119" t="s">
        <v>1203</v>
      </c>
      <c r="F516" s="100"/>
      <c r="G516" s="100"/>
      <c r="H516" s="100" t="str">
        <f>IMAGE("https://drive.google.com/uc?export=view&amp;id=1H1magNSn4q80qKSK0KdEHl-khBbFTGDS")</f>
        <v/>
      </c>
      <c r="I516" s="100"/>
      <c r="J516" s="99"/>
    </row>
    <row r="517">
      <c r="A517" s="93" t="s">
        <v>20</v>
      </c>
      <c r="B517" s="115" t="s">
        <v>31</v>
      </c>
      <c r="C517" s="124">
        <v>25.0</v>
      </c>
      <c r="D517" s="121" t="s">
        <v>1204</v>
      </c>
      <c r="E517" s="121" t="s">
        <v>1205</v>
      </c>
      <c r="F517" s="98"/>
      <c r="G517" s="98"/>
      <c r="H517" s="98" t="str">
        <f>IMAGE("https://drive.google.com/uc?export=view&amp;id=1K24lFy0vVl7FUpx8HBAra0EZP1cXHikM")</f>
        <v/>
      </c>
      <c r="I517" s="98"/>
      <c r="J517" s="99"/>
    </row>
    <row r="518">
      <c r="A518" s="85" t="s">
        <v>20</v>
      </c>
      <c r="B518" s="114" t="s">
        <v>42</v>
      </c>
      <c r="C518" s="125">
        <v>1.0</v>
      </c>
      <c r="D518" s="119" t="s">
        <v>1206</v>
      </c>
      <c r="E518" s="119" t="s">
        <v>1176</v>
      </c>
      <c r="F518" s="100"/>
      <c r="G518" s="100"/>
      <c r="H518" s="100" t="str">
        <f>IMAGE("https://drive.google.com/uc?export=view&amp;id=1ml_l4VhfqmQODWuTgDVXPWgaHWgo9JUl")</f>
        <v/>
      </c>
      <c r="I518" s="100"/>
      <c r="J518" s="99"/>
    </row>
    <row r="519">
      <c r="A519" s="93" t="s">
        <v>20</v>
      </c>
      <c r="B519" s="115" t="s">
        <v>42</v>
      </c>
      <c r="C519" s="124">
        <v>2.0</v>
      </c>
      <c r="D519" s="121" t="s">
        <v>1207</v>
      </c>
      <c r="E519" s="121" t="s">
        <v>1178</v>
      </c>
      <c r="F519" s="98"/>
      <c r="G519" s="98"/>
      <c r="H519" s="98" t="str">
        <f>IMAGE("https://drive.google.com/uc?export=view&amp;id=1sImEFNDDoeRXD0TxGzZWUj26F2nmiOhC") </f>
        <v/>
      </c>
      <c r="I519" s="98"/>
      <c r="J519" s="99"/>
    </row>
    <row r="520">
      <c r="A520" s="85" t="s">
        <v>20</v>
      </c>
      <c r="B520" s="114" t="s">
        <v>42</v>
      </c>
      <c r="C520" s="125">
        <v>3.0</v>
      </c>
      <c r="D520" s="119" t="s">
        <v>1208</v>
      </c>
      <c r="E520" s="119" t="s">
        <v>1180</v>
      </c>
      <c r="F520" s="100"/>
      <c r="G520" s="100"/>
      <c r="H520" s="100" t="str">
        <f>IMAGE("https://drive.google.com/uc?export=view&amp;id=1sb6F7SW8LP6eg3lcZv6eyqyE5DoUdEQr")</f>
        <v/>
      </c>
      <c r="I520" s="100"/>
      <c r="J520" s="99"/>
    </row>
    <row r="521">
      <c r="A521" s="93" t="s">
        <v>20</v>
      </c>
      <c r="B521" s="115" t="s">
        <v>42</v>
      </c>
      <c r="C521" s="124">
        <v>4.0</v>
      </c>
      <c r="D521" s="121" t="s">
        <v>1209</v>
      </c>
      <c r="E521" s="121" t="s">
        <v>1182</v>
      </c>
      <c r="F521" s="98"/>
      <c r="G521" s="98"/>
      <c r="H521" s="98" t="str">
        <f>IMAGE("https://drive.google.com/uc?export=view&amp;id=1hzMvjtk6mQFkNP6uDQvUJP1m4iwpMOJB")</f>
        <v/>
      </c>
      <c r="I521" s="98"/>
      <c r="J521" s="99"/>
    </row>
    <row r="522">
      <c r="A522" s="85" t="s">
        <v>20</v>
      </c>
      <c r="B522" s="114" t="s">
        <v>42</v>
      </c>
      <c r="C522" s="125">
        <v>7.0</v>
      </c>
      <c r="D522" s="119" t="s">
        <v>1210</v>
      </c>
      <c r="E522" s="119" t="s">
        <v>1184</v>
      </c>
      <c r="F522" s="100"/>
      <c r="G522" s="100"/>
      <c r="H522" s="100" t="str">
        <f>IMAGE("https://drive.google.com/uc?export=view&amp;id=1h3X9C7BjcpdyG467YsDLloXxnkrLbJ6z")</f>
        <v/>
      </c>
      <c r="I522" s="100"/>
      <c r="J522" s="99"/>
    </row>
    <row r="523">
      <c r="A523" s="93" t="s">
        <v>20</v>
      </c>
      <c r="B523" s="115" t="s">
        <v>42</v>
      </c>
      <c r="C523" s="124">
        <v>8.0</v>
      </c>
      <c r="D523" s="121" t="s">
        <v>1211</v>
      </c>
      <c r="E523" s="121" t="s">
        <v>1186</v>
      </c>
      <c r="F523" s="98"/>
      <c r="G523" s="98"/>
      <c r="H523" s="98" t="str">
        <f>IMAGE("https://drive.google.com/uc?export=view&amp;id=1fJuUHFGXVqClersaeCOjqHx_C9h4qzYu")</f>
        <v/>
      </c>
      <c r="I523" s="98"/>
      <c r="J523" s="99"/>
    </row>
    <row r="524">
      <c r="A524" s="85" t="s">
        <v>20</v>
      </c>
      <c r="B524" s="114" t="s">
        <v>42</v>
      </c>
      <c r="C524" s="125">
        <v>9.0</v>
      </c>
      <c r="D524" s="119" t="s">
        <v>1212</v>
      </c>
      <c r="E524" s="119" t="s">
        <v>1186</v>
      </c>
      <c r="F524" s="100"/>
      <c r="G524" s="100"/>
      <c r="H524" s="100" t="str">
        <f>IMAGE("https://drive.google.com/uc?export=view&amp;id=1xzTvoqjik5Fre776XlnxO8ZzPwUxtXsX")</f>
        <v/>
      </c>
      <c r="I524" s="100"/>
      <c r="J524" s="99"/>
    </row>
    <row r="525">
      <c r="A525" s="93" t="s">
        <v>20</v>
      </c>
      <c r="B525" s="115" t="s">
        <v>42</v>
      </c>
      <c r="C525" s="124">
        <v>10.0</v>
      </c>
      <c r="D525" s="121" t="s">
        <v>1213</v>
      </c>
      <c r="E525" s="121" t="s">
        <v>1186</v>
      </c>
      <c r="F525" s="98"/>
      <c r="G525" s="98"/>
      <c r="H525" s="98" t="str">
        <f>IMAGE("https://drive.google.com/uc?export=view&amp;id=15DUDaIHaTBgGnbXiwCciRMyENoVSTEP-")</f>
        <v/>
      </c>
      <c r="I525" s="98"/>
      <c r="J525" s="99"/>
    </row>
    <row r="526">
      <c r="A526" s="85" t="s">
        <v>20</v>
      </c>
      <c r="B526" s="114" t="s">
        <v>42</v>
      </c>
      <c r="C526" s="125">
        <v>12.0</v>
      </c>
      <c r="D526" s="119" t="s">
        <v>1214</v>
      </c>
      <c r="E526" s="119" t="s">
        <v>1190</v>
      </c>
      <c r="F526" s="100"/>
      <c r="G526" s="100"/>
      <c r="H526" s="100" t="str">
        <f>IMAGE("https://drive.google.com/uc?export=view&amp;id=1PHNlxDxhkZ-ADG2Ylkl826U6PkfzFXBr")</f>
        <v/>
      </c>
      <c r="I526" s="100"/>
      <c r="J526" s="99"/>
    </row>
    <row r="527">
      <c r="A527" s="93" t="s">
        <v>20</v>
      </c>
      <c r="B527" s="115" t="s">
        <v>42</v>
      </c>
      <c r="C527" s="124">
        <v>13.0</v>
      </c>
      <c r="D527" s="121" t="s">
        <v>1215</v>
      </c>
      <c r="E527" s="121" t="s">
        <v>1192</v>
      </c>
      <c r="F527" s="98"/>
      <c r="G527" s="98"/>
      <c r="H527" s="98" t="str">
        <f>IMAGE("https://drive.google.com/uc?export=view&amp;id=19MRgX8cw4sWPw7YeHvYXl2OxtJWuZ29Y") </f>
        <v/>
      </c>
      <c r="I527" s="98"/>
      <c r="J527" s="99"/>
    </row>
    <row r="528">
      <c r="A528" s="85" t="s">
        <v>20</v>
      </c>
      <c r="B528" s="114" t="s">
        <v>42</v>
      </c>
      <c r="C528" s="125">
        <v>14.0</v>
      </c>
      <c r="D528" s="119" t="s">
        <v>1216</v>
      </c>
      <c r="E528" s="119" t="s">
        <v>1194</v>
      </c>
      <c r="F528" s="100"/>
      <c r="G528" s="100"/>
      <c r="H528" s="100" t="str">
        <f>IMAGE("https://drive.google.com/uc?export=view&amp;id=1hrZZ1neI6Ww6B6oRBejXLEALfqgJJ06A")  </f>
        <v/>
      </c>
      <c r="I528" s="100"/>
      <c r="J528" s="99"/>
    </row>
    <row r="529">
      <c r="A529" s="93" t="s">
        <v>20</v>
      </c>
      <c r="B529" s="115" t="s">
        <v>42</v>
      </c>
      <c r="C529" s="124">
        <v>15.0</v>
      </c>
      <c r="D529" s="121" t="s">
        <v>1217</v>
      </c>
      <c r="E529" s="121" t="s">
        <v>1196</v>
      </c>
      <c r="F529" s="98"/>
      <c r="G529" s="98"/>
      <c r="H529" s="98" t="str">
        <f>IMAGE("https://drive.google.com/uc?export=view&amp;id=1Y4WLImLhEUmqXzMAVycobU0RRuujYZmQ") </f>
        <v/>
      </c>
      <c r="I529" s="98"/>
      <c r="J529" s="99"/>
    </row>
    <row r="530">
      <c r="A530" s="85" t="s">
        <v>20</v>
      </c>
      <c r="B530" s="114" t="s">
        <v>42</v>
      </c>
      <c r="C530" s="125">
        <v>16.0</v>
      </c>
      <c r="D530" s="119" t="s">
        <v>1218</v>
      </c>
      <c r="E530" s="119" t="s">
        <v>1198</v>
      </c>
      <c r="F530" s="100"/>
      <c r="G530" s="100"/>
      <c r="H530" s="100" t="str">
        <f>IMAGE("https://drive.google.com/uc?export=view&amp;id=10ZWs10s6lmFE7q4bBfqf2APVO1RNHB5Q")</f>
        <v/>
      </c>
      <c r="I530" s="100"/>
      <c r="J530" s="99"/>
    </row>
    <row r="531">
      <c r="A531" s="93" t="s">
        <v>20</v>
      </c>
      <c r="B531" s="115" t="s">
        <v>42</v>
      </c>
      <c r="C531" s="124">
        <v>17.0</v>
      </c>
      <c r="D531" s="121" t="s">
        <v>1219</v>
      </c>
      <c r="E531" s="121" t="s">
        <v>1198</v>
      </c>
      <c r="F531" s="98"/>
      <c r="G531" s="98"/>
      <c r="H531" s="98" t="str">
        <f>IMAGE("https://drive.google.com/uc?export=view&amp;id=1nfQ60YoA4uuDq05nM5KlC90UD4TsjdXt")</f>
        <v/>
      </c>
      <c r="I531" s="98"/>
      <c r="J531" s="99"/>
    </row>
    <row r="532">
      <c r="A532" s="85" t="s">
        <v>20</v>
      </c>
      <c r="B532" s="114" t="s">
        <v>42</v>
      </c>
      <c r="C532" s="125">
        <v>18.0</v>
      </c>
      <c r="D532" s="119" t="s">
        <v>1220</v>
      </c>
      <c r="E532" s="119" t="s">
        <v>1201</v>
      </c>
      <c r="F532" s="100"/>
      <c r="G532" s="100"/>
      <c r="H532" s="100" t="str">
        <f>IMAGE("https://drive.google.com/uc?export=view&amp;id=1bUWOUFlgchdx1qZqvg1aQZ_E4UNa7V8u") </f>
        <v/>
      </c>
      <c r="I532" s="100"/>
      <c r="J532" s="99"/>
    </row>
    <row r="533">
      <c r="A533" s="93" t="s">
        <v>20</v>
      </c>
      <c r="B533" s="115" t="s">
        <v>42</v>
      </c>
      <c r="C533" s="124">
        <v>19.0</v>
      </c>
      <c r="D533" s="121" t="s">
        <v>1221</v>
      </c>
      <c r="E533" s="121" t="s">
        <v>1203</v>
      </c>
      <c r="F533" s="98"/>
      <c r="G533" s="98"/>
      <c r="H533" s="98" t="str">
        <f>IMAGE("https://drive.google.com/uc?export=view&amp;id=1H1magNSn4q80qKSK0KdEHl-khBbFTGDS")</f>
        <v/>
      </c>
      <c r="I533" s="98"/>
      <c r="J533" s="99"/>
    </row>
    <row r="534">
      <c r="A534" s="85" t="s">
        <v>20</v>
      </c>
      <c r="B534" s="114" t="s">
        <v>42</v>
      </c>
      <c r="C534" s="125">
        <v>25.0</v>
      </c>
      <c r="D534" s="119" t="s">
        <v>1222</v>
      </c>
      <c r="E534" s="119" t="s">
        <v>1205</v>
      </c>
      <c r="F534" s="100"/>
      <c r="G534" s="100"/>
      <c r="H534" s="100" t="str">
        <f>IMAGE("https://drive.google.com/uc?export=view&amp;id=1K24lFy0vVl7FUpx8HBAra0EZP1cXHikM")</f>
        <v/>
      </c>
      <c r="I534" s="100"/>
      <c r="J534" s="99"/>
    </row>
    <row r="535">
      <c r="A535" s="92" t="s">
        <v>20</v>
      </c>
      <c r="B535" s="116" t="s">
        <v>46</v>
      </c>
      <c r="C535" s="122">
        <v>1.0</v>
      </c>
      <c r="D535" s="121" t="s">
        <v>1223</v>
      </c>
      <c r="E535" s="121" t="s">
        <v>1224</v>
      </c>
      <c r="F535" s="94"/>
      <c r="G535" s="98"/>
      <c r="H535" s="94"/>
      <c r="I535" s="94"/>
      <c r="J535" s="87"/>
    </row>
    <row r="536">
      <c r="A536" s="84" t="s">
        <v>20</v>
      </c>
      <c r="B536" s="117" t="s">
        <v>46</v>
      </c>
      <c r="C536" s="123">
        <v>2.0</v>
      </c>
      <c r="D536" s="119" t="s">
        <v>1225</v>
      </c>
      <c r="E536" s="119" t="s">
        <v>1226</v>
      </c>
      <c r="F536" s="86"/>
      <c r="G536" s="100"/>
      <c r="H536" s="86"/>
      <c r="I536" s="86"/>
      <c r="J536" s="87"/>
    </row>
    <row r="537">
      <c r="A537" s="92" t="s">
        <v>20</v>
      </c>
      <c r="B537" s="116" t="s">
        <v>46</v>
      </c>
      <c r="C537" s="122">
        <v>3.0</v>
      </c>
      <c r="D537" s="121" t="s">
        <v>1227</v>
      </c>
      <c r="E537" s="121" t="s">
        <v>1228</v>
      </c>
      <c r="F537" s="94"/>
      <c r="G537" s="98"/>
      <c r="H537" s="94"/>
      <c r="I537" s="94"/>
      <c r="J537" s="87"/>
    </row>
    <row r="538">
      <c r="A538" s="84" t="s">
        <v>20</v>
      </c>
      <c r="B538" s="117" t="s">
        <v>46</v>
      </c>
      <c r="C538" s="123">
        <v>4.0</v>
      </c>
      <c r="D538" s="119" t="s">
        <v>1229</v>
      </c>
      <c r="E538" s="119" t="s">
        <v>1230</v>
      </c>
      <c r="F538" s="86"/>
      <c r="G538" s="100"/>
      <c r="H538" s="86"/>
      <c r="I538" s="86"/>
      <c r="J538" s="87"/>
    </row>
    <row r="539">
      <c r="A539" s="92" t="s">
        <v>20</v>
      </c>
      <c r="B539" s="116" t="s">
        <v>46</v>
      </c>
      <c r="C539" s="122">
        <v>5.0</v>
      </c>
      <c r="D539" s="121" t="s">
        <v>1231</v>
      </c>
      <c r="E539" s="121" t="s">
        <v>1232</v>
      </c>
      <c r="F539" s="94"/>
      <c r="G539" s="98"/>
      <c r="H539" s="94"/>
      <c r="I539" s="94"/>
      <c r="J539" s="87"/>
    </row>
    <row r="540">
      <c r="A540" s="84" t="s">
        <v>20</v>
      </c>
      <c r="B540" s="117" t="s">
        <v>46</v>
      </c>
      <c r="C540" s="123">
        <v>6.0</v>
      </c>
      <c r="D540" s="119" t="s">
        <v>1233</v>
      </c>
      <c r="E540" s="119" t="s">
        <v>1234</v>
      </c>
      <c r="F540" s="86"/>
      <c r="G540" s="100"/>
      <c r="H540" s="86"/>
      <c r="I540" s="86"/>
      <c r="J540" s="87"/>
    </row>
    <row r="541">
      <c r="A541" s="92" t="s">
        <v>20</v>
      </c>
      <c r="B541" s="116" t="s">
        <v>46</v>
      </c>
      <c r="C541" s="122">
        <v>7.0</v>
      </c>
      <c r="D541" s="121" t="s">
        <v>1235</v>
      </c>
      <c r="E541" s="121" t="s">
        <v>1236</v>
      </c>
      <c r="F541" s="94"/>
      <c r="G541" s="98"/>
      <c r="H541" s="94"/>
      <c r="I541" s="94"/>
      <c r="J541" s="87"/>
    </row>
    <row r="542">
      <c r="A542" s="84" t="s">
        <v>20</v>
      </c>
      <c r="B542" s="117" t="s">
        <v>46</v>
      </c>
      <c r="C542" s="123">
        <v>8.0</v>
      </c>
      <c r="D542" s="119" t="s">
        <v>1237</v>
      </c>
      <c r="E542" s="119" t="s">
        <v>1238</v>
      </c>
      <c r="F542" s="86"/>
      <c r="G542" s="100"/>
      <c r="H542" s="86"/>
      <c r="I542" s="86"/>
      <c r="J542" s="87"/>
    </row>
    <row r="543">
      <c r="A543" s="92" t="s">
        <v>20</v>
      </c>
      <c r="B543" s="116" t="s">
        <v>46</v>
      </c>
      <c r="C543" s="122">
        <v>9.0</v>
      </c>
      <c r="D543" s="121" t="s">
        <v>1239</v>
      </c>
      <c r="E543" s="121" t="s">
        <v>1240</v>
      </c>
      <c r="F543" s="94"/>
      <c r="G543" s="98"/>
      <c r="H543" s="94"/>
      <c r="I543" s="94"/>
      <c r="J543" s="87"/>
    </row>
    <row r="544">
      <c r="A544" s="86" t="s">
        <v>20</v>
      </c>
      <c r="B544" s="112" t="s">
        <v>52</v>
      </c>
      <c r="C544" s="126" t="s">
        <v>1141</v>
      </c>
      <c r="D544" s="107" t="s">
        <v>1241</v>
      </c>
      <c r="E544" s="107" t="s">
        <v>1176</v>
      </c>
      <c r="F544" s="86"/>
      <c r="G544" s="100"/>
      <c r="H544" s="86"/>
      <c r="I544" s="86"/>
      <c r="J544" s="87"/>
    </row>
    <row r="545">
      <c r="A545" s="94" t="s">
        <v>20</v>
      </c>
      <c r="B545" s="110" t="s">
        <v>52</v>
      </c>
      <c r="C545" s="127" t="s">
        <v>1144</v>
      </c>
      <c r="D545" s="104" t="s">
        <v>1242</v>
      </c>
      <c r="E545" s="104" t="s">
        <v>1243</v>
      </c>
      <c r="F545" s="94"/>
      <c r="G545" s="98"/>
      <c r="H545" s="94"/>
      <c r="I545" s="94"/>
      <c r="J545" s="87"/>
    </row>
    <row r="546">
      <c r="A546" s="86" t="s">
        <v>20</v>
      </c>
      <c r="B546" s="112" t="s">
        <v>52</v>
      </c>
      <c r="C546" s="126" t="s">
        <v>1147</v>
      </c>
      <c r="D546" s="107" t="s">
        <v>1244</v>
      </c>
      <c r="E546" s="107" t="s">
        <v>1245</v>
      </c>
      <c r="F546" s="86"/>
      <c r="G546" s="100"/>
      <c r="H546" s="86"/>
      <c r="I546" s="86"/>
      <c r="J546" s="87"/>
    </row>
    <row r="547">
      <c r="A547" s="94" t="s">
        <v>20</v>
      </c>
      <c r="B547" s="110" t="s">
        <v>52</v>
      </c>
      <c r="C547" s="127" t="s">
        <v>1150</v>
      </c>
      <c r="D547" s="104" t="s">
        <v>1246</v>
      </c>
      <c r="E547" s="104" t="s">
        <v>1247</v>
      </c>
      <c r="F547" s="94"/>
      <c r="G547" s="98"/>
      <c r="H547" s="94"/>
      <c r="I547" s="94"/>
      <c r="J547" s="87"/>
    </row>
    <row r="548">
      <c r="A548" s="86" t="s">
        <v>20</v>
      </c>
      <c r="B548" s="112" t="s">
        <v>52</v>
      </c>
      <c r="C548" s="126" t="s">
        <v>1159</v>
      </c>
      <c r="D548" s="107" t="s">
        <v>1248</v>
      </c>
      <c r="E548" s="107" t="s">
        <v>1184</v>
      </c>
      <c r="F548" s="86"/>
      <c r="G548" s="100"/>
      <c r="H548" s="86"/>
      <c r="I548" s="86"/>
      <c r="J548" s="87"/>
    </row>
    <row r="549">
      <c r="A549" s="94" t="s">
        <v>20</v>
      </c>
      <c r="B549" s="110" t="s">
        <v>52</v>
      </c>
      <c r="C549" s="127" t="s">
        <v>1162</v>
      </c>
      <c r="D549" s="104" t="s">
        <v>1249</v>
      </c>
      <c r="E549" s="104" t="s">
        <v>1186</v>
      </c>
      <c r="F549" s="94"/>
      <c r="G549" s="98"/>
      <c r="H549" s="94"/>
      <c r="I549" s="94"/>
      <c r="J549" s="87"/>
    </row>
    <row r="550">
      <c r="A550" s="86" t="s">
        <v>20</v>
      </c>
      <c r="B550" s="112" t="s">
        <v>52</v>
      </c>
      <c r="C550" s="126" t="s">
        <v>1165</v>
      </c>
      <c r="D550" s="107" t="s">
        <v>1250</v>
      </c>
      <c r="E550" s="107" t="s">
        <v>1186</v>
      </c>
      <c r="F550" s="86"/>
      <c r="G550" s="100"/>
      <c r="H550" s="86"/>
      <c r="I550" s="86"/>
      <c r="J550" s="87"/>
    </row>
    <row r="551">
      <c r="A551" s="94" t="s">
        <v>20</v>
      </c>
      <c r="B551" s="110" t="s">
        <v>52</v>
      </c>
      <c r="C551" s="127" t="s">
        <v>1251</v>
      </c>
      <c r="D551" s="104" t="s">
        <v>1252</v>
      </c>
      <c r="E551" s="104" t="s">
        <v>1186</v>
      </c>
      <c r="F551" s="94"/>
      <c r="G551" s="98"/>
      <c r="H551" s="94"/>
      <c r="I551" s="94"/>
      <c r="J551" s="87"/>
    </row>
    <row r="552">
      <c r="A552" s="86" t="s">
        <v>20</v>
      </c>
      <c r="B552" s="112" t="s">
        <v>52</v>
      </c>
      <c r="C552" s="126" t="s">
        <v>1253</v>
      </c>
      <c r="D552" s="107" t="s">
        <v>1254</v>
      </c>
      <c r="E552" s="107" t="s">
        <v>1190</v>
      </c>
      <c r="F552" s="86"/>
      <c r="G552" s="100"/>
      <c r="H552" s="86"/>
      <c r="I552" s="86"/>
      <c r="J552" s="87"/>
    </row>
    <row r="553">
      <c r="A553" s="94" t="s">
        <v>20</v>
      </c>
      <c r="B553" s="110" t="s">
        <v>52</v>
      </c>
      <c r="C553" s="127" t="s">
        <v>1255</v>
      </c>
      <c r="D553" s="104" t="s">
        <v>1256</v>
      </c>
      <c r="E553" s="104" t="s">
        <v>1257</v>
      </c>
      <c r="F553" s="94"/>
      <c r="G553" s="98"/>
      <c r="H553" s="94"/>
      <c r="I553" s="94"/>
      <c r="J553" s="87"/>
    </row>
    <row r="554">
      <c r="A554" s="86" t="s">
        <v>20</v>
      </c>
      <c r="B554" s="112" t="s">
        <v>52</v>
      </c>
      <c r="C554" s="126" t="s">
        <v>1258</v>
      </c>
      <c r="D554" s="107" t="s">
        <v>1259</v>
      </c>
      <c r="E554" s="107" t="s">
        <v>1260</v>
      </c>
      <c r="F554" s="86"/>
      <c r="G554" s="100"/>
      <c r="H554" s="86"/>
      <c r="I554" s="86"/>
      <c r="J554" s="87"/>
    </row>
    <row r="555">
      <c r="A555" s="94" t="s">
        <v>20</v>
      </c>
      <c r="B555" s="110" t="s">
        <v>52</v>
      </c>
      <c r="C555" s="127" t="s">
        <v>1261</v>
      </c>
      <c r="D555" s="104" t="s">
        <v>1262</v>
      </c>
      <c r="E555" s="104" t="s">
        <v>1263</v>
      </c>
      <c r="F555" s="94"/>
      <c r="G555" s="98"/>
      <c r="H555" s="94"/>
      <c r="I555" s="94"/>
      <c r="J555" s="87"/>
    </row>
    <row r="556">
      <c r="A556" s="86" t="s">
        <v>20</v>
      </c>
      <c r="B556" s="112" t="s">
        <v>52</v>
      </c>
      <c r="C556" s="126" t="s">
        <v>1264</v>
      </c>
      <c r="D556" s="107" t="s">
        <v>1265</v>
      </c>
      <c r="E556" s="107" t="s">
        <v>1266</v>
      </c>
      <c r="F556" s="86"/>
      <c r="G556" s="100"/>
      <c r="H556" s="86"/>
      <c r="I556" s="86"/>
      <c r="J556" s="87"/>
    </row>
    <row r="557">
      <c r="A557" s="94" t="s">
        <v>20</v>
      </c>
      <c r="B557" s="110" t="s">
        <v>52</v>
      </c>
      <c r="C557" s="127" t="s">
        <v>1267</v>
      </c>
      <c r="D557" s="104" t="s">
        <v>1268</v>
      </c>
      <c r="E557" s="104" t="s">
        <v>1269</v>
      </c>
      <c r="F557" s="94"/>
      <c r="G557" s="98"/>
      <c r="H557" s="94"/>
      <c r="I557" s="94"/>
      <c r="J557" s="87"/>
    </row>
    <row r="558">
      <c r="A558" s="86" t="s">
        <v>20</v>
      </c>
      <c r="B558" s="112" t="s">
        <v>52</v>
      </c>
      <c r="C558" s="126" t="s">
        <v>1270</v>
      </c>
      <c r="D558" s="107" t="s">
        <v>1271</v>
      </c>
      <c r="E558" s="107" t="s">
        <v>1269</v>
      </c>
      <c r="F558" s="86"/>
      <c r="G558" s="100"/>
      <c r="H558" s="86"/>
      <c r="I558" s="86"/>
      <c r="J558" s="87"/>
    </row>
    <row r="559">
      <c r="A559" s="94" t="s">
        <v>20</v>
      </c>
      <c r="B559" s="110" t="s">
        <v>52</v>
      </c>
      <c r="C559" s="127" t="s">
        <v>1272</v>
      </c>
      <c r="D559" s="104" t="s">
        <v>1273</v>
      </c>
      <c r="E559" s="104" t="s">
        <v>1201</v>
      </c>
      <c r="F559" s="94"/>
      <c r="G559" s="98"/>
      <c r="H559" s="94"/>
      <c r="I559" s="94"/>
      <c r="J559" s="87"/>
    </row>
    <row r="560">
      <c r="A560" s="86" t="s">
        <v>20</v>
      </c>
      <c r="B560" s="112" t="s">
        <v>52</v>
      </c>
      <c r="C560" s="126" t="s">
        <v>1274</v>
      </c>
      <c r="D560" s="107" t="s">
        <v>1275</v>
      </c>
      <c r="E560" s="107" t="s">
        <v>1276</v>
      </c>
      <c r="F560" s="86"/>
      <c r="G560" s="100"/>
      <c r="H560" s="86"/>
      <c r="I560" s="86"/>
      <c r="J560" s="87"/>
    </row>
    <row r="561">
      <c r="A561" s="94" t="s">
        <v>20</v>
      </c>
      <c r="B561" s="110" t="s">
        <v>52</v>
      </c>
      <c r="C561" s="127" t="s">
        <v>1277</v>
      </c>
      <c r="D561" s="104" t="s">
        <v>1278</v>
      </c>
      <c r="E561" s="104" t="s">
        <v>1279</v>
      </c>
      <c r="F561" s="94"/>
      <c r="G561" s="98"/>
      <c r="H561" s="94"/>
      <c r="I561" s="94"/>
      <c r="J561" s="87"/>
    </row>
    <row r="562">
      <c r="A562" s="86" t="s">
        <v>20</v>
      </c>
      <c r="B562" s="112" t="s">
        <v>52</v>
      </c>
      <c r="C562" s="126" t="s">
        <v>1280</v>
      </c>
      <c r="D562" s="107" t="s">
        <v>1281</v>
      </c>
      <c r="E562" s="107" t="s">
        <v>1282</v>
      </c>
      <c r="F562" s="86"/>
      <c r="G562" s="100"/>
      <c r="H562" s="86"/>
      <c r="I562" s="86"/>
      <c r="J562" s="87"/>
    </row>
    <row r="563">
      <c r="A563" s="94" t="s">
        <v>20</v>
      </c>
      <c r="B563" s="110" t="s">
        <v>52</v>
      </c>
      <c r="C563" s="127" t="s">
        <v>1283</v>
      </c>
      <c r="D563" s="104" t="s">
        <v>1284</v>
      </c>
      <c r="E563" s="104" t="s">
        <v>1285</v>
      </c>
      <c r="F563" s="94"/>
      <c r="G563" s="98"/>
      <c r="H563" s="94"/>
      <c r="I563" s="94"/>
      <c r="J563" s="87"/>
    </row>
    <row r="564">
      <c r="A564" s="86" t="s">
        <v>20</v>
      </c>
      <c r="B564" s="112" t="s">
        <v>52</v>
      </c>
      <c r="C564" s="126" t="s">
        <v>1286</v>
      </c>
      <c r="D564" s="107" t="s">
        <v>1287</v>
      </c>
      <c r="E564" s="107" t="s">
        <v>1288</v>
      </c>
      <c r="F564" s="86"/>
      <c r="G564" s="100"/>
      <c r="H564" s="86"/>
      <c r="I564" s="86"/>
      <c r="J564" s="87"/>
    </row>
    <row r="565">
      <c r="A565" s="94" t="s">
        <v>20</v>
      </c>
      <c r="B565" s="110" t="s">
        <v>52</v>
      </c>
      <c r="C565" s="127" t="s">
        <v>1289</v>
      </c>
      <c r="D565" s="104" t="s">
        <v>1290</v>
      </c>
      <c r="E565" s="104" t="s">
        <v>1291</v>
      </c>
      <c r="F565" s="94"/>
      <c r="G565" s="98"/>
      <c r="H565" s="94"/>
      <c r="I565" s="94"/>
      <c r="J565" s="87"/>
    </row>
    <row r="566">
      <c r="A566" s="86" t="s">
        <v>20</v>
      </c>
      <c r="B566" s="112" t="s">
        <v>52</v>
      </c>
      <c r="C566" s="126" t="s">
        <v>1292</v>
      </c>
      <c r="D566" s="107" t="s">
        <v>1293</v>
      </c>
      <c r="E566" s="107" t="s">
        <v>1294</v>
      </c>
      <c r="F566" s="86"/>
      <c r="G566" s="100"/>
      <c r="H566" s="86"/>
      <c r="I566" s="86"/>
      <c r="J566" s="87"/>
    </row>
    <row r="567">
      <c r="A567" s="94" t="s">
        <v>20</v>
      </c>
      <c r="B567" s="110" t="s">
        <v>52</v>
      </c>
      <c r="C567" s="127" t="s">
        <v>1295</v>
      </c>
      <c r="D567" s="104" t="s">
        <v>1296</v>
      </c>
      <c r="E567" s="104" t="s">
        <v>1297</v>
      </c>
      <c r="F567" s="94"/>
      <c r="G567" s="98"/>
      <c r="H567" s="94"/>
      <c r="I567" s="94"/>
      <c r="J567" s="87"/>
    </row>
    <row r="568">
      <c r="A568" s="85" t="s">
        <v>20</v>
      </c>
      <c r="B568" s="114" t="s">
        <v>59</v>
      </c>
      <c r="C568" s="125">
        <v>1.0</v>
      </c>
      <c r="D568" s="119" t="s">
        <v>1298</v>
      </c>
      <c r="E568" s="119" t="s">
        <v>1176</v>
      </c>
      <c r="F568" s="100"/>
      <c r="G568" s="100"/>
      <c r="H568" s="100"/>
      <c r="I568" s="100"/>
      <c r="J568" s="99"/>
    </row>
    <row r="569">
      <c r="A569" s="93" t="s">
        <v>20</v>
      </c>
      <c r="B569" s="115" t="s">
        <v>59</v>
      </c>
      <c r="C569" s="124">
        <v>2.0</v>
      </c>
      <c r="D569" s="121" t="s">
        <v>1299</v>
      </c>
      <c r="E569" s="121" t="s">
        <v>1178</v>
      </c>
      <c r="F569" s="98"/>
      <c r="G569" s="98"/>
      <c r="H569" s="98"/>
      <c r="I569" s="98"/>
      <c r="J569" s="99"/>
    </row>
    <row r="570">
      <c r="A570" s="85" t="s">
        <v>20</v>
      </c>
      <c r="B570" s="114" t="s">
        <v>59</v>
      </c>
      <c r="C570" s="125">
        <v>3.0</v>
      </c>
      <c r="D570" s="119" t="s">
        <v>1300</v>
      </c>
      <c r="E570" s="119" t="s">
        <v>1301</v>
      </c>
      <c r="F570" s="100"/>
      <c r="G570" s="100"/>
      <c r="H570" s="100"/>
      <c r="I570" s="100"/>
      <c r="J570" s="99"/>
    </row>
    <row r="571">
      <c r="A571" s="93" t="s">
        <v>20</v>
      </c>
      <c r="B571" s="115" t="s">
        <v>59</v>
      </c>
      <c r="C571" s="124">
        <v>4.0</v>
      </c>
      <c r="D571" s="121" t="s">
        <v>1302</v>
      </c>
      <c r="E571" s="121" t="s">
        <v>1303</v>
      </c>
      <c r="F571" s="98"/>
      <c r="G571" s="98"/>
      <c r="H571" s="98"/>
      <c r="I571" s="98"/>
      <c r="J571" s="99"/>
    </row>
    <row r="572">
      <c r="A572" s="85" t="s">
        <v>20</v>
      </c>
      <c r="B572" s="114" t="s">
        <v>59</v>
      </c>
      <c r="C572" s="125">
        <v>7.0</v>
      </c>
      <c r="D572" s="119" t="s">
        <v>1304</v>
      </c>
      <c r="E572" s="119" t="s">
        <v>1184</v>
      </c>
      <c r="F572" s="100"/>
      <c r="G572" s="100"/>
      <c r="H572" s="100"/>
      <c r="I572" s="100"/>
      <c r="J572" s="99"/>
    </row>
    <row r="573">
      <c r="A573" s="93" t="s">
        <v>20</v>
      </c>
      <c r="B573" s="115" t="s">
        <v>59</v>
      </c>
      <c r="C573" s="124">
        <v>8.0</v>
      </c>
      <c r="D573" s="121" t="s">
        <v>1305</v>
      </c>
      <c r="E573" s="121" t="s">
        <v>1186</v>
      </c>
      <c r="F573" s="98"/>
      <c r="G573" s="98"/>
      <c r="H573" s="98"/>
      <c r="I573" s="98"/>
      <c r="J573" s="99"/>
    </row>
    <row r="574">
      <c r="A574" s="85" t="s">
        <v>20</v>
      </c>
      <c r="B574" s="114" t="s">
        <v>59</v>
      </c>
      <c r="C574" s="125">
        <v>9.0</v>
      </c>
      <c r="D574" s="119" t="s">
        <v>1306</v>
      </c>
      <c r="E574" s="119" t="s">
        <v>1186</v>
      </c>
      <c r="F574" s="100"/>
      <c r="G574" s="100"/>
      <c r="H574" s="100"/>
      <c r="I574" s="100"/>
      <c r="J574" s="99"/>
    </row>
    <row r="575">
      <c r="A575" s="93" t="s">
        <v>20</v>
      </c>
      <c r="B575" s="115" t="s">
        <v>59</v>
      </c>
      <c r="C575" s="124">
        <v>10.0</v>
      </c>
      <c r="D575" s="121" t="s">
        <v>1307</v>
      </c>
      <c r="E575" s="121" t="s">
        <v>1308</v>
      </c>
      <c r="F575" s="98"/>
      <c r="G575" s="98"/>
      <c r="H575" s="98"/>
      <c r="I575" s="98"/>
      <c r="J575" s="99"/>
    </row>
    <row r="576">
      <c r="A576" s="85" t="s">
        <v>20</v>
      </c>
      <c r="B576" s="114" t="s">
        <v>59</v>
      </c>
      <c r="C576" s="125">
        <v>12.0</v>
      </c>
      <c r="D576" s="119" t="s">
        <v>1309</v>
      </c>
      <c r="E576" s="119" t="s">
        <v>1190</v>
      </c>
      <c r="F576" s="100"/>
      <c r="G576" s="100"/>
      <c r="H576" s="100"/>
      <c r="I576" s="100"/>
      <c r="J576" s="99"/>
    </row>
    <row r="577">
      <c r="A577" s="93" t="s">
        <v>20</v>
      </c>
      <c r="B577" s="115" t="s">
        <v>59</v>
      </c>
      <c r="C577" s="124">
        <v>13.0</v>
      </c>
      <c r="D577" s="121" t="s">
        <v>1310</v>
      </c>
      <c r="E577" s="121" t="s">
        <v>1260</v>
      </c>
      <c r="F577" s="98"/>
      <c r="G577" s="98"/>
      <c r="H577" s="98"/>
      <c r="I577" s="98"/>
      <c r="J577" s="99"/>
    </row>
    <row r="578">
      <c r="A578" s="85" t="s">
        <v>20</v>
      </c>
      <c r="B578" s="114" t="s">
        <v>59</v>
      </c>
      <c r="C578" s="125">
        <v>14.0</v>
      </c>
      <c r="D578" s="119" t="s">
        <v>1311</v>
      </c>
      <c r="E578" s="119" t="s">
        <v>1312</v>
      </c>
      <c r="F578" s="100"/>
      <c r="G578" s="100"/>
      <c r="H578" s="100"/>
      <c r="I578" s="100"/>
      <c r="J578" s="99"/>
    </row>
    <row r="579">
      <c r="A579" s="93" t="s">
        <v>20</v>
      </c>
      <c r="B579" s="115" t="s">
        <v>59</v>
      </c>
      <c r="C579" s="124">
        <v>15.0</v>
      </c>
      <c r="D579" s="121" t="s">
        <v>1313</v>
      </c>
      <c r="E579" s="121" t="s">
        <v>1314</v>
      </c>
      <c r="F579" s="98"/>
      <c r="G579" s="98"/>
      <c r="H579" s="98"/>
      <c r="I579" s="98"/>
      <c r="J579" s="99"/>
    </row>
    <row r="580">
      <c r="A580" s="85" t="s">
        <v>20</v>
      </c>
      <c r="B580" s="114" t="s">
        <v>59</v>
      </c>
      <c r="C580" s="125">
        <v>16.0</v>
      </c>
      <c r="D580" s="119" t="s">
        <v>1315</v>
      </c>
      <c r="E580" s="119" t="s">
        <v>1316</v>
      </c>
      <c r="F580" s="100"/>
      <c r="G580" s="100"/>
      <c r="H580" s="100"/>
      <c r="I580" s="100"/>
      <c r="J580" s="99"/>
    </row>
    <row r="581">
      <c r="A581" s="93" t="s">
        <v>20</v>
      </c>
      <c r="B581" s="115" t="s">
        <v>59</v>
      </c>
      <c r="C581" s="124">
        <v>17.0</v>
      </c>
      <c r="D581" s="121" t="s">
        <v>1317</v>
      </c>
      <c r="E581" s="121" t="s">
        <v>1269</v>
      </c>
      <c r="F581" s="98"/>
      <c r="G581" s="98"/>
      <c r="H581" s="98"/>
      <c r="I581" s="98"/>
      <c r="J581" s="99"/>
    </row>
    <row r="582">
      <c r="A582" s="85" t="s">
        <v>20</v>
      </c>
      <c r="B582" s="114" t="s">
        <v>59</v>
      </c>
      <c r="C582" s="125">
        <v>18.0</v>
      </c>
      <c r="D582" s="119" t="s">
        <v>1318</v>
      </c>
      <c r="E582" s="119" t="s">
        <v>1201</v>
      </c>
      <c r="F582" s="100"/>
      <c r="G582" s="100"/>
      <c r="H582" s="100"/>
      <c r="I582" s="100"/>
      <c r="J582" s="99"/>
    </row>
    <row r="583">
      <c r="A583" s="93" t="s">
        <v>20</v>
      </c>
      <c r="B583" s="115" t="s">
        <v>59</v>
      </c>
      <c r="C583" s="124">
        <v>19.0</v>
      </c>
      <c r="D583" s="121" t="s">
        <v>1319</v>
      </c>
      <c r="E583" s="121" t="s">
        <v>1276</v>
      </c>
      <c r="F583" s="98"/>
      <c r="G583" s="98"/>
      <c r="H583" s="98"/>
      <c r="I583" s="98"/>
      <c r="J583" s="99"/>
    </row>
    <row r="584">
      <c r="A584" s="85" t="s">
        <v>20</v>
      </c>
      <c r="B584" s="114" t="s">
        <v>59</v>
      </c>
      <c r="C584" s="125">
        <v>20.0</v>
      </c>
      <c r="D584" s="119" t="s">
        <v>1320</v>
      </c>
      <c r="E584" s="119" t="s">
        <v>1321</v>
      </c>
      <c r="F584" s="100"/>
      <c r="G584" s="100"/>
      <c r="H584" s="100"/>
      <c r="I584" s="100"/>
      <c r="J584" s="99"/>
    </row>
    <row r="585">
      <c r="A585" s="93" t="s">
        <v>20</v>
      </c>
      <c r="B585" s="115" t="s">
        <v>59</v>
      </c>
      <c r="C585" s="124">
        <v>21.0</v>
      </c>
      <c r="D585" s="121" t="s">
        <v>1322</v>
      </c>
      <c r="E585" s="121" t="s">
        <v>1323</v>
      </c>
      <c r="F585" s="98"/>
      <c r="G585" s="98"/>
      <c r="H585" s="98"/>
      <c r="I585" s="98"/>
      <c r="J585" s="99"/>
    </row>
    <row r="586">
      <c r="A586" s="85" t="s">
        <v>20</v>
      </c>
      <c r="B586" s="114" t="s">
        <v>59</v>
      </c>
      <c r="C586" s="125">
        <v>22.0</v>
      </c>
      <c r="D586" s="119" t="s">
        <v>1324</v>
      </c>
      <c r="E586" s="119" t="s">
        <v>1325</v>
      </c>
      <c r="F586" s="100"/>
      <c r="G586" s="100"/>
      <c r="H586" s="100"/>
      <c r="I586" s="100"/>
      <c r="J586" s="99"/>
    </row>
    <row r="587">
      <c r="A587" s="93" t="s">
        <v>20</v>
      </c>
      <c r="B587" s="115" t="s">
        <v>59</v>
      </c>
      <c r="C587" s="124">
        <v>23.0</v>
      </c>
      <c r="D587" s="121" t="s">
        <v>1326</v>
      </c>
      <c r="E587" s="121" t="s">
        <v>1327</v>
      </c>
      <c r="F587" s="98"/>
      <c r="G587" s="98"/>
      <c r="H587" s="98"/>
      <c r="I587" s="98"/>
      <c r="J587" s="99"/>
    </row>
    <row r="588">
      <c r="A588" s="85" t="s">
        <v>20</v>
      </c>
      <c r="B588" s="114" t="s">
        <v>59</v>
      </c>
      <c r="C588" s="125">
        <v>24.0</v>
      </c>
      <c r="D588" s="119" t="s">
        <v>1328</v>
      </c>
      <c r="E588" s="119" t="s">
        <v>1329</v>
      </c>
      <c r="F588" s="100"/>
      <c r="G588" s="100"/>
      <c r="H588" s="100"/>
      <c r="I588" s="100"/>
      <c r="J588" s="99"/>
    </row>
    <row r="589">
      <c r="A589" s="93" t="s">
        <v>20</v>
      </c>
      <c r="B589" s="115" t="s">
        <v>59</v>
      </c>
      <c r="C589" s="124">
        <v>25.0</v>
      </c>
      <c r="D589" s="121" t="s">
        <v>1330</v>
      </c>
      <c r="E589" s="121" t="s">
        <v>1205</v>
      </c>
      <c r="F589" s="98"/>
      <c r="G589" s="98"/>
      <c r="H589" s="98"/>
      <c r="I589" s="98"/>
      <c r="J589" s="99"/>
    </row>
    <row r="590">
      <c r="A590" s="85" t="s">
        <v>20</v>
      </c>
      <c r="B590" s="114" t="s">
        <v>59</v>
      </c>
      <c r="C590" s="125">
        <v>26.0</v>
      </c>
      <c r="D590" s="119" t="s">
        <v>1331</v>
      </c>
      <c r="E590" s="119" t="s">
        <v>1332</v>
      </c>
      <c r="F590" s="100"/>
      <c r="G590" s="100"/>
      <c r="H590" s="100"/>
      <c r="I590" s="100"/>
      <c r="J590" s="99"/>
    </row>
    <row r="591">
      <c r="A591" s="93" t="s">
        <v>20</v>
      </c>
      <c r="B591" s="115" t="s">
        <v>59</v>
      </c>
      <c r="C591" s="124">
        <v>27.0</v>
      </c>
      <c r="D591" s="121" t="s">
        <v>1333</v>
      </c>
      <c r="E591" s="121" t="s">
        <v>1334</v>
      </c>
      <c r="F591" s="98"/>
      <c r="G591" s="98"/>
      <c r="H591" s="98"/>
      <c r="I591" s="98"/>
      <c r="J591" s="99"/>
    </row>
    <row r="592">
      <c r="A592" s="85" t="s">
        <v>20</v>
      </c>
      <c r="B592" s="114" t="s">
        <v>59</v>
      </c>
      <c r="C592" s="125">
        <v>28.0</v>
      </c>
      <c r="D592" s="119" t="s">
        <v>1335</v>
      </c>
      <c r="E592" s="119" t="s">
        <v>1336</v>
      </c>
      <c r="F592" s="100"/>
      <c r="G592" s="100"/>
      <c r="H592" s="100"/>
      <c r="I592" s="100"/>
      <c r="J592" s="99"/>
    </row>
    <row r="593">
      <c r="A593" s="93" t="s">
        <v>20</v>
      </c>
      <c r="B593" s="115" t="s">
        <v>59</v>
      </c>
      <c r="C593" s="124">
        <v>29.0</v>
      </c>
      <c r="D593" s="121" t="s">
        <v>1337</v>
      </c>
      <c r="E593" s="121" t="s">
        <v>1338</v>
      </c>
      <c r="F593" s="98"/>
      <c r="G593" s="98"/>
      <c r="H593" s="98"/>
      <c r="I593" s="98"/>
      <c r="J593" s="99"/>
    </row>
    <row r="594">
      <c r="A594" s="85" t="s">
        <v>20</v>
      </c>
      <c r="B594" s="114" t="s">
        <v>59</v>
      </c>
      <c r="C594" s="125">
        <v>30.0</v>
      </c>
      <c r="D594" s="119" t="s">
        <v>1339</v>
      </c>
      <c r="E594" s="119" t="s">
        <v>1340</v>
      </c>
      <c r="F594" s="100"/>
      <c r="G594" s="100"/>
      <c r="H594" s="100"/>
      <c r="I594" s="100"/>
      <c r="J594" s="99"/>
    </row>
    <row r="595">
      <c r="A595" s="92" t="s">
        <v>20</v>
      </c>
      <c r="B595" s="116" t="s">
        <v>70</v>
      </c>
      <c r="C595" s="122">
        <v>28.0</v>
      </c>
      <c r="D595" s="121" t="s">
        <v>1341</v>
      </c>
      <c r="E595" s="121" t="s">
        <v>1342</v>
      </c>
      <c r="F595" s="94"/>
      <c r="G595" s="98"/>
      <c r="H595" s="94"/>
      <c r="I595" s="94"/>
      <c r="J595" s="87"/>
    </row>
    <row r="596">
      <c r="A596" s="84" t="s">
        <v>20</v>
      </c>
      <c r="B596" s="117" t="s">
        <v>70</v>
      </c>
      <c r="C596" s="123">
        <v>1.0</v>
      </c>
      <c r="D596" s="119" t="s">
        <v>1343</v>
      </c>
      <c r="E596" s="119" t="s">
        <v>1176</v>
      </c>
      <c r="F596" s="86"/>
      <c r="G596" s="100"/>
      <c r="H596" s="86"/>
      <c r="I596" s="86"/>
      <c r="J596" s="87"/>
    </row>
    <row r="597">
      <c r="A597" s="92" t="s">
        <v>20</v>
      </c>
      <c r="B597" s="116" t="s">
        <v>70</v>
      </c>
      <c r="C597" s="122">
        <v>2.0</v>
      </c>
      <c r="D597" s="121" t="s">
        <v>1344</v>
      </c>
      <c r="E597" s="121" t="s">
        <v>1178</v>
      </c>
      <c r="F597" s="94"/>
      <c r="G597" s="98"/>
      <c r="H597" s="94"/>
      <c r="I597" s="94"/>
      <c r="J597" s="87"/>
    </row>
    <row r="598">
      <c r="A598" s="84" t="s">
        <v>20</v>
      </c>
      <c r="B598" s="117" t="s">
        <v>70</v>
      </c>
      <c r="C598" s="123">
        <v>3.0</v>
      </c>
      <c r="D598" s="119" t="s">
        <v>1345</v>
      </c>
      <c r="E598" s="119" t="s">
        <v>1346</v>
      </c>
      <c r="F598" s="86"/>
      <c r="G598" s="100"/>
      <c r="H598" s="86"/>
      <c r="I598" s="86"/>
      <c r="J598" s="87"/>
    </row>
    <row r="599">
      <c r="A599" s="92" t="s">
        <v>20</v>
      </c>
      <c r="B599" s="116" t="s">
        <v>70</v>
      </c>
      <c r="C599" s="122">
        <v>4.0</v>
      </c>
      <c r="D599" s="121" t="s">
        <v>1347</v>
      </c>
      <c r="E599" s="121" t="s">
        <v>1348</v>
      </c>
      <c r="F599" s="94"/>
      <c r="G599" s="98"/>
      <c r="H599" s="94"/>
      <c r="I599" s="94"/>
      <c r="J599" s="87"/>
    </row>
    <row r="600">
      <c r="A600" s="84" t="s">
        <v>20</v>
      </c>
      <c r="B600" s="117" t="s">
        <v>70</v>
      </c>
      <c r="C600" s="123">
        <v>6.0</v>
      </c>
      <c r="D600" s="119" t="s">
        <v>1349</v>
      </c>
      <c r="E600" s="119" t="s">
        <v>1350</v>
      </c>
      <c r="F600" s="86"/>
      <c r="G600" s="100"/>
      <c r="H600" s="86"/>
      <c r="I600" s="86"/>
      <c r="J600" s="87"/>
    </row>
    <row r="601">
      <c r="A601" s="92" t="s">
        <v>20</v>
      </c>
      <c r="B601" s="116" t="s">
        <v>70</v>
      </c>
      <c r="C601" s="122">
        <v>9.0</v>
      </c>
      <c r="D601" s="121" t="s">
        <v>1351</v>
      </c>
      <c r="E601" s="121" t="s">
        <v>1352</v>
      </c>
      <c r="F601" s="94"/>
      <c r="G601" s="98"/>
      <c r="H601" s="94"/>
      <c r="I601" s="94"/>
      <c r="J601" s="87"/>
    </row>
    <row r="602">
      <c r="A602" s="84" t="s">
        <v>20</v>
      </c>
      <c r="B602" s="117" t="s">
        <v>70</v>
      </c>
      <c r="C602" s="123">
        <v>10.0</v>
      </c>
      <c r="D602" s="119" t="s">
        <v>1353</v>
      </c>
      <c r="E602" s="119" t="s">
        <v>1352</v>
      </c>
      <c r="F602" s="86"/>
      <c r="G602" s="100"/>
      <c r="H602" s="86"/>
      <c r="I602" s="86"/>
      <c r="J602" s="87"/>
    </row>
    <row r="603">
      <c r="A603" s="92" t="s">
        <v>20</v>
      </c>
      <c r="B603" s="116" t="s">
        <v>70</v>
      </c>
      <c r="C603" s="122">
        <v>13.0</v>
      </c>
      <c r="D603" s="121" t="s">
        <v>1354</v>
      </c>
      <c r="E603" s="121" t="s">
        <v>1355</v>
      </c>
      <c r="F603" s="94"/>
      <c r="G603" s="98"/>
      <c r="H603" s="94"/>
      <c r="I603" s="94"/>
      <c r="J603" s="87"/>
    </row>
    <row r="604">
      <c r="A604" s="84" t="s">
        <v>20</v>
      </c>
      <c r="B604" s="117" t="s">
        <v>70</v>
      </c>
      <c r="C604" s="123">
        <v>14.0</v>
      </c>
      <c r="D604" s="119" t="s">
        <v>1356</v>
      </c>
      <c r="E604" s="119" t="s">
        <v>1357</v>
      </c>
      <c r="F604" s="86"/>
      <c r="G604" s="100"/>
      <c r="H604" s="86"/>
      <c r="I604" s="86"/>
      <c r="J604" s="87"/>
    </row>
    <row r="605">
      <c r="A605" s="92" t="s">
        <v>20</v>
      </c>
      <c r="B605" s="116" t="s">
        <v>70</v>
      </c>
      <c r="C605" s="122">
        <v>15.0</v>
      </c>
      <c r="D605" s="121" t="s">
        <v>1358</v>
      </c>
      <c r="E605" s="121" t="s">
        <v>1359</v>
      </c>
      <c r="F605" s="94"/>
      <c r="G605" s="98"/>
      <c r="H605" s="94"/>
      <c r="I605" s="94"/>
      <c r="J605" s="87"/>
    </row>
    <row r="606">
      <c r="A606" s="84" t="s">
        <v>20</v>
      </c>
      <c r="B606" s="117" t="s">
        <v>70</v>
      </c>
      <c r="C606" s="123">
        <v>16.0</v>
      </c>
      <c r="D606" s="119" t="s">
        <v>1360</v>
      </c>
      <c r="E606" s="119" t="s">
        <v>1361</v>
      </c>
      <c r="F606" s="86"/>
      <c r="G606" s="100"/>
      <c r="H606" s="86"/>
      <c r="I606" s="86"/>
      <c r="J606" s="87"/>
    </row>
    <row r="607">
      <c r="A607" s="92" t="s">
        <v>20</v>
      </c>
      <c r="B607" s="116" t="s">
        <v>70</v>
      </c>
      <c r="C607" s="122">
        <v>17.0</v>
      </c>
      <c r="D607" s="121" t="s">
        <v>1362</v>
      </c>
      <c r="E607" s="121" t="s">
        <v>1363</v>
      </c>
      <c r="F607" s="94"/>
      <c r="G607" s="98"/>
      <c r="H607" s="94"/>
      <c r="I607" s="94"/>
      <c r="J607" s="87"/>
    </row>
    <row r="608">
      <c r="A608" s="84" t="s">
        <v>20</v>
      </c>
      <c r="B608" s="117" t="s">
        <v>70</v>
      </c>
      <c r="C608" s="123">
        <v>18.0</v>
      </c>
      <c r="D608" s="119" t="s">
        <v>1364</v>
      </c>
      <c r="E608" s="119" t="s">
        <v>1365</v>
      </c>
      <c r="F608" s="86"/>
      <c r="G608" s="100"/>
      <c r="H608" s="86"/>
      <c r="I608" s="86"/>
      <c r="J608" s="87"/>
    </row>
    <row r="609">
      <c r="A609" s="92" t="s">
        <v>20</v>
      </c>
      <c r="B609" s="116" t="s">
        <v>70</v>
      </c>
      <c r="C609" s="122">
        <v>19.0</v>
      </c>
      <c r="D609" s="121" t="s">
        <v>1366</v>
      </c>
      <c r="E609" s="121" t="s">
        <v>1367</v>
      </c>
      <c r="F609" s="94"/>
      <c r="G609" s="98"/>
      <c r="H609" s="94"/>
      <c r="I609" s="94"/>
      <c r="J609" s="87"/>
    </row>
    <row r="610">
      <c r="A610" s="84" t="s">
        <v>20</v>
      </c>
      <c r="B610" s="117" t="s">
        <v>70</v>
      </c>
      <c r="C610" s="123">
        <v>21.0</v>
      </c>
      <c r="D610" s="119" t="s">
        <v>1368</v>
      </c>
      <c r="E610" s="119" t="s">
        <v>1369</v>
      </c>
      <c r="F610" s="86"/>
      <c r="G610" s="100"/>
      <c r="H610" s="86"/>
      <c r="I610" s="86"/>
      <c r="J610" s="87"/>
    </row>
    <row r="611">
      <c r="A611" s="92" t="s">
        <v>20</v>
      </c>
      <c r="B611" s="116" t="s">
        <v>70</v>
      </c>
      <c r="C611" s="122">
        <v>25.0</v>
      </c>
      <c r="D611" s="121" t="s">
        <v>1370</v>
      </c>
      <c r="E611" s="121" t="s">
        <v>1371</v>
      </c>
      <c r="F611" s="94"/>
      <c r="G611" s="98"/>
      <c r="H611" s="94"/>
      <c r="I611" s="94"/>
      <c r="J611" s="87"/>
    </row>
    <row r="612">
      <c r="A612" s="84" t="s">
        <v>20</v>
      </c>
      <c r="B612" s="117" t="s">
        <v>88</v>
      </c>
      <c r="C612" s="123">
        <v>2.0</v>
      </c>
      <c r="D612" s="119" t="s">
        <v>1372</v>
      </c>
      <c r="E612" s="119" t="s">
        <v>1373</v>
      </c>
      <c r="F612" s="86"/>
      <c r="G612" s="100"/>
      <c r="H612" s="86"/>
      <c r="I612" s="86"/>
      <c r="J612" s="87"/>
    </row>
    <row r="613">
      <c r="A613" s="92" t="s">
        <v>20</v>
      </c>
      <c r="B613" s="116" t="s">
        <v>88</v>
      </c>
      <c r="C613" s="122">
        <v>3.0</v>
      </c>
      <c r="D613" s="121" t="s">
        <v>1374</v>
      </c>
      <c r="E613" s="121" t="s">
        <v>1375</v>
      </c>
      <c r="F613" s="94"/>
      <c r="G613" s="98"/>
      <c r="H613" s="94"/>
      <c r="I613" s="94"/>
      <c r="J613" s="87"/>
    </row>
    <row r="614">
      <c r="A614" s="84" t="s">
        <v>20</v>
      </c>
      <c r="B614" s="117" t="s">
        <v>88</v>
      </c>
      <c r="C614" s="123">
        <v>5.0</v>
      </c>
      <c r="D614" s="119" t="s">
        <v>1376</v>
      </c>
      <c r="E614" s="119" t="s">
        <v>1377</v>
      </c>
      <c r="F614" s="86"/>
      <c r="G614" s="100"/>
      <c r="H614" s="86"/>
      <c r="I614" s="86"/>
      <c r="J614" s="87"/>
    </row>
    <row r="615">
      <c r="A615" s="92" t="s">
        <v>20</v>
      </c>
      <c r="B615" s="116" t="s">
        <v>88</v>
      </c>
      <c r="C615" s="122">
        <v>6.0</v>
      </c>
      <c r="D615" s="121" t="s">
        <v>1378</v>
      </c>
      <c r="E615" s="121" t="s">
        <v>1379</v>
      </c>
      <c r="F615" s="94"/>
      <c r="G615" s="98"/>
      <c r="H615" s="94"/>
      <c r="I615" s="94"/>
      <c r="J615" s="87"/>
    </row>
    <row r="616">
      <c r="A616" s="84" t="s">
        <v>20</v>
      </c>
      <c r="B616" s="117" t="s">
        <v>88</v>
      </c>
      <c r="C616" s="123">
        <v>32.0</v>
      </c>
      <c r="D616" s="119" t="s">
        <v>1380</v>
      </c>
      <c r="E616" s="119" t="s">
        <v>1381</v>
      </c>
      <c r="F616" s="86"/>
      <c r="G616" s="100"/>
      <c r="H616" s="86"/>
      <c r="I616" s="86"/>
      <c r="J616" s="87"/>
    </row>
    <row r="617">
      <c r="A617" s="92" t="s">
        <v>20</v>
      </c>
      <c r="B617" s="116" t="s">
        <v>88</v>
      </c>
      <c r="C617" s="122">
        <v>40.0</v>
      </c>
      <c r="D617" s="121" t="s">
        <v>1382</v>
      </c>
      <c r="E617" s="121" t="s">
        <v>1383</v>
      </c>
      <c r="F617" s="94"/>
      <c r="G617" s="98"/>
      <c r="H617" s="94"/>
      <c r="I617" s="94"/>
      <c r="J617" s="87"/>
    </row>
    <row r="618">
      <c r="A618" s="84" t="s">
        <v>20</v>
      </c>
      <c r="B618" s="117" t="s">
        <v>88</v>
      </c>
      <c r="C618" s="123">
        <v>41.0</v>
      </c>
      <c r="D618" s="119" t="s">
        <v>1384</v>
      </c>
      <c r="E618" s="119" t="s">
        <v>1385</v>
      </c>
      <c r="F618" s="86"/>
      <c r="G618" s="100"/>
      <c r="H618" s="86"/>
      <c r="I618" s="86"/>
      <c r="J618" s="87"/>
    </row>
    <row r="619">
      <c r="A619" s="92" t="s">
        <v>20</v>
      </c>
      <c r="B619" s="116" t="s">
        <v>88</v>
      </c>
      <c r="C619" s="122">
        <v>42.0</v>
      </c>
      <c r="D619" s="121" t="s">
        <v>1386</v>
      </c>
      <c r="E619" s="121" t="s">
        <v>1383</v>
      </c>
      <c r="F619" s="94"/>
      <c r="G619" s="98"/>
      <c r="H619" s="94"/>
      <c r="I619" s="94"/>
      <c r="J619" s="87"/>
    </row>
    <row r="620">
      <c r="A620" s="84" t="s">
        <v>20</v>
      </c>
      <c r="B620" s="117" t="s">
        <v>88</v>
      </c>
      <c r="C620" s="123">
        <v>44.0</v>
      </c>
      <c r="D620" s="119" t="s">
        <v>1387</v>
      </c>
      <c r="E620" s="119" t="s">
        <v>1383</v>
      </c>
      <c r="F620" s="86"/>
      <c r="G620" s="100"/>
      <c r="H620" s="86"/>
      <c r="I620" s="86"/>
      <c r="J620" s="87"/>
    </row>
    <row r="621">
      <c r="A621" s="92" t="s">
        <v>20</v>
      </c>
      <c r="B621" s="116" t="s">
        <v>88</v>
      </c>
      <c r="C621" s="122">
        <v>46.0</v>
      </c>
      <c r="D621" s="121" t="s">
        <v>1388</v>
      </c>
      <c r="E621" s="121" t="s">
        <v>1383</v>
      </c>
      <c r="F621" s="94"/>
      <c r="G621" s="98"/>
      <c r="H621" s="94"/>
      <c r="I621" s="94"/>
      <c r="J621" s="87"/>
    </row>
    <row r="622">
      <c r="A622" s="84" t="s">
        <v>20</v>
      </c>
      <c r="B622" s="117" t="s">
        <v>88</v>
      </c>
      <c r="C622" s="123">
        <v>48.0</v>
      </c>
      <c r="D622" s="119" t="s">
        <v>1389</v>
      </c>
      <c r="E622" s="119" t="s">
        <v>1383</v>
      </c>
      <c r="F622" s="86"/>
      <c r="G622" s="100"/>
      <c r="H622" s="86"/>
      <c r="I622" s="86"/>
      <c r="J622" s="87"/>
    </row>
    <row r="623">
      <c r="A623" s="92" t="s">
        <v>20</v>
      </c>
      <c r="B623" s="116" t="s">
        <v>88</v>
      </c>
      <c r="C623" s="122">
        <v>49.0</v>
      </c>
      <c r="D623" s="121" t="s">
        <v>1390</v>
      </c>
      <c r="E623" s="121" t="s">
        <v>1391</v>
      </c>
      <c r="F623" s="94"/>
      <c r="G623" s="98"/>
      <c r="H623" s="94"/>
      <c r="I623" s="94"/>
      <c r="J623" s="87"/>
    </row>
    <row r="624">
      <c r="A624" s="84" t="s">
        <v>20</v>
      </c>
      <c r="B624" s="117" t="s">
        <v>88</v>
      </c>
      <c r="C624" s="123">
        <v>50.0</v>
      </c>
      <c r="D624" s="119" t="s">
        <v>1392</v>
      </c>
      <c r="E624" s="119" t="s">
        <v>1383</v>
      </c>
      <c r="F624" s="86"/>
      <c r="G624" s="100"/>
      <c r="H624" s="86"/>
      <c r="I624" s="86"/>
      <c r="J624" s="87"/>
    </row>
    <row r="625">
      <c r="A625" s="92" t="s">
        <v>20</v>
      </c>
      <c r="B625" s="116" t="s">
        <v>88</v>
      </c>
      <c r="C625" s="122">
        <v>59.0</v>
      </c>
      <c r="D625" s="121" t="s">
        <v>1393</v>
      </c>
      <c r="E625" s="121" t="s">
        <v>1383</v>
      </c>
      <c r="F625" s="94"/>
      <c r="G625" s="98"/>
      <c r="H625" s="94"/>
      <c r="I625" s="94"/>
      <c r="J625" s="87"/>
    </row>
    <row r="626">
      <c r="A626" s="84" t="s">
        <v>20</v>
      </c>
      <c r="B626" s="117" t="s">
        <v>88</v>
      </c>
      <c r="C626" s="123">
        <v>63.0</v>
      </c>
      <c r="D626" s="119" t="s">
        <v>1394</v>
      </c>
      <c r="E626" s="119" t="s">
        <v>1383</v>
      </c>
      <c r="F626" s="86"/>
      <c r="G626" s="100"/>
      <c r="H626" s="86"/>
      <c r="I626" s="86"/>
      <c r="J626" s="87"/>
    </row>
    <row r="627">
      <c r="A627" s="92" t="s">
        <v>20</v>
      </c>
      <c r="B627" s="116" t="s">
        <v>88</v>
      </c>
      <c r="C627" s="122">
        <v>68.0</v>
      </c>
      <c r="D627" s="121" t="s">
        <v>1395</v>
      </c>
      <c r="E627" s="121" t="s">
        <v>1383</v>
      </c>
      <c r="F627" s="94"/>
      <c r="G627" s="98"/>
      <c r="H627" s="94"/>
      <c r="I627" s="94"/>
      <c r="J627" s="87"/>
    </row>
    <row r="628">
      <c r="A628" s="84" t="s">
        <v>20</v>
      </c>
      <c r="B628" s="117" t="s">
        <v>88</v>
      </c>
      <c r="C628" s="123">
        <v>69.0</v>
      </c>
      <c r="D628" s="119" t="s">
        <v>1396</v>
      </c>
      <c r="E628" s="119" t="s">
        <v>1397</v>
      </c>
      <c r="F628" s="86"/>
      <c r="G628" s="100"/>
      <c r="H628" s="86"/>
      <c r="I628" s="86"/>
      <c r="J628" s="87"/>
    </row>
    <row r="629">
      <c r="A629" s="92" t="s">
        <v>20</v>
      </c>
      <c r="B629" s="116" t="s">
        <v>88</v>
      </c>
      <c r="C629" s="122">
        <v>70.0</v>
      </c>
      <c r="D629" s="121" t="s">
        <v>1398</v>
      </c>
      <c r="E629" s="121" t="s">
        <v>1397</v>
      </c>
      <c r="F629" s="94"/>
      <c r="G629" s="98"/>
      <c r="H629" s="94"/>
      <c r="I629" s="94"/>
      <c r="J629" s="87"/>
    </row>
    <row r="630">
      <c r="A630" s="84" t="s">
        <v>20</v>
      </c>
      <c r="B630" s="117" t="s">
        <v>88</v>
      </c>
      <c r="C630" s="123">
        <v>71.0</v>
      </c>
      <c r="D630" s="119" t="s">
        <v>1399</v>
      </c>
      <c r="E630" s="119" t="s">
        <v>1397</v>
      </c>
      <c r="F630" s="86"/>
      <c r="G630" s="100"/>
      <c r="H630" s="86"/>
      <c r="I630" s="86"/>
      <c r="J630" s="87"/>
    </row>
    <row r="631">
      <c r="A631" s="92" t="s">
        <v>20</v>
      </c>
      <c r="B631" s="116" t="s">
        <v>88</v>
      </c>
      <c r="C631" s="122">
        <v>72.0</v>
      </c>
      <c r="D631" s="121" t="s">
        <v>1400</v>
      </c>
      <c r="E631" s="121" t="s">
        <v>1401</v>
      </c>
      <c r="F631" s="94"/>
      <c r="G631" s="98"/>
      <c r="H631" s="94"/>
      <c r="I631" s="94"/>
      <c r="J631" s="87"/>
    </row>
    <row r="632">
      <c r="A632" s="84" t="s">
        <v>20</v>
      </c>
      <c r="B632" s="117" t="s">
        <v>88</v>
      </c>
      <c r="C632" s="123">
        <v>73.0</v>
      </c>
      <c r="D632" s="119" t="s">
        <v>1402</v>
      </c>
      <c r="E632" s="119" t="s">
        <v>1403</v>
      </c>
      <c r="F632" s="86"/>
      <c r="G632" s="100"/>
      <c r="H632" s="86"/>
      <c r="I632" s="86"/>
      <c r="J632" s="87"/>
    </row>
    <row r="633">
      <c r="A633" s="92" t="s">
        <v>20</v>
      </c>
      <c r="B633" s="116" t="s">
        <v>88</v>
      </c>
      <c r="C633" s="122">
        <v>74.0</v>
      </c>
      <c r="D633" s="121" t="s">
        <v>1404</v>
      </c>
      <c r="E633" s="121" t="s">
        <v>1405</v>
      </c>
      <c r="F633" s="94"/>
      <c r="G633" s="98"/>
      <c r="H633" s="94"/>
      <c r="I633" s="94"/>
      <c r="J633" s="87"/>
    </row>
    <row r="634">
      <c r="A634" s="84" t="s">
        <v>20</v>
      </c>
      <c r="B634" s="117" t="s">
        <v>93</v>
      </c>
      <c r="C634" s="123">
        <v>1.0</v>
      </c>
      <c r="D634" s="119" t="s">
        <v>1406</v>
      </c>
      <c r="E634" s="119" t="s">
        <v>1407</v>
      </c>
      <c r="F634" s="86"/>
      <c r="G634" s="100"/>
      <c r="H634" s="86"/>
      <c r="I634" s="86"/>
      <c r="J634" s="87"/>
    </row>
    <row r="635">
      <c r="A635" s="92" t="s">
        <v>20</v>
      </c>
      <c r="B635" s="116" t="s">
        <v>93</v>
      </c>
      <c r="C635" s="122">
        <v>2.0</v>
      </c>
      <c r="D635" s="121" t="s">
        <v>1408</v>
      </c>
      <c r="E635" s="121" t="s">
        <v>1409</v>
      </c>
      <c r="F635" s="94"/>
      <c r="G635" s="98"/>
      <c r="H635" s="94"/>
      <c r="I635" s="94"/>
      <c r="J635" s="87"/>
    </row>
    <row r="636">
      <c r="A636" s="84" t="s">
        <v>20</v>
      </c>
      <c r="B636" s="117" t="s">
        <v>93</v>
      </c>
      <c r="C636" s="123">
        <v>3.0</v>
      </c>
      <c r="D636" s="119" t="s">
        <v>1410</v>
      </c>
      <c r="E636" s="119" t="s">
        <v>1411</v>
      </c>
      <c r="F636" s="86"/>
      <c r="G636" s="100"/>
      <c r="H636" s="86"/>
      <c r="I636" s="86"/>
      <c r="J636" s="87"/>
    </row>
    <row r="637">
      <c r="A637" s="92" t="s">
        <v>20</v>
      </c>
      <c r="B637" s="116" t="s">
        <v>93</v>
      </c>
      <c r="C637" s="122">
        <v>4.0</v>
      </c>
      <c r="D637" s="121" t="s">
        <v>1412</v>
      </c>
      <c r="E637" s="121" t="s">
        <v>1413</v>
      </c>
      <c r="F637" s="94"/>
      <c r="G637" s="98"/>
      <c r="H637" s="94"/>
      <c r="I637" s="94"/>
      <c r="J637" s="87"/>
    </row>
    <row r="638">
      <c r="A638" s="84" t="s">
        <v>20</v>
      </c>
      <c r="B638" s="117" t="s">
        <v>93</v>
      </c>
      <c r="C638" s="123">
        <v>5.0</v>
      </c>
      <c r="D638" s="119" t="s">
        <v>1414</v>
      </c>
      <c r="E638" s="119" t="s">
        <v>1415</v>
      </c>
      <c r="F638" s="86"/>
      <c r="G638" s="100"/>
      <c r="H638" s="86"/>
      <c r="I638" s="86"/>
      <c r="J638" s="87"/>
    </row>
    <row r="639">
      <c r="A639" s="92" t="s">
        <v>20</v>
      </c>
      <c r="B639" s="116" t="s">
        <v>93</v>
      </c>
      <c r="C639" s="122">
        <v>6.0</v>
      </c>
      <c r="D639" s="121" t="s">
        <v>1416</v>
      </c>
      <c r="E639" s="121" t="s">
        <v>1417</v>
      </c>
      <c r="F639" s="94"/>
      <c r="G639" s="98"/>
      <c r="H639" s="94"/>
      <c r="I639" s="94"/>
      <c r="J639" s="87"/>
    </row>
    <row r="640">
      <c r="A640" s="84" t="s">
        <v>20</v>
      </c>
      <c r="B640" s="117" t="s">
        <v>93</v>
      </c>
      <c r="C640" s="123">
        <v>7.0</v>
      </c>
      <c r="D640" s="119" t="s">
        <v>1418</v>
      </c>
      <c r="E640" s="119" t="s">
        <v>1419</v>
      </c>
      <c r="F640" s="86"/>
      <c r="G640" s="100"/>
      <c r="H640" s="86"/>
      <c r="I640" s="86"/>
      <c r="J640" s="87"/>
    </row>
    <row r="641">
      <c r="A641" s="92" t="s">
        <v>20</v>
      </c>
      <c r="B641" s="116" t="s">
        <v>93</v>
      </c>
      <c r="C641" s="122">
        <v>8.0</v>
      </c>
      <c r="D641" s="121" t="s">
        <v>1420</v>
      </c>
      <c r="E641" s="121" t="s">
        <v>1421</v>
      </c>
      <c r="F641" s="94"/>
      <c r="G641" s="98"/>
      <c r="H641" s="94"/>
      <c r="I641" s="94"/>
      <c r="J641" s="87"/>
    </row>
    <row r="642">
      <c r="A642" s="84" t="s">
        <v>20</v>
      </c>
      <c r="B642" s="117" t="s">
        <v>93</v>
      </c>
      <c r="C642" s="123">
        <v>9.0</v>
      </c>
      <c r="D642" s="119" t="s">
        <v>1422</v>
      </c>
      <c r="E642" s="119" t="s">
        <v>1421</v>
      </c>
      <c r="F642" s="86"/>
      <c r="G642" s="100"/>
      <c r="H642" s="86"/>
      <c r="I642" s="86"/>
      <c r="J642" s="87"/>
    </row>
    <row r="643">
      <c r="A643" s="92" t="s">
        <v>20</v>
      </c>
      <c r="B643" s="116" t="s">
        <v>93</v>
      </c>
      <c r="C643" s="122">
        <v>10.0</v>
      </c>
      <c r="D643" s="121" t="s">
        <v>1423</v>
      </c>
      <c r="E643" s="121" t="s">
        <v>1421</v>
      </c>
      <c r="F643" s="94"/>
      <c r="G643" s="98"/>
      <c r="H643" s="94"/>
      <c r="I643" s="94"/>
      <c r="J643" s="87"/>
    </row>
    <row r="644">
      <c r="A644" s="84" t="s">
        <v>20</v>
      </c>
      <c r="B644" s="117" t="s">
        <v>93</v>
      </c>
      <c r="C644" s="123">
        <v>11.0</v>
      </c>
      <c r="D644" s="119" t="s">
        <v>1424</v>
      </c>
      <c r="E644" s="119" t="s">
        <v>1425</v>
      </c>
      <c r="F644" s="86"/>
      <c r="G644" s="100"/>
      <c r="H644" s="86"/>
      <c r="I644" s="86"/>
      <c r="J644" s="87"/>
    </row>
    <row r="645">
      <c r="A645" s="92" t="s">
        <v>20</v>
      </c>
      <c r="B645" s="116" t="s">
        <v>93</v>
      </c>
      <c r="C645" s="122">
        <v>12.0</v>
      </c>
      <c r="D645" s="121" t="s">
        <v>1426</v>
      </c>
      <c r="E645" s="121" t="s">
        <v>1425</v>
      </c>
      <c r="F645" s="94"/>
      <c r="G645" s="98"/>
      <c r="H645" s="94"/>
      <c r="I645" s="94"/>
      <c r="J645" s="87"/>
    </row>
    <row r="646">
      <c r="A646" s="84" t="s">
        <v>20</v>
      </c>
      <c r="B646" s="117" t="s">
        <v>93</v>
      </c>
      <c r="C646" s="123">
        <v>13.0</v>
      </c>
      <c r="D646" s="119" t="s">
        <v>1427</v>
      </c>
      <c r="E646" s="119" t="s">
        <v>1428</v>
      </c>
      <c r="F646" s="86"/>
      <c r="G646" s="100"/>
      <c r="H646" s="86"/>
      <c r="I646" s="86"/>
      <c r="J646" s="87"/>
    </row>
    <row r="647">
      <c r="A647" s="92" t="s">
        <v>20</v>
      </c>
      <c r="B647" s="116" t="s">
        <v>93</v>
      </c>
      <c r="C647" s="122">
        <v>14.0</v>
      </c>
      <c r="D647" s="121" t="s">
        <v>1429</v>
      </c>
      <c r="E647" s="121" t="s">
        <v>1430</v>
      </c>
      <c r="F647" s="94"/>
      <c r="G647" s="98"/>
      <c r="H647" s="94"/>
      <c r="I647" s="94"/>
      <c r="J647" s="87"/>
    </row>
    <row r="648">
      <c r="A648" s="84" t="s">
        <v>20</v>
      </c>
      <c r="B648" s="117" t="s">
        <v>93</v>
      </c>
      <c r="C648" s="123">
        <v>15.0</v>
      </c>
      <c r="D648" s="119" t="s">
        <v>1431</v>
      </c>
      <c r="E648" s="119" t="s">
        <v>1432</v>
      </c>
      <c r="F648" s="86"/>
      <c r="G648" s="100"/>
      <c r="H648" s="86"/>
      <c r="I648" s="86"/>
      <c r="J648" s="87"/>
    </row>
    <row r="649">
      <c r="A649" s="92" t="s">
        <v>20</v>
      </c>
      <c r="B649" s="116" t="s">
        <v>93</v>
      </c>
      <c r="C649" s="122">
        <v>16.0</v>
      </c>
      <c r="D649" s="121" t="s">
        <v>1433</v>
      </c>
      <c r="E649" s="121" t="s">
        <v>1434</v>
      </c>
      <c r="F649" s="94"/>
      <c r="G649" s="98"/>
      <c r="H649" s="94"/>
      <c r="I649" s="94"/>
      <c r="J649" s="87"/>
    </row>
    <row r="650">
      <c r="A650" s="84" t="s">
        <v>20</v>
      </c>
      <c r="B650" s="117" t="s">
        <v>93</v>
      </c>
      <c r="C650" s="123">
        <v>17.0</v>
      </c>
      <c r="D650" s="119" t="s">
        <v>1435</v>
      </c>
      <c r="E650" s="119" t="s">
        <v>1430</v>
      </c>
      <c r="F650" s="86"/>
      <c r="G650" s="100"/>
      <c r="H650" s="86"/>
      <c r="I650" s="86"/>
      <c r="J650" s="87"/>
    </row>
    <row r="651">
      <c r="A651" s="92" t="s">
        <v>20</v>
      </c>
      <c r="B651" s="116" t="s">
        <v>93</v>
      </c>
      <c r="C651" s="122">
        <v>18.0</v>
      </c>
      <c r="D651" s="121" t="s">
        <v>1436</v>
      </c>
      <c r="E651" s="121" t="s">
        <v>1437</v>
      </c>
      <c r="F651" s="94"/>
      <c r="G651" s="98"/>
      <c r="H651" s="94"/>
      <c r="I651" s="94"/>
      <c r="J651" s="87"/>
    </row>
    <row r="652">
      <c r="A652" s="84" t="s">
        <v>20</v>
      </c>
      <c r="B652" s="117" t="s">
        <v>93</v>
      </c>
      <c r="C652" s="123">
        <v>19.0</v>
      </c>
      <c r="D652" s="119" t="s">
        <v>1438</v>
      </c>
      <c r="E652" s="119" t="s">
        <v>1439</v>
      </c>
      <c r="F652" s="86"/>
      <c r="G652" s="100"/>
      <c r="H652" s="86"/>
      <c r="I652" s="86"/>
      <c r="J652" s="87"/>
    </row>
    <row r="653">
      <c r="A653" s="92" t="s">
        <v>20</v>
      </c>
      <c r="B653" s="116" t="s">
        <v>93</v>
      </c>
      <c r="C653" s="122">
        <v>20.0</v>
      </c>
      <c r="D653" s="121" t="s">
        <v>1440</v>
      </c>
      <c r="E653" s="121" t="s">
        <v>1441</v>
      </c>
      <c r="F653" s="94"/>
      <c r="G653" s="98"/>
      <c r="H653" s="94"/>
      <c r="I653" s="94"/>
      <c r="J653" s="87"/>
    </row>
    <row r="654">
      <c r="A654" s="84" t="s">
        <v>20</v>
      </c>
      <c r="B654" s="117" t="s">
        <v>93</v>
      </c>
      <c r="C654" s="123">
        <v>21.0</v>
      </c>
      <c r="D654" s="119" t="s">
        <v>1442</v>
      </c>
      <c r="E654" s="119" t="s">
        <v>1441</v>
      </c>
      <c r="F654" s="86"/>
      <c r="G654" s="100"/>
      <c r="H654" s="86"/>
      <c r="I654" s="86"/>
      <c r="J654" s="87"/>
    </row>
    <row r="655">
      <c r="A655" s="92" t="s">
        <v>20</v>
      </c>
      <c r="B655" s="116" t="s">
        <v>93</v>
      </c>
      <c r="C655" s="122">
        <v>22.0</v>
      </c>
      <c r="D655" s="121" t="s">
        <v>1443</v>
      </c>
      <c r="E655" s="121" t="s">
        <v>1441</v>
      </c>
      <c r="F655" s="94"/>
      <c r="G655" s="98"/>
      <c r="H655" s="94"/>
      <c r="I655" s="94"/>
      <c r="J655" s="87"/>
    </row>
    <row r="656">
      <c r="A656" s="84" t="s">
        <v>20</v>
      </c>
      <c r="B656" s="117" t="s">
        <v>93</v>
      </c>
      <c r="C656" s="123">
        <v>23.0</v>
      </c>
      <c r="D656" s="119" t="s">
        <v>1444</v>
      </c>
      <c r="E656" s="119" t="s">
        <v>1441</v>
      </c>
      <c r="F656" s="86"/>
      <c r="G656" s="100"/>
      <c r="H656" s="86"/>
      <c r="I656" s="86"/>
      <c r="J656" s="87"/>
    </row>
    <row r="657">
      <c r="A657" s="92" t="s">
        <v>20</v>
      </c>
      <c r="B657" s="116" t="s">
        <v>93</v>
      </c>
      <c r="C657" s="122">
        <v>24.0</v>
      </c>
      <c r="D657" s="121" t="s">
        <v>1445</v>
      </c>
      <c r="E657" s="121" t="s">
        <v>1441</v>
      </c>
      <c r="F657" s="94"/>
      <c r="G657" s="98"/>
      <c r="H657" s="94"/>
      <c r="I657" s="94"/>
      <c r="J657" s="87"/>
    </row>
    <row r="658">
      <c r="A658" s="84" t="s">
        <v>20</v>
      </c>
      <c r="B658" s="117" t="s">
        <v>93</v>
      </c>
      <c r="C658" s="123">
        <v>25.0</v>
      </c>
      <c r="D658" s="119" t="s">
        <v>1446</v>
      </c>
      <c r="E658" s="119" t="s">
        <v>1447</v>
      </c>
      <c r="F658" s="86"/>
      <c r="G658" s="100"/>
      <c r="H658" s="86"/>
      <c r="I658" s="86"/>
      <c r="J658" s="87"/>
    </row>
    <row r="659">
      <c r="A659" s="92" t="s">
        <v>20</v>
      </c>
      <c r="B659" s="116" t="s">
        <v>93</v>
      </c>
      <c r="C659" s="122">
        <v>27.0</v>
      </c>
      <c r="D659" s="121" t="s">
        <v>1448</v>
      </c>
      <c r="E659" s="121" t="s">
        <v>1428</v>
      </c>
      <c r="F659" s="94"/>
      <c r="G659" s="98"/>
      <c r="H659" s="94"/>
      <c r="I659" s="94"/>
      <c r="J659" s="87"/>
    </row>
    <row r="660">
      <c r="A660" s="84" t="s">
        <v>20</v>
      </c>
      <c r="B660" s="117" t="s">
        <v>93</v>
      </c>
      <c r="C660" s="123">
        <v>28.0</v>
      </c>
      <c r="D660" s="119" t="s">
        <v>1449</v>
      </c>
      <c r="E660" s="119" t="s">
        <v>1450</v>
      </c>
      <c r="F660" s="86"/>
      <c r="G660" s="100"/>
      <c r="H660" s="86"/>
      <c r="I660" s="86"/>
      <c r="J660" s="87"/>
    </row>
    <row r="661">
      <c r="A661" s="92" t="s">
        <v>20</v>
      </c>
      <c r="B661" s="116" t="s">
        <v>93</v>
      </c>
      <c r="C661" s="122">
        <v>29.0</v>
      </c>
      <c r="D661" s="121" t="s">
        <v>1451</v>
      </c>
      <c r="E661" s="121" t="s">
        <v>1452</v>
      </c>
      <c r="F661" s="94"/>
      <c r="G661" s="98"/>
      <c r="H661" s="94"/>
      <c r="I661" s="94"/>
      <c r="J661" s="87"/>
    </row>
    <row r="662">
      <c r="A662" s="84" t="s">
        <v>20</v>
      </c>
      <c r="B662" s="117" t="s">
        <v>93</v>
      </c>
      <c r="C662" s="123">
        <v>30.0</v>
      </c>
      <c r="D662" s="119" t="s">
        <v>1453</v>
      </c>
      <c r="E662" s="119" t="s">
        <v>1454</v>
      </c>
      <c r="F662" s="86"/>
      <c r="G662" s="100"/>
      <c r="H662" s="86"/>
      <c r="I662" s="86"/>
      <c r="J662" s="87"/>
    </row>
    <row r="663">
      <c r="A663" s="92" t="s">
        <v>20</v>
      </c>
      <c r="B663" s="116" t="s">
        <v>93</v>
      </c>
      <c r="C663" s="122">
        <v>31.0</v>
      </c>
      <c r="D663" s="121" t="s">
        <v>1455</v>
      </c>
      <c r="E663" s="121" t="s">
        <v>1456</v>
      </c>
      <c r="F663" s="94"/>
      <c r="G663" s="98"/>
      <c r="H663" s="94"/>
      <c r="I663" s="94"/>
      <c r="J663" s="87"/>
    </row>
    <row r="664">
      <c r="A664" s="84" t="s">
        <v>20</v>
      </c>
      <c r="B664" s="117" t="s">
        <v>96</v>
      </c>
      <c r="C664" s="123">
        <v>1.0</v>
      </c>
      <c r="D664" s="119" t="s">
        <v>1457</v>
      </c>
      <c r="E664" s="119" t="s">
        <v>1458</v>
      </c>
      <c r="F664" s="86"/>
      <c r="G664" s="100"/>
      <c r="H664" s="86"/>
      <c r="I664" s="86"/>
      <c r="J664" s="87"/>
    </row>
    <row r="665">
      <c r="A665" s="92" t="s">
        <v>20</v>
      </c>
      <c r="B665" s="116" t="s">
        <v>96</v>
      </c>
      <c r="C665" s="122">
        <v>2.0</v>
      </c>
      <c r="D665" s="121" t="s">
        <v>1459</v>
      </c>
      <c r="E665" s="121" t="s">
        <v>1460</v>
      </c>
      <c r="F665" s="94"/>
      <c r="G665" s="98"/>
      <c r="H665" s="94"/>
      <c r="I665" s="94"/>
      <c r="J665" s="87"/>
    </row>
    <row r="666">
      <c r="A666" s="84" t="s">
        <v>20</v>
      </c>
      <c r="B666" s="117" t="s">
        <v>96</v>
      </c>
      <c r="C666" s="123">
        <v>3.0</v>
      </c>
      <c r="D666" s="119" t="s">
        <v>1461</v>
      </c>
      <c r="E666" s="119" t="s">
        <v>1462</v>
      </c>
      <c r="F666" s="86"/>
      <c r="G666" s="100"/>
      <c r="H666" s="86"/>
      <c r="I666" s="86"/>
      <c r="J666" s="87"/>
    </row>
    <row r="667">
      <c r="A667" s="92" t="s">
        <v>20</v>
      </c>
      <c r="B667" s="116" t="s">
        <v>96</v>
      </c>
      <c r="C667" s="122">
        <v>4.0</v>
      </c>
      <c r="D667" s="121" t="s">
        <v>1463</v>
      </c>
      <c r="E667" s="121" t="s">
        <v>1464</v>
      </c>
      <c r="F667" s="94"/>
      <c r="G667" s="98"/>
      <c r="H667" s="94"/>
      <c r="I667" s="94"/>
      <c r="J667" s="87"/>
    </row>
    <row r="668">
      <c r="A668" s="84" t="s">
        <v>20</v>
      </c>
      <c r="B668" s="117" t="s">
        <v>96</v>
      </c>
      <c r="C668" s="123">
        <v>5.0</v>
      </c>
      <c r="D668" s="119" t="s">
        <v>1465</v>
      </c>
      <c r="E668" s="119" t="s">
        <v>1466</v>
      </c>
      <c r="F668" s="86"/>
      <c r="G668" s="100"/>
      <c r="H668" s="86"/>
      <c r="I668" s="86"/>
      <c r="J668" s="87"/>
    </row>
    <row r="669">
      <c r="A669" s="92" t="s">
        <v>20</v>
      </c>
      <c r="B669" s="116" t="s">
        <v>96</v>
      </c>
      <c r="C669" s="122">
        <v>6.0</v>
      </c>
      <c r="D669" s="121" t="s">
        <v>1467</v>
      </c>
      <c r="E669" s="121" t="s">
        <v>1468</v>
      </c>
      <c r="F669" s="94"/>
      <c r="G669" s="98"/>
      <c r="H669" s="94"/>
      <c r="I669" s="94"/>
      <c r="J669" s="87"/>
    </row>
    <row r="670">
      <c r="A670" s="84" t="s">
        <v>20</v>
      </c>
      <c r="B670" s="117" t="s">
        <v>96</v>
      </c>
      <c r="C670" s="123">
        <v>7.0</v>
      </c>
      <c r="D670" s="119" t="s">
        <v>1469</v>
      </c>
      <c r="E670" s="119" t="s">
        <v>1470</v>
      </c>
      <c r="F670" s="86"/>
      <c r="G670" s="100"/>
      <c r="H670" s="86"/>
      <c r="I670" s="86"/>
      <c r="J670" s="87"/>
    </row>
    <row r="671">
      <c r="A671" s="92" t="s">
        <v>20</v>
      </c>
      <c r="B671" s="116" t="s">
        <v>96</v>
      </c>
      <c r="C671" s="122">
        <v>8.0</v>
      </c>
      <c r="D671" s="121" t="s">
        <v>1471</v>
      </c>
      <c r="E671" s="121" t="s">
        <v>1472</v>
      </c>
      <c r="F671" s="94"/>
      <c r="G671" s="98"/>
      <c r="H671" s="94"/>
      <c r="I671" s="94"/>
      <c r="J671" s="87"/>
    </row>
    <row r="672">
      <c r="A672" s="84" t="s">
        <v>20</v>
      </c>
      <c r="B672" s="117" t="s">
        <v>96</v>
      </c>
      <c r="C672" s="123">
        <v>9.0</v>
      </c>
      <c r="D672" s="119" t="s">
        <v>1473</v>
      </c>
      <c r="E672" s="119" t="s">
        <v>1474</v>
      </c>
      <c r="F672" s="86"/>
      <c r="G672" s="100"/>
      <c r="H672" s="86"/>
      <c r="I672" s="86"/>
      <c r="J672" s="87"/>
    </row>
    <row r="673">
      <c r="A673" s="92" t="s">
        <v>20</v>
      </c>
      <c r="B673" s="116" t="s">
        <v>96</v>
      </c>
      <c r="C673" s="122">
        <v>10.0</v>
      </c>
      <c r="D673" s="121" t="s">
        <v>1475</v>
      </c>
      <c r="E673" s="121" t="s">
        <v>1476</v>
      </c>
      <c r="F673" s="94"/>
      <c r="G673" s="98"/>
      <c r="H673" s="94"/>
      <c r="I673" s="94"/>
      <c r="J673" s="87"/>
    </row>
    <row r="674">
      <c r="A674" s="84" t="s">
        <v>20</v>
      </c>
      <c r="B674" s="117" t="s">
        <v>96</v>
      </c>
      <c r="C674" s="123">
        <v>12.0</v>
      </c>
      <c r="D674" s="119" t="s">
        <v>1477</v>
      </c>
      <c r="E674" s="119" t="s">
        <v>1478</v>
      </c>
      <c r="F674" s="86"/>
      <c r="G674" s="100"/>
      <c r="H674" s="86"/>
      <c r="I674" s="86"/>
      <c r="J674" s="87"/>
    </row>
    <row r="675">
      <c r="A675" s="92" t="s">
        <v>20</v>
      </c>
      <c r="B675" s="116" t="s">
        <v>96</v>
      </c>
      <c r="C675" s="122">
        <v>13.0</v>
      </c>
      <c r="D675" s="121" t="s">
        <v>1479</v>
      </c>
      <c r="E675" s="121" t="s">
        <v>1480</v>
      </c>
      <c r="F675" s="94"/>
      <c r="G675" s="98"/>
      <c r="H675" s="94"/>
      <c r="I675" s="94"/>
      <c r="J675" s="87"/>
    </row>
    <row r="676">
      <c r="A676" s="84" t="s">
        <v>20</v>
      </c>
      <c r="B676" s="117" t="s">
        <v>96</v>
      </c>
      <c r="C676" s="123">
        <v>14.0</v>
      </c>
      <c r="D676" s="119" t="s">
        <v>1481</v>
      </c>
      <c r="E676" s="119" t="s">
        <v>1480</v>
      </c>
      <c r="F676" s="86"/>
      <c r="G676" s="100"/>
      <c r="H676" s="86"/>
      <c r="I676" s="86"/>
      <c r="J676" s="87"/>
    </row>
    <row r="677">
      <c r="A677" s="92" t="s">
        <v>20</v>
      </c>
      <c r="B677" s="116" t="s">
        <v>96</v>
      </c>
      <c r="C677" s="122">
        <v>17.0</v>
      </c>
      <c r="D677" s="121" t="s">
        <v>1482</v>
      </c>
      <c r="E677" s="121" t="s">
        <v>1483</v>
      </c>
      <c r="F677" s="94"/>
      <c r="G677" s="98"/>
      <c r="H677" s="94"/>
      <c r="I677" s="94"/>
      <c r="J677" s="87"/>
    </row>
    <row r="678">
      <c r="A678" s="84" t="s">
        <v>20</v>
      </c>
      <c r="B678" s="117" t="s">
        <v>96</v>
      </c>
      <c r="C678" s="123">
        <v>18.0</v>
      </c>
      <c r="D678" s="119" t="s">
        <v>1484</v>
      </c>
      <c r="E678" s="119" t="s">
        <v>1483</v>
      </c>
      <c r="F678" s="86"/>
      <c r="G678" s="100"/>
      <c r="H678" s="86"/>
      <c r="I678" s="86"/>
      <c r="J678" s="87"/>
    </row>
    <row r="679">
      <c r="A679" s="92" t="s">
        <v>20</v>
      </c>
      <c r="B679" s="116" t="s">
        <v>96</v>
      </c>
      <c r="C679" s="122">
        <v>19.0</v>
      </c>
      <c r="D679" s="121" t="s">
        <v>1485</v>
      </c>
      <c r="E679" s="121" t="s">
        <v>1486</v>
      </c>
      <c r="F679" s="94"/>
      <c r="G679" s="98"/>
      <c r="H679" s="94"/>
      <c r="I679" s="94"/>
      <c r="J679" s="87"/>
    </row>
    <row r="680">
      <c r="A680" s="84" t="s">
        <v>20</v>
      </c>
      <c r="B680" s="117" t="s">
        <v>96</v>
      </c>
      <c r="C680" s="123">
        <v>20.0</v>
      </c>
      <c r="D680" s="119" t="s">
        <v>1487</v>
      </c>
      <c r="E680" s="119" t="s">
        <v>1480</v>
      </c>
      <c r="F680" s="86"/>
      <c r="G680" s="100"/>
      <c r="H680" s="86"/>
      <c r="I680" s="86"/>
      <c r="J680" s="87"/>
    </row>
    <row r="681">
      <c r="A681" s="92" t="s">
        <v>20</v>
      </c>
      <c r="B681" s="116" t="s">
        <v>96</v>
      </c>
      <c r="C681" s="122">
        <v>21.0</v>
      </c>
      <c r="D681" s="121" t="s">
        <v>1488</v>
      </c>
      <c r="E681" s="121" t="s">
        <v>1480</v>
      </c>
      <c r="F681" s="94"/>
      <c r="G681" s="98"/>
      <c r="H681" s="94"/>
      <c r="I681" s="94"/>
      <c r="J681" s="87"/>
    </row>
    <row r="682">
      <c r="A682" s="84" t="s">
        <v>20</v>
      </c>
      <c r="B682" s="117" t="s">
        <v>96</v>
      </c>
      <c r="C682" s="123">
        <v>22.0</v>
      </c>
      <c r="D682" s="119" t="s">
        <v>1489</v>
      </c>
      <c r="E682" s="119" t="s">
        <v>1480</v>
      </c>
      <c r="F682" s="86"/>
      <c r="G682" s="100"/>
      <c r="H682" s="86"/>
      <c r="I682" s="86"/>
      <c r="J682" s="87"/>
    </row>
    <row r="683">
      <c r="A683" s="92" t="s">
        <v>20</v>
      </c>
      <c r="B683" s="116" t="s">
        <v>96</v>
      </c>
      <c r="C683" s="122">
        <v>24.0</v>
      </c>
      <c r="D683" s="121" t="s">
        <v>1490</v>
      </c>
      <c r="E683" s="121" t="s">
        <v>1491</v>
      </c>
      <c r="F683" s="94"/>
      <c r="G683" s="98"/>
      <c r="H683" s="94"/>
      <c r="I683" s="94"/>
      <c r="J683" s="87"/>
    </row>
    <row r="684">
      <c r="A684" s="84" t="s">
        <v>20</v>
      </c>
      <c r="B684" s="117" t="s">
        <v>96</v>
      </c>
      <c r="C684" s="123">
        <v>25.0</v>
      </c>
      <c r="D684" s="119" t="s">
        <v>1492</v>
      </c>
      <c r="E684" s="119" t="s">
        <v>1493</v>
      </c>
      <c r="F684" s="86"/>
      <c r="G684" s="100"/>
      <c r="H684" s="86"/>
      <c r="I684" s="86"/>
      <c r="J684" s="87"/>
    </row>
    <row r="685">
      <c r="A685" s="92" t="s">
        <v>20</v>
      </c>
      <c r="B685" s="116" t="s">
        <v>96</v>
      </c>
      <c r="C685" s="122">
        <v>26.0</v>
      </c>
      <c r="D685" s="121" t="s">
        <v>1494</v>
      </c>
      <c r="E685" s="121" t="s">
        <v>1495</v>
      </c>
      <c r="F685" s="94"/>
      <c r="G685" s="98"/>
      <c r="H685" s="94"/>
      <c r="I685" s="94"/>
      <c r="J685" s="87"/>
    </row>
    <row r="686">
      <c r="A686" s="84" t="s">
        <v>20</v>
      </c>
      <c r="B686" s="117" t="s">
        <v>96</v>
      </c>
      <c r="C686" s="123">
        <v>27.0</v>
      </c>
      <c r="D686" s="119" t="s">
        <v>1496</v>
      </c>
      <c r="E686" s="119" t="s">
        <v>1497</v>
      </c>
      <c r="F686" s="86"/>
      <c r="G686" s="100"/>
      <c r="H686" s="86"/>
      <c r="I686" s="86"/>
      <c r="J686" s="87"/>
    </row>
    <row r="687">
      <c r="A687" s="92" t="s">
        <v>20</v>
      </c>
      <c r="B687" s="116" t="s">
        <v>96</v>
      </c>
      <c r="C687" s="122">
        <v>28.0</v>
      </c>
      <c r="D687" s="121" t="s">
        <v>1498</v>
      </c>
      <c r="E687" s="121" t="s">
        <v>1495</v>
      </c>
      <c r="F687" s="94"/>
      <c r="G687" s="98"/>
      <c r="H687" s="94"/>
      <c r="I687" s="94"/>
      <c r="J687" s="87"/>
    </row>
    <row r="688">
      <c r="A688" s="84" t="s">
        <v>20</v>
      </c>
      <c r="B688" s="117" t="s">
        <v>96</v>
      </c>
      <c r="C688" s="123">
        <v>29.0</v>
      </c>
      <c r="D688" s="119" t="s">
        <v>1499</v>
      </c>
      <c r="E688" s="119" t="s">
        <v>1495</v>
      </c>
      <c r="F688" s="86"/>
      <c r="G688" s="100"/>
      <c r="H688" s="86"/>
      <c r="I688" s="86"/>
      <c r="J688" s="87"/>
    </row>
    <row r="689">
      <c r="A689" s="92" t="s">
        <v>20</v>
      </c>
      <c r="B689" s="116" t="s">
        <v>96</v>
      </c>
      <c r="C689" s="122">
        <v>30.0</v>
      </c>
      <c r="D689" s="121" t="s">
        <v>1500</v>
      </c>
      <c r="E689" s="121" t="s">
        <v>1495</v>
      </c>
      <c r="F689" s="94"/>
      <c r="G689" s="98"/>
      <c r="H689" s="94"/>
      <c r="I689" s="94"/>
      <c r="J689" s="87"/>
    </row>
    <row r="690">
      <c r="A690" s="84" t="s">
        <v>20</v>
      </c>
      <c r="B690" s="117" t="s">
        <v>96</v>
      </c>
      <c r="C690" s="123">
        <v>31.0</v>
      </c>
      <c r="D690" s="119" t="s">
        <v>1501</v>
      </c>
      <c r="E690" s="119" t="s">
        <v>1495</v>
      </c>
      <c r="F690" s="86"/>
      <c r="G690" s="100"/>
      <c r="H690" s="86"/>
      <c r="I690" s="86"/>
      <c r="J690" s="87"/>
    </row>
    <row r="691">
      <c r="A691" s="92" t="s">
        <v>20</v>
      </c>
      <c r="B691" s="116" t="s">
        <v>96</v>
      </c>
      <c r="C691" s="122">
        <v>33.0</v>
      </c>
      <c r="D691" s="121" t="s">
        <v>1502</v>
      </c>
      <c r="E691" s="121" t="s">
        <v>1503</v>
      </c>
      <c r="F691" s="94"/>
      <c r="G691" s="98"/>
      <c r="H691" s="94"/>
      <c r="I691" s="94"/>
      <c r="J691" s="87"/>
    </row>
    <row r="692">
      <c r="A692" s="84" t="s">
        <v>20</v>
      </c>
      <c r="B692" s="117" t="s">
        <v>96</v>
      </c>
      <c r="C692" s="123">
        <v>34.0</v>
      </c>
      <c r="D692" s="119" t="s">
        <v>1504</v>
      </c>
      <c r="E692" s="119" t="s">
        <v>1505</v>
      </c>
      <c r="F692" s="86"/>
      <c r="G692" s="100"/>
      <c r="H692" s="86"/>
      <c r="I692" s="86"/>
      <c r="J692" s="87"/>
    </row>
    <row r="693">
      <c r="A693" s="92" t="s">
        <v>20</v>
      </c>
      <c r="B693" s="116" t="s">
        <v>96</v>
      </c>
      <c r="C693" s="122">
        <v>35.0</v>
      </c>
      <c r="D693" s="121" t="s">
        <v>1506</v>
      </c>
      <c r="E693" s="121" t="s">
        <v>1507</v>
      </c>
      <c r="F693" s="94"/>
      <c r="G693" s="98"/>
      <c r="H693" s="94"/>
      <c r="I693" s="94"/>
      <c r="J693" s="87"/>
    </row>
    <row r="694">
      <c r="A694" s="84" t="s">
        <v>20</v>
      </c>
      <c r="B694" s="117" t="s">
        <v>96</v>
      </c>
      <c r="C694" s="123">
        <v>36.0</v>
      </c>
      <c r="D694" s="119" t="s">
        <v>1508</v>
      </c>
      <c r="E694" s="119" t="s">
        <v>1509</v>
      </c>
      <c r="F694" s="86"/>
      <c r="G694" s="100"/>
      <c r="H694" s="86"/>
      <c r="I694" s="86"/>
      <c r="J694" s="87"/>
    </row>
    <row r="695">
      <c r="A695" s="92" t="s">
        <v>20</v>
      </c>
      <c r="B695" s="116" t="s">
        <v>96</v>
      </c>
      <c r="C695" s="122">
        <v>37.0</v>
      </c>
      <c r="D695" s="121" t="s">
        <v>1510</v>
      </c>
      <c r="E695" s="121" t="s">
        <v>1470</v>
      </c>
      <c r="F695" s="94"/>
      <c r="G695" s="98"/>
      <c r="H695" s="94"/>
      <c r="I695" s="94"/>
      <c r="J695" s="87"/>
    </row>
    <row r="696">
      <c r="A696" s="84" t="s">
        <v>20</v>
      </c>
      <c r="B696" s="117" t="s">
        <v>96</v>
      </c>
      <c r="C696" s="123">
        <v>38.0</v>
      </c>
      <c r="D696" s="119" t="s">
        <v>1511</v>
      </c>
      <c r="E696" s="119" t="s">
        <v>1470</v>
      </c>
      <c r="F696" s="86"/>
      <c r="G696" s="100"/>
      <c r="H696" s="86"/>
      <c r="I696" s="86"/>
      <c r="J696" s="87"/>
    </row>
    <row r="697">
      <c r="A697" s="92" t="s">
        <v>20</v>
      </c>
      <c r="B697" s="116" t="s">
        <v>96</v>
      </c>
      <c r="C697" s="122">
        <v>39.0</v>
      </c>
      <c r="D697" s="121" t="s">
        <v>1512</v>
      </c>
      <c r="E697" s="121" t="s">
        <v>1513</v>
      </c>
      <c r="F697" s="94"/>
      <c r="G697" s="98"/>
      <c r="H697" s="94"/>
      <c r="I697" s="94"/>
      <c r="J697" s="87"/>
    </row>
    <row r="698">
      <c r="A698" s="84" t="s">
        <v>20</v>
      </c>
      <c r="B698" s="117" t="s">
        <v>96</v>
      </c>
      <c r="C698" s="123">
        <v>40.0</v>
      </c>
      <c r="D698" s="119" t="s">
        <v>1514</v>
      </c>
      <c r="E698" s="119" t="s">
        <v>1515</v>
      </c>
      <c r="F698" s="86"/>
      <c r="G698" s="100"/>
      <c r="H698" s="86"/>
      <c r="I698" s="86"/>
      <c r="J698" s="87"/>
    </row>
    <row r="699">
      <c r="A699" s="92" t="s">
        <v>20</v>
      </c>
      <c r="B699" s="116" t="s">
        <v>96</v>
      </c>
      <c r="C699" s="122">
        <v>41.0</v>
      </c>
      <c r="D699" s="121" t="s">
        <v>1516</v>
      </c>
      <c r="E699" s="121" t="s">
        <v>1517</v>
      </c>
      <c r="F699" s="94"/>
      <c r="G699" s="98"/>
      <c r="H699" s="94"/>
      <c r="I699" s="94"/>
      <c r="J699" s="87"/>
    </row>
    <row r="700">
      <c r="A700" s="84" t="s">
        <v>20</v>
      </c>
      <c r="B700" s="117" t="s">
        <v>96</v>
      </c>
      <c r="C700" s="123">
        <v>42.0</v>
      </c>
      <c r="D700" s="119" t="s">
        <v>1518</v>
      </c>
      <c r="E700" s="119" t="s">
        <v>1519</v>
      </c>
      <c r="F700" s="86"/>
      <c r="G700" s="100"/>
      <c r="H700" s="86"/>
      <c r="I700" s="86"/>
      <c r="J700" s="87"/>
    </row>
    <row r="701">
      <c r="A701" s="92" t="s">
        <v>20</v>
      </c>
      <c r="B701" s="116" t="s">
        <v>96</v>
      </c>
      <c r="C701" s="122">
        <v>43.0</v>
      </c>
      <c r="D701" s="121" t="s">
        <v>1520</v>
      </c>
      <c r="E701" s="121" t="s">
        <v>1517</v>
      </c>
      <c r="F701" s="94"/>
      <c r="G701" s="98"/>
      <c r="H701" s="94"/>
      <c r="I701" s="94"/>
      <c r="J701" s="87"/>
    </row>
    <row r="702">
      <c r="A702" s="84" t="s">
        <v>20</v>
      </c>
      <c r="B702" s="117" t="s">
        <v>96</v>
      </c>
      <c r="C702" s="123">
        <v>44.0</v>
      </c>
      <c r="D702" s="119" t="s">
        <v>1521</v>
      </c>
      <c r="E702" s="119" t="s">
        <v>1522</v>
      </c>
      <c r="F702" s="86"/>
      <c r="G702" s="100"/>
      <c r="H702" s="86"/>
      <c r="I702" s="86"/>
      <c r="J702" s="87"/>
    </row>
    <row r="703">
      <c r="A703" s="92" t="s">
        <v>20</v>
      </c>
      <c r="B703" s="116" t="s">
        <v>96</v>
      </c>
      <c r="C703" s="122">
        <v>45.0</v>
      </c>
      <c r="D703" s="121" t="s">
        <v>1523</v>
      </c>
      <c r="E703" s="121" t="s">
        <v>1524</v>
      </c>
      <c r="F703" s="94"/>
      <c r="G703" s="98"/>
      <c r="H703" s="94"/>
      <c r="I703" s="94"/>
      <c r="J703" s="87"/>
    </row>
    <row r="704">
      <c r="A704" s="84" t="s">
        <v>20</v>
      </c>
      <c r="B704" s="117" t="s">
        <v>96</v>
      </c>
      <c r="C704" s="123">
        <v>46.0</v>
      </c>
      <c r="D704" s="119" t="s">
        <v>1525</v>
      </c>
      <c r="E704" s="119" t="s">
        <v>1526</v>
      </c>
      <c r="F704" s="86"/>
      <c r="G704" s="100"/>
      <c r="H704" s="86"/>
      <c r="I704" s="86"/>
      <c r="J704" s="87"/>
    </row>
    <row r="705">
      <c r="A705" s="92" t="s">
        <v>20</v>
      </c>
      <c r="B705" s="116" t="s">
        <v>96</v>
      </c>
      <c r="C705" s="122">
        <v>47.0</v>
      </c>
      <c r="D705" s="121" t="s">
        <v>1527</v>
      </c>
      <c r="E705" s="121" t="s">
        <v>1528</v>
      </c>
      <c r="F705" s="94"/>
      <c r="G705" s="98"/>
      <c r="H705" s="94"/>
      <c r="I705" s="94"/>
      <c r="J705" s="87"/>
    </row>
    <row r="706">
      <c r="A706" s="84" t="s">
        <v>20</v>
      </c>
      <c r="B706" s="117" t="s">
        <v>96</v>
      </c>
      <c r="C706" s="123">
        <v>48.0</v>
      </c>
      <c r="D706" s="119" t="s">
        <v>1529</v>
      </c>
      <c r="E706" s="119" t="s">
        <v>1526</v>
      </c>
      <c r="F706" s="86"/>
      <c r="G706" s="100"/>
      <c r="H706" s="86"/>
      <c r="I706" s="86"/>
      <c r="J706" s="87"/>
    </row>
    <row r="707">
      <c r="A707" s="92" t="s">
        <v>20</v>
      </c>
      <c r="B707" s="116" t="s">
        <v>96</v>
      </c>
      <c r="C707" s="122">
        <v>49.0</v>
      </c>
      <c r="D707" s="121" t="s">
        <v>1530</v>
      </c>
      <c r="E707" s="121" t="s">
        <v>1526</v>
      </c>
      <c r="F707" s="94"/>
      <c r="G707" s="98"/>
      <c r="H707" s="94"/>
      <c r="I707" s="94"/>
      <c r="J707" s="87"/>
    </row>
    <row r="708">
      <c r="A708" s="84" t="s">
        <v>20</v>
      </c>
      <c r="B708" s="117" t="s">
        <v>96</v>
      </c>
      <c r="C708" s="123">
        <v>50.0</v>
      </c>
      <c r="D708" s="119" t="s">
        <v>1531</v>
      </c>
      <c r="E708" s="119" t="s">
        <v>1532</v>
      </c>
      <c r="F708" s="86"/>
      <c r="G708" s="100"/>
      <c r="H708" s="86"/>
      <c r="I708" s="86"/>
      <c r="J708" s="87"/>
    </row>
    <row r="709">
      <c r="A709" s="92" t="s">
        <v>20</v>
      </c>
      <c r="B709" s="116" t="s">
        <v>99</v>
      </c>
      <c r="C709" s="122">
        <v>2.0</v>
      </c>
      <c r="D709" s="121" t="s">
        <v>1533</v>
      </c>
      <c r="E709" s="121" t="s">
        <v>1178</v>
      </c>
      <c r="F709" s="94"/>
      <c r="G709" s="98"/>
      <c r="H709" s="94"/>
      <c r="I709" s="94"/>
      <c r="J709" s="87"/>
    </row>
    <row r="710">
      <c r="A710" s="84" t="s">
        <v>20</v>
      </c>
      <c r="B710" s="117" t="s">
        <v>99</v>
      </c>
      <c r="C710" s="123">
        <v>3.0</v>
      </c>
      <c r="D710" s="119" t="s">
        <v>1534</v>
      </c>
      <c r="E710" s="119" t="s">
        <v>1535</v>
      </c>
      <c r="F710" s="86"/>
      <c r="G710" s="100"/>
      <c r="H710" s="86"/>
      <c r="I710" s="86"/>
      <c r="J710" s="87"/>
    </row>
    <row r="711">
      <c r="A711" s="92" t="s">
        <v>20</v>
      </c>
      <c r="B711" s="116" t="s">
        <v>99</v>
      </c>
      <c r="C711" s="122">
        <v>5.0</v>
      </c>
      <c r="D711" s="121" t="s">
        <v>1536</v>
      </c>
      <c r="E711" s="121" t="s">
        <v>1537</v>
      </c>
      <c r="F711" s="94"/>
      <c r="G711" s="98"/>
      <c r="H711" s="94"/>
      <c r="I711" s="94"/>
      <c r="J711" s="87"/>
    </row>
    <row r="712">
      <c r="A712" s="84" t="s">
        <v>20</v>
      </c>
      <c r="B712" s="117" t="s">
        <v>99</v>
      </c>
      <c r="C712" s="123">
        <v>6.0</v>
      </c>
      <c r="D712" s="119" t="s">
        <v>1538</v>
      </c>
      <c r="E712" s="119" t="s">
        <v>1350</v>
      </c>
      <c r="F712" s="86"/>
      <c r="G712" s="100"/>
      <c r="H712" s="86"/>
      <c r="I712" s="86"/>
      <c r="J712" s="87"/>
    </row>
    <row r="713">
      <c r="A713" s="92" t="s">
        <v>20</v>
      </c>
      <c r="B713" s="116" t="s">
        <v>99</v>
      </c>
      <c r="C713" s="122">
        <v>32.0</v>
      </c>
      <c r="D713" s="121" t="s">
        <v>1539</v>
      </c>
      <c r="E713" s="121" t="s">
        <v>1540</v>
      </c>
      <c r="F713" s="94"/>
      <c r="G713" s="98"/>
      <c r="H713" s="94"/>
      <c r="I713" s="94"/>
      <c r="J713" s="87"/>
    </row>
    <row r="714">
      <c r="A714" s="84" t="s">
        <v>20</v>
      </c>
      <c r="B714" s="117" t="s">
        <v>99</v>
      </c>
      <c r="C714" s="123">
        <v>40.0</v>
      </c>
      <c r="D714" s="119" t="s">
        <v>1541</v>
      </c>
      <c r="E714" s="119" t="s">
        <v>1542</v>
      </c>
      <c r="F714" s="86"/>
      <c r="G714" s="100"/>
      <c r="H714" s="86"/>
      <c r="I714" s="86"/>
      <c r="J714" s="87"/>
    </row>
    <row r="715">
      <c r="A715" s="92" t="s">
        <v>20</v>
      </c>
      <c r="B715" s="116" t="s">
        <v>99</v>
      </c>
      <c r="C715" s="122">
        <v>41.0</v>
      </c>
      <c r="D715" s="121" t="s">
        <v>1543</v>
      </c>
      <c r="E715" s="121" t="s">
        <v>1544</v>
      </c>
      <c r="F715" s="94"/>
      <c r="G715" s="98"/>
      <c r="H715" s="94"/>
      <c r="I715" s="94"/>
      <c r="J715" s="87"/>
    </row>
    <row r="716">
      <c r="A716" s="84" t="s">
        <v>20</v>
      </c>
      <c r="B716" s="117" t="s">
        <v>99</v>
      </c>
      <c r="C716" s="123">
        <v>42.0</v>
      </c>
      <c r="D716" s="119" t="s">
        <v>1545</v>
      </c>
      <c r="E716" s="119" t="s">
        <v>1542</v>
      </c>
      <c r="F716" s="86"/>
      <c r="G716" s="100"/>
      <c r="H716" s="86"/>
      <c r="I716" s="86"/>
      <c r="J716" s="87"/>
    </row>
    <row r="717">
      <c r="A717" s="92" t="s">
        <v>20</v>
      </c>
      <c r="B717" s="116" t="s">
        <v>99</v>
      </c>
      <c r="C717" s="122">
        <v>44.0</v>
      </c>
      <c r="D717" s="121" t="s">
        <v>1546</v>
      </c>
      <c r="E717" s="121" t="s">
        <v>1542</v>
      </c>
      <c r="F717" s="94"/>
      <c r="G717" s="98"/>
      <c r="H717" s="94"/>
      <c r="I717" s="94"/>
      <c r="J717" s="87"/>
    </row>
    <row r="718">
      <c r="A718" s="84" t="s">
        <v>20</v>
      </c>
      <c r="B718" s="117" t="s">
        <v>99</v>
      </c>
      <c r="C718" s="123">
        <v>46.0</v>
      </c>
      <c r="D718" s="119" t="s">
        <v>1547</v>
      </c>
      <c r="E718" s="119" t="s">
        <v>1542</v>
      </c>
      <c r="F718" s="86"/>
      <c r="G718" s="100"/>
      <c r="H718" s="86"/>
      <c r="I718" s="86"/>
      <c r="J718" s="87"/>
    </row>
    <row r="719">
      <c r="A719" s="92" t="s">
        <v>20</v>
      </c>
      <c r="B719" s="116" t="s">
        <v>99</v>
      </c>
      <c r="C719" s="122">
        <v>48.0</v>
      </c>
      <c r="D719" s="121" t="s">
        <v>1548</v>
      </c>
      <c r="E719" s="121" t="s">
        <v>1542</v>
      </c>
      <c r="F719" s="94"/>
      <c r="G719" s="98"/>
      <c r="H719" s="94"/>
      <c r="I719" s="94"/>
      <c r="J719" s="87"/>
    </row>
    <row r="720">
      <c r="A720" s="84" t="s">
        <v>20</v>
      </c>
      <c r="B720" s="117" t="s">
        <v>99</v>
      </c>
      <c r="C720" s="123">
        <v>49.0</v>
      </c>
      <c r="D720" s="119" t="s">
        <v>1549</v>
      </c>
      <c r="E720" s="119" t="s">
        <v>1550</v>
      </c>
      <c r="F720" s="86"/>
      <c r="G720" s="100"/>
      <c r="H720" s="86"/>
      <c r="I720" s="86"/>
      <c r="J720" s="87"/>
    </row>
    <row r="721">
      <c r="A721" s="92" t="s">
        <v>20</v>
      </c>
      <c r="B721" s="116" t="s">
        <v>99</v>
      </c>
      <c r="C721" s="122">
        <v>50.0</v>
      </c>
      <c r="D721" s="121" t="s">
        <v>1551</v>
      </c>
      <c r="E721" s="121" t="s">
        <v>1542</v>
      </c>
      <c r="F721" s="94"/>
      <c r="G721" s="98"/>
      <c r="H721" s="94"/>
      <c r="I721" s="94"/>
      <c r="J721" s="87"/>
    </row>
    <row r="722">
      <c r="A722" s="84" t="s">
        <v>20</v>
      </c>
      <c r="B722" s="117" t="s">
        <v>99</v>
      </c>
      <c r="C722" s="123">
        <v>59.0</v>
      </c>
      <c r="D722" s="119" t="s">
        <v>1552</v>
      </c>
      <c r="E722" s="119" t="s">
        <v>1542</v>
      </c>
      <c r="F722" s="86"/>
      <c r="G722" s="100"/>
      <c r="H722" s="86"/>
      <c r="I722" s="86"/>
      <c r="J722" s="87"/>
    </row>
    <row r="723">
      <c r="A723" s="92" t="s">
        <v>20</v>
      </c>
      <c r="B723" s="116" t="s">
        <v>99</v>
      </c>
      <c r="C723" s="122">
        <v>63.0</v>
      </c>
      <c r="D723" s="121" t="s">
        <v>1553</v>
      </c>
      <c r="E723" s="121" t="s">
        <v>1542</v>
      </c>
      <c r="F723" s="94"/>
      <c r="G723" s="98"/>
      <c r="H723" s="94"/>
      <c r="I723" s="94"/>
      <c r="J723" s="87"/>
    </row>
    <row r="724">
      <c r="A724" s="84" t="s">
        <v>20</v>
      </c>
      <c r="B724" s="117" t="s">
        <v>99</v>
      </c>
      <c r="C724" s="123">
        <v>68.0</v>
      </c>
      <c r="D724" s="119" t="s">
        <v>1554</v>
      </c>
      <c r="E724" s="119" t="s">
        <v>1542</v>
      </c>
      <c r="F724" s="86"/>
      <c r="G724" s="100"/>
      <c r="H724" s="86"/>
      <c r="I724" s="86"/>
      <c r="J724" s="87"/>
    </row>
    <row r="725">
      <c r="A725" s="92" t="s">
        <v>20</v>
      </c>
      <c r="B725" s="116" t="s">
        <v>99</v>
      </c>
      <c r="C725" s="122">
        <v>69.0</v>
      </c>
      <c r="D725" s="121" t="s">
        <v>1555</v>
      </c>
      <c r="E725" s="121" t="s">
        <v>1556</v>
      </c>
      <c r="F725" s="94"/>
      <c r="G725" s="98"/>
      <c r="H725" s="94"/>
      <c r="I725" s="94"/>
      <c r="J725" s="87"/>
    </row>
    <row r="726">
      <c r="A726" s="84" t="s">
        <v>20</v>
      </c>
      <c r="B726" s="117" t="s">
        <v>99</v>
      </c>
      <c r="C726" s="123">
        <v>70.0</v>
      </c>
      <c r="D726" s="119" t="s">
        <v>1557</v>
      </c>
      <c r="E726" s="119" t="s">
        <v>1556</v>
      </c>
      <c r="F726" s="86"/>
      <c r="G726" s="100"/>
      <c r="H726" s="86"/>
      <c r="I726" s="86"/>
      <c r="J726" s="87"/>
    </row>
    <row r="727">
      <c r="A727" s="92" t="s">
        <v>20</v>
      </c>
      <c r="B727" s="116" t="s">
        <v>99</v>
      </c>
      <c r="C727" s="122">
        <v>71.0</v>
      </c>
      <c r="D727" s="121" t="s">
        <v>1558</v>
      </c>
      <c r="E727" s="121" t="s">
        <v>1556</v>
      </c>
      <c r="F727" s="94"/>
      <c r="G727" s="98"/>
      <c r="H727" s="94"/>
      <c r="I727" s="94"/>
      <c r="J727" s="87"/>
    </row>
    <row r="728">
      <c r="A728" s="84" t="s">
        <v>20</v>
      </c>
      <c r="B728" s="117" t="s">
        <v>99</v>
      </c>
      <c r="C728" s="123">
        <v>72.0</v>
      </c>
      <c r="D728" s="119" t="s">
        <v>1559</v>
      </c>
      <c r="E728" s="119" t="s">
        <v>1560</v>
      </c>
      <c r="F728" s="86"/>
      <c r="G728" s="100"/>
      <c r="H728" s="86"/>
      <c r="I728" s="86"/>
      <c r="J728" s="87"/>
    </row>
    <row r="729">
      <c r="A729" s="92" t="s">
        <v>20</v>
      </c>
      <c r="B729" s="116" t="s">
        <v>99</v>
      </c>
      <c r="C729" s="122">
        <v>73.0</v>
      </c>
      <c r="D729" s="121" t="s">
        <v>1561</v>
      </c>
      <c r="E729" s="121" t="s">
        <v>1562</v>
      </c>
      <c r="F729" s="94"/>
      <c r="G729" s="98"/>
      <c r="H729" s="94"/>
      <c r="I729" s="94"/>
      <c r="J729" s="87"/>
    </row>
    <row r="730">
      <c r="A730" s="84" t="s">
        <v>20</v>
      </c>
      <c r="B730" s="117" t="s">
        <v>99</v>
      </c>
      <c r="C730" s="123">
        <v>74.0</v>
      </c>
      <c r="D730" s="119" t="s">
        <v>1563</v>
      </c>
      <c r="E730" s="119" t="s">
        <v>1564</v>
      </c>
      <c r="F730" s="86"/>
      <c r="G730" s="100"/>
      <c r="H730" s="86"/>
      <c r="I730" s="86"/>
      <c r="J730" s="87"/>
    </row>
    <row r="731">
      <c r="A731" s="92" t="s">
        <v>20</v>
      </c>
      <c r="B731" s="116" t="s">
        <v>101</v>
      </c>
      <c r="C731" s="122">
        <v>1.0</v>
      </c>
      <c r="D731" s="121" t="s">
        <v>1565</v>
      </c>
      <c r="E731" s="121" t="s">
        <v>1566</v>
      </c>
      <c r="F731" s="92" t="s">
        <v>1567</v>
      </c>
      <c r="G731" s="93"/>
      <c r="H731" s="92"/>
      <c r="I731" s="92" t="s">
        <v>1568</v>
      </c>
      <c r="J731" s="128"/>
    </row>
    <row r="732">
      <c r="A732" s="84" t="s">
        <v>20</v>
      </c>
      <c r="B732" s="117" t="s">
        <v>101</v>
      </c>
      <c r="C732" s="123">
        <v>2.0</v>
      </c>
      <c r="D732" s="119" t="s">
        <v>1569</v>
      </c>
      <c r="E732" s="119" t="s">
        <v>1570</v>
      </c>
      <c r="F732" s="84" t="s">
        <v>1571</v>
      </c>
      <c r="G732" s="85"/>
      <c r="H732" s="84"/>
      <c r="I732" s="84" t="s">
        <v>1568</v>
      </c>
      <c r="J732" s="128"/>
    </row>
    <row r="733">
      <c r="A733" s="92" t="s">
        <v>20</v>
      </c>
      <c r="B733" s="116" t="s">
        <v>101</v>
      </c>
      <c r="C733" s="122">
        <v>3.0</v>
      </c>
      <c r="D733" s="121" t="s">
        <v>1572</v>
      </c>
      <c r="E733" s="121" t="s">
        <v>1573</v>
      </c>
      <c r="F733" s="92" t="s">
        <v>1571</v>
      </c>
      <c r="G733" s="93"/>
      <c r="H733" s="92"/>
      <c r="I733" s="92" t="s">
        <v>1568</v>
      </c>
      <c r="J733" s="128"/>
    </row>
    <row r="734">
      <c r="A734" s="84" t="s">
        <v>20</v>
      </c>
      <c r="B734" s="117" t="s">
        <v>101</v>
      </c>
      <c r="C734" s="123">
        <v>40.0</v>
      </c>
      <c r="D734" s="119" t="s">
        <v>1574</v>
      </c>
      <c r="E734" s="119" t="s">
        <v>1575</v>
      </c>
      <c r="F734" s="84" t="s">
        <v>1576</v>
      </c>
      <c r="G734" s="85"/>
      <c r="H734" s="84"/>
      <c r="I734" s="84" t="s">
        <v>1577</v>
      </c>
      <c r="J734" s="128"/>
    </row>
    <row r="735">
      <c r="A735" s="92" t="s">
        <v>20</v>
      </c>
      <c r="B735" s="116" t="s">
        <v>101</v>
      </c>
      <c r="C735" s="122">
        <v>41.0</v>
      </c>
      <c r="D735" s="121" t="s">
        <v>1578</v>
      </c>
      <c r="E735" s="121" t="s">
        <v>1579</v>
      </c>
      <c r="F735" s="92" t="s">
        <v>1580</v>
      </c>
      <c r="G735" s="93"/>
      <c r="H735" s="92"/>
      <c r="I735" s="92" t="s">
        <v>1581</v>
      </c>
      <c r="J735" s="128"/>
    </row>
    <row r="736">
      <c r="A736" s="84" t="s">
        <v>20</v>
      </c>
      <c r="B736" s="117" t="s">
        <v>101</v>
      </c>
      <c r="C736" s="123">
        <v>42.0</v>
      </c>
      <c r="D736" s="119" t="s">
        <v>1582</v>
      </c>
      <c r="E736" s="119" t="s">
        <v>1583</v>
      </c>
      <c r="F736" s="84" t="s">
        <v>1584</v>
      </c>
      <c r="G736" s="85"/>
      <c r="H736" s="84"/>
      <c r="I736" s="84" t="s">
        <v>1577</v>
      </c>
      <c r="J736" s="128"/>
    </row>
    <row r="737">
      <c r="A737" s="92" t="s">
        <v>20</v>
      </c>
      <c r="B737" s="116" t="s">
        <v>101</v>
      </c>
      <c r="C737" s="122">
        <v>44.0</v>
      </c>
      <c r="D737" s="121" t="s">
        <v>1585</v>
      </c>
      <c r="E737" s="121" t="s">
        <v>1586</v>
      </c>
      <c r="F737" s="92" t="s">
        <v>1587</v>
      </c>
      <c r="G737" s="93"/>
      <c r="H737" s="92"/>
      <c r="I737" s="92" t="s">
        <v>1577</v>
      </c>
      <c r="J737" s="128"/>
    </row>
    <row r="738">
      <c r="A738" s="84" t="s">
        <v>20</v>
      </c>
      <c r="B738" s="117" t="s">
        <v>101</v>
      </c>
      <c r="C738" s="123">
        <v>46.0</v>
      </c>
      <c r="D738" s="119" t="s">
        <v>1588</v>
      </c>
      <c r="E738" s="119" t="s">
        <v>1583</v>
      </c>
      <c r="F738" s="84" t="s">
        <v>1584</v>
      </c>
      <c r="G738" s="85"/>
      <c r="H738" s="84"/>
      <c r="I738" s="84" t="s">
        <v>1577</v>
      </c>
      <c r="J738" s="128"/>
    </row>
    <row r="739">
      <c r="A739" s="92" t="s">
        <v>20</v>
      </c>
      <c r="B739" s="116" t="s">
        <v>101</v>
      </c>
      <c r="C739" s="122">
        <v>49.0</v>
      </c>
      <c r="D739" s="121" t="s">
        <v>1589</v>
      </c>
      <c r="E739" s="121" t="s">
        <v>1590</v>
      </c>
      <c r="F739" s="92" t="s">
        <v>1576</v>
      </c>
      <c r="G739" s="93"/>
      <c r="H739" s="92"/>
      <c r="I739" s="92" t="s">
        <v>1577</v>
      </c>
      <c r="J739" s="128"/>
    </row>
    <row r="740">
      <c r="A740" s="84" t="s">
        <v>20</v>
      </c>
      <c r="B740" s="117" t="s">
        <v>101</v>
      </c>
      <c r="C740" s="123">
        <v>54.0</v>
      </c>
      <c r="D740" s="119" t="s">
        <v>1591</v>
      </c>
      <c r="E740" s="119" t="s">
        <v>1592</v>
      </c>
      <c r="F740" s="84" t="s">
        <v>1587</v>
      </c>
      <c r="G740" s="85"/>
      <c r="H740" s="84"/>
      <c r="I740" s="84" t="s">
        <v>1577</v>
      </c>
      <c r="J740" s="128"/>
    </row>
    <row r="741">
      <c r="A741" s="92" t="s">
        <v>20</v>
      </c>
      <c r="B741" s="116" t="s">
        <v>101</v>
      </c>
      <c r="C741" s="122">
        <v>59.0</v>
      </c>
      <c r="D741" s="121" t="s">
        <v>1593</v>
      </c>
      <c r="E741" s="121" t="s">
        <v>1594</v>
      </c>
      <c r="F741" s="92" t="s">
        <v>1595</v>
      </c>
      <c r="G741" s="93"/>
      <c r="H741" s="92"/>
      <c r="I741" s="92" t="s">
        <v>1577</v>
      </c>
      <c r="J741" s="128"/>
    </row>
    <row r="742">
      <c r="A742" s="84" t="s">
        <v>20</v>
      </c>
      <c r="B742" s="117" t="s">
        <v>101</v>
      </c>
      <c r="C742" s="123">
        <v>63.0</v>
      </c>
      <c r="D742" s="119" t="s">
        <v>1596</v>
      </c>
      <c r="E742" s="119" t="s">
        <v>1594</v>
      </c>
      <c r="F742" s="84" t="s">
        <v>1595</v>
      </c>
      <c r="G742" s="85"/>
      <c r="H742" s="84"/>
      <c r="I742" s="84" t="s">
        <v>1577</v>
      </c>
      <c r="J742" s="128"/>
    </row>
    <row r="743">
      <c r="A743" s="92" t="s">
        <v>20</v>
      </c>
      <c r="B743" s="116" t="s">
        <v>101</v>
      </c>
      <c r="C743" s="122">
        <v>68.0</v>
      </c>
      <c r="D743" s="121" t="s">
        <v>1597</v>
      </c>
      <c r="E743" s="121" t="s">
        <v>1594</v>
      </c>
      <c r="F743" s="92" t="s">
        <v>1595</v>
      </c>
      <c r="G743" s="93"/>
      <c r="H743" s="92"/>
      <c r="I743" s="92" t="s">
        <v>1577</v>
      </c>
      <c r="J743" s="128"/>
    </row>
    <row r="744">
      <c r="A744" s="84" t="s">
        <v>20</v>
      </c>
      <c r="B744" s="117" t="s">
        <v>104</v>
      </c>
      <c r="C744" s="123">
        <v>1.0</v>
      </c>
      <c r="D744" s="119" t="s">
        <v>1598</v>
      </c>
      <c r="E744" s="119" t="s">
        <v>1599</v>
      </c>
      <c r="F744" s="86"/>
      <c r="G744" s="100"/>
      <c r="H744" s="86"/>
      <c r="I744" s="86"/>
      <c r="J744" s="87"/>
    </row>
    <row r="745">
      <c r="A745" s="92" t="s">
        <v>20</v>
      </c>
      <c r="B745" s="116" t="s">
        <v>104</v>
      </c>
      <c r="C745" s="122">
        <v>2.0</v>
      </c>
      <c r="D745" s="121" t="s">
        <v>1600</v>
      </c>
      <c r="E745" s="121" t="s">
        <v>1601</v>
      </c>
      <c r="F745" s="94"/>
      <c r="G745" s="98"/>
      <c r="H745" s="94"/>
      <c r="I745" s="94"/>
      <c r="J745" s="87"/>
    </row>
    <row r="746">
      <c r="A746" s="84" t="s">
        <v>20</v>
      </c>
      <c r="B746" s="117" t="s">
        <v>104</v>
      </c>
      <c r="C746" s="123">
        <v>3.0</v>
      </c>
      <c r="D746" s="119" t="s">
        <v>1602</v>
      </c>
      <c r="E746" s="119" t="s">
        <v>1603</v>
      </c>
      <c r="F746" s="86"/>
      <c r="G746" s="100"/>
      <c r="H746" s="86"/>
      <c r="I746" s="86"/>
      <c r="J746" s="87"/>
    </row>
    <row r="747">
      <c r="A747" s="92" t="s">
        <v>20</v>
      </c>
      <c r="B747" s="116" t="s">
        <v>104</v>
      </c>
      <c r="C747" s="122">
        <v>40.0</v>
      </c>
      <c r="D747" s="121" t="s">
        <v>1604</v>
      </c>
      <c r="E747" s="121" t="s">
        <v>1605</v>
      </c>
      <c r="F747" s="94"/>
      <c r="G747" s="98"/>
      <c r="H747" s="94"/>
      <c r="I747" s="94"/>
      <c r="J747" s="87"/>
    </row>
    <row r="748">
      <c r="A748" s="84" t="s">
        <v>20</v>
      </c>
      <c r="B748" s="117" t="s">
        <v>104</v>
      </c>
      <c r="C748" s="123">
        <v>41.0</v>
      </c>
      <c r="D748" s="119" t="s">
        <v>1606</v>
      </c>
      <c r="E748" s="119" t="s">
        <v>1607</v>
      </c>
      <c r="F748" s="86"/>
      <c r="G748" s="100"/>
      <c r="H748" s="86"/>
      <c r="I748" s="86"/>
      <c r="J748" s="87"/>
    </row>
    <row r="749">
      <c r="A749" s="92" t="s">
        <v>20</v>
      </c>
      <c r="B749" s="116" t="s">
        <v>104</v>
      </c>
      <c r="C749" s="122">
        <v>42.0</v>
      </c>
      <c r="D749" s="121" t="s">
        <v>1608</v>
      </c>
      <c r="E749" s="121" t="s">
        <v>1609</v>
      </c>
      <c r="F749" s="94"/>
      <c r="G749" s="98"/>
      <c r="H749" s="94"/>
      <c r="I749" s="94"/>
      <c r="J749" s="87"/>
    </row>
    <row r="750">
      <c r="A750" s="84" t="s">
        <v>20</v>
      </c>
      <c r="B750" s="117" t="s">
        <v>104</v>
      </c>
      <c r="C750" s="123">
        <v>44.0</v>
      </c>
      <c r="D750" s="119" t="s">
        <v>1610</v>
      </c>
      <c r="E750" s="119" t="s">
        <v>1611</v>
      </c>
      <c r="F750" s="86"/>
      <c r="G750" s="100"/>
      <c r="H750" s="86"/>
      <c r="I750" s="86"/>
      <c r="J750" s="87"/>
    </row>
    <row r="751">
      <c r="A751" s="92" t="s">
        <v>20</v>
      </c>
      <c r="B751" s="116" t="s">
        <v>104</v>
      </c>
      <c r="C751" s="122">
        <v>46.0</v>
      </c>
      <c r="D751" s="121" t="s">
        <v>1612</v>
      </c>
      <c r="E751" s="121" t="s">
        <v>1609</v>
      </c>
      <c r="F751" s="94"/>
      <c r="G751" s="98"/>
      <c r="H751" s="94"/>
      <c r="I751" s="94"/>
      <c r="J751" s="87"/>
    </row>
    <row r="752">
      <c r="A752" s="84" t="s">
        <v>20</v>
      </c>
      <c r="B752" s="117" t="s">
        <v>104</v>
      </c>
      <c r="C752" s="123">
        <v>49.0</v>
      </c>
      <c r="D752" s="119" t="s">
        <v>1613</v>
      </c>
      <c r="E752" s="119" t="s">
        <v>1611</v>
      </c>
      <c r="F752" s="86"/>
      <c r="G752" s="100"/>
      <c r="H752" s="86"/>
      <c r="I752" s="86"/>
      <c r="J752" s="87"/>
    </row>
    <row r="753">
      <c r="A753" s="92" t="s">
        <v>20</v>
      </c>
      <c r="B753" s="116" t="s">
        <v>104</v>
      </c>
      <c r="C753" s="122">
        <v>54.0</v>
      </c>
      <c r="D753" s="121" t="s">
        <v>1614</v>
      </c>
      <c r="E753" s="121" t="s">
        <v>1615</v>
      </c>
      <c r="F753" s="94"/>
      <c r="G753" s="98"/>
      <c r="H753" s="94"/>
      <c r="I753" s="94"/>
      <c r="J753" s="87"/>
    </row>
    <row r="754">
      <c r="A754" s="84" t="s">
        <v>20</v>
      </c>
      <c r="B754" s="117" t="s">
        <v>104</v>
      </c>
      <c r="C754" s="123">
        <v>59.0</v>
      </c>
      <c r="D754" s="119" t="s">
        <v>1616</v>
      </c>
      <c r="E754" s="119" t="s">
        <v>1617</v>
      </c>
      <c r="F754" s="86"/>
      <c r="G754" s="100"/>
      <c r="H754" s="86"/>
      <c r="I754" s="86"/>
      <c r="J754" s="87"/>
    </row>
    <row r="755">
      <c r="A755" s="92" t="s">
        <v>20</v>
      </c>
      <c r="B755" s="116" t="s">
        <v>104</v>
      </c>
      <c r="C755" s="122">
        <v>63.0</v>
      </c>
      <c r="D755" s="121" t="s">
        <v>1618</v>
      </c>
      <c r="E755" s="121" t="s">
        <v>1617</v>
      </c>
      <c r="F755" s="94"/>
      <c r="G755" s="98"/>
      <c r="H755" s="94"/>
      <c r="I755" s="94"/>
      <c r="J755" s="87"/>
    </row>
    <row r="756">
      <c r="A756" s="84" t="s">
        <v>20</v>
      </c>
      <c r="B756" s="117" t="s">
        <v>108</v>
      </c>
      <c r="C756" s="125">
        <v>1.0</v>
      </c>
      <c r="D756" s="119" t="s">
        <v>1619</v>
      </c>
      <c r="E756" s="119" t="s">
        <v>1176</v>
      </c>
      <c r="F756" s="86"/>
      <c r="G756" s="100"/>
      <c r="H756" s="86" t="str">
        <f>IMAGE("https://drive.google.com/uc?export=view&amp;id=1kUvIr9r68MuHfb3LNts9WitJSqOCY4cW")</f>
        <v/>
      </c>
      <c r="I756" s="86"/>
      <c r="J756" s="87"/>
    </row>
    <row r="757">
      <c r="A757" s="92" t="s">
        <v>20</v>
      </c>
      <c r="B757" s="116" t="s">
        <v>108</v>
      </c>
      <c r="C757" s="124">
        <v>2.0</v>
      </c>
      <c r="D757" s="121" t="s">
        <v>1620</v>
      </c>
      <c r="E757" s="121" t="s">
        <v>1621</v>
      </c>
      <c r="F757" s="94"/>
      <c r="G757" s="98"/>
      <c r="H757" s="94" t="str">
        <f>IMAGE("https://drive.google.com/uc?export=view&amp;id=1IkWR3rhjt-DOvTuvRHJ-47imUOYByXf8")</f>
        <v/>
      </c>
      <c r="I757" s="94"/>
      <c r="J757" s="87"/>
    </row>
    <row r="758">
      <c r="A758" s="84" t="s">
        <v>20</v>
      </c>
      <c r="B758" s="117" t="s">
        <v>108</v>
      </c>
      <c r="C758" s="125">
        <v>3.0</v>
      </c>
      <c r="D758" s="119" t="s">
        <v>1622</v>
      </c>
      <c r="E758" s="119" t="s">
        <v>1623</v>
      </c>
      <c r="F758" s="86"/>
      <c r="G758" s="100"/>
      <c r="H758" s="86" t="str">
        <f>IMAGE("https://drive.google.com/uc?export=view&amp;id=17tbcRy_bNytOtiOR0usQ649Zi8AmV0tD")</f>
        <v/>
      </c>
      <c r="I758" s="86"/>
      <c r="J758" s="87"/>
    </row>
    <row r="759">
      <c r="A759" s="92" t="s">
        <v>20</v>
      </c>
      <c r="B759" s="116" t="s">
        <v>108</v>
      </c>
      <c r="C759" s="124">
        <v>4.0</v>
      </c>
      <c r="D759" s="121" t="s">
        <v>1624</v>
      </c>
      <c r="E759" s="121" t="s">
        <v>1625</v>
      </c>
      <c r="F759" s="94"/>
      <c r="G759" s="98"/>
      <c r="H759" s="94" t="str">
        <f>IMAGE("https://drive.google.com/uc?export=view&amp;id=1pV1VPXxVLyHI0v40u0Jc26grsLoBg54C")</f>
        <v/>
      </c>
      <c r="I759" s="94"/>
      <c r="J759" s="87"/>
    </row>
    <row r="760">
      <c r="A760" s="84" t="s">
        <v>20</v>
      </c>
      <c r="B760" s="117" t="s">
        <v>108</v>
      </c>
      <c r="C760" s="125">
        <v>5.0</v>
      </c>
      <c r="D760" s="119" t="s">
        <v>1626</v>
      </c>
      <c r="E760" s="119" t="s">
        <v>1627</v>
      </c>
      <c r="F760" s="86"/>
      <c r="G760" s="100"/>
      <c r="H760" s="86" t="str">
        <f>IMAGE("https://drive.google.com/uc?export=view&amp;id=1YU8mDIk-ECNnjSLLKBNzk_2VO5OBzvA_")</f>
        <v/>
      </c>
      <c r="I760" s="86"/>
      <c r="J760" s="87"/>
    </row>
    <row r="761">
      <c r="A761" s="92" t="s">
        <v>20</v>
      </c>
      <c r="B761" s="116" t="s">
        <v>108</v>
      </c>
      <c r="C761" s="124">
        <v>6.0</v>
      </c>
      <c r="D761" s="121" t="s">
        <v>1628</v>
      </c>
      <c r="E761" s="121" t="s">
        <v>1350</v>
      </c>
      <c r="F761" s="94"/>
      <c r="G761" s="98"/>
      <c r="H761" s="94" t="str">
        <f>IMAGE("https://drive.google.com/uc?export=view&amp;id=1beci0kYoUouqtuLpbUVpGjUIGxxalikf")</f>
        <v/>
      </c>
      <c r="I761" s="94"/>
      <c r="J761" s="87"/>
    </row>
    <row r="762">
      <c r="A762" s="84" t="s">
        <v>20</v>
      </c>
      <c r="B762" s="117" t="s">
        <v>108</v>
      </c>
      <c r="C762" s="125">
        <v>9.0</v>
      </c>
      <c r="D762" s="119" t="s">
        <v>1629</v>
      </c>
      <c r="E762" s="119" t="s">
        <v>1630</v>
      </c>
      <c r="F762" s="86"/>
      <c r="G762" s="100"/>
      <c r="H762" s="86" t="str">
        <f>IMAGE("https://drive.google.com/uc?export=view&amp;id=15IkOXikt6RDoHTmKS7vy-01SeK3H5Pfo")</f>
        <v/>
      </c>
      <c r="I762" s="86"/>
      <c r="J762" s="87"/>
    </row>
    <row r="763">
      <c r="A763" s="92" t="s">
        <v>20</v>
      </c>
      <c r="B763" s="116" t="s">
        <v>108</v>
      </c>
      <c r="C763" s="124">
        <v>10.0</v>
      </c>
      <c r="D763" s="121" t="s">
        <v>1631</v>
      </c>
      <c r="E763" s="121" t="s">
        <v>1632</v>
      </c>
      <c r="F763" s="94"/>
      <c r="G763" s="98"/>
      <c r="H763" s="94" t="str">
        <f>IMAGE("https://drive.google.com/uc?export=view&amp;id=1gnxTN_BOS5Chys7W8CzpaiR016u-uVPY")</f>
        <v/>
      </c>
      <c r="I763" s="94"/>
      <c r="J763" s="87"/>
    </row>
    <row r="764">
      <c r="A764" s="84" t="s">
        <v>20</v>
      </c>
      <c r="B764" s="117" t="s">
        <v>108</v>
      </c>
      <c r="C764" s="125">
        <v>13.0</v>
      </c>
      <c r="D764" s="119" t="s">
        <v>1633</v>
      </c>
      <c r="E764" s="119" t="s">
        <v>1355</v>
      </c>
      <c r="F764" s="86"/>
      <c r="G764" s="100"/>
      <c r="H764" s="86" t="str">
        <f>IMAGE("https://drive.google.com/uc?export=view&amp;id=1tnyWt4fpxLNsekakjWClfA7Gv543r8ve")</f>
        <v/>
      </c>
      <c r="I764" s="86"/>
      <c r="J764" s="87"/>
    </row>
    <row r="765">
      <c r="A765" s="92" t="s">
        <v>20</v>
      </c>
      <c r="B765" s="116" t="s">
        <v>108</v>
      </c>
      <c r="C765" s="124">
        <v>14.0</v>
      </c>
      <c r="D765" s="121" t="s">
        <v>1634</v>
      </c>
      <c r="E765" s="121" t="s">
        <v>1357</v>
      </c>
      <c r="F765" s="94"/>
      <c r="G765" s="98"/>
      <c r="H765" s="94" t="str">
        <f>IMAGE("https://drive.google.com/uc?export=view&amp;id=1VUT_i_D1OWzBkCf7CW-6VuV6p5Nv3KQl")</f>
        <v/>
      </c>
      <c r="I765" s="94"/>
      <c r="J765" s="87"/>
    </row>
    <row r="766">
      <c r="A766" s="84" t="s">
        <v>20</v>
      </c>
      <c r="B766" s="117" t="s">
        <v>108</v>
      </c>
      <c r="C766" s="125">
        <v>15.0</v>
      </c>
      <c r="D766" s="119" t="s">
        <v>1635</v>
      </c>
      <c r="E766" s="119" t="s">
        <v>1359</v>
      </c>
      <c r="F766" s="86"/>
      <c r="G766" s="100"/>
      <c r="H766" s="86" t="str">
        <f>IMAGE("https://drive.google.com/uc?export=view&amp;id=1Z_SC8ljAfazVz4gRs3Eb2Vaw2fOi2feN") </f>
        <v/>
      </c>
      <c r="I766" s="86"/>
      <c r="J766" s="87"/>
    </row>
    <row r="767">
      <c r="A767" s="92" t="s">
        <v>20</v>
      </c>
      <c r="B767" s="116" t="s">
        <v>108</v>
      </c>
      <c r="C767" s="124">
        <v>16.0</v>
      </c>
      <c r="D767" s="121" t="s">
        <v>1636</v>
      </c>
      <c r="E767" s="121" t="s">
        <v>1637</v>
      </c>
      <c r="F767" s="94"/>
      <c r="G767" s="98"/>
      <c r="H767" s="94" t="str">
        <f>IMAGE("https://drive.google.com/uc?export=view&amp;id=1cZY2V5DQjS46lJpkATqpZeisNR_ayiUS")</f>
        <v/>
      </c>
      <c r="I767" s="94"/>
      <c r="J767" s="87"/>
    </row>
    <row r="768">
      <c r="A768" s="84" t="s">
        <v>20</v>
      </c>
      <c r="B768" s="117" t="s">
        <v>108</v>
      </c>
      <c r="C768" s="125">
        <v>17.0</v>
      </c>
      <c r="D768" s="119" t="s">
        <v>1638</v>
      </c>
      <c r="E768" s="119" t="s">
        <v>1637</v>
      </c>
      <c r="F768" s="86"/>
      <c r="G768" s="100"/>
      <c r="H768" s="86" t="str">
        <f>IMAGE("https://drive.google.com/uc?export=view&amp;id=1HuX7FPy1wzBQeRSFMYxibICEGM0n-zXM")</f>
        <v/>
      </c>
      <c r="I768" s="86"/>
      <c r="J768" s="87"/>
    </row>
    <row r="769">
      <c r="A769" s="92" t="s">
        <v>20</v>
      </c>
      <c r="B769" s="116" t="s">
        <v>108</v>
      </c>
      <c r="C769" s="124">
        <v>18.0</v>
      </c>
      <c r="D769" s="121" t="s">
        <v>1639</v>
      </c>
      <c r="E769" s="121" t="s">
        <v>1201</v>
      </c>
      <c r="F769" s="94"/>
      <c r="G769" s="98"/>
      <c r="H769" s="94" t="str">
        <f>IMAGE("https://drive.google.com/uc?export=view&amp;id=1I-yfMNqjz53KUa3oUSpsYXfC-4R0tb4U")</f>
        <v/>
      </c>
      <c r="I769" s="94"/>
      <c r="J769" s="87"/>
    </row>
    <row r="770">
      <c r="A770" s="84" t="s">
        <v>20</v>
      </c>
      <c r="B770" s="117" t="s">
        <v>108</v>
      </c>
      <c r="C770" s="125">
        <v>19.0</v>
      </c>
      <c r="D770" s="119" t="s">
        <v>1640</v>
      </c>
      <c r="E770" s="119" t="s">
        <v>1367</v>
      </c>
      <c r="F770" s="86"/>
      <c r="G770" s="100"/>
      <c r="H770" s="86" t="str">
        <f>IMAGE("https://drive.google.com/uc?export=view&amp;id=1gzx_kO9JWEgZTIOE1QzfRp69xenBo3EY")</f>
        <v/>
      </c>
      <c r="I770" s="86"/>
      <c r="J770" s="87"/>
    </row>
    <row r="771">
      <c r="A771" s="92" t="s">
        <v>20</v>
      </c>
      <c r="B771" s="116" t="s">
        <v>108</v>
      </c>
      <c r="C771" s="124">
        <v>25.0</v>
      </c>
      <c r="D771" s="121" t="s">
        <v>1641</v>
      </c>
      <c r="E771" s="121" t="s">
        <v>1642</v>
      </c>
      <c r="F771" s="94"/>
      <c r="G771" s="98"/>
      <c r="H771" s="94" t="str">
        <f>IMAGE("https://drive.google.com/uc?export=view&amp;id=1q40muJ7RrnabS0ncZdmrOuAXD2Nn49Pj")</f>
        <v/>
      </c>
      <c r="I771" s="94"/>
      <c r="J771" s="87"/>
    </row>
    <row r="772">
      <c r="A772" s="84" t="s">
        <v>20</v>
      </c>
      <c r="B772" s="117" t="s">
        <v>108</v>
      </c>
      <c r="C772" s="125">
        <v>28.0</v>
      </c>
      <c r="D772" s="119" t="s">
        <v>1643</v>
      </c>
      <c r="E772" s="119" t="s">
        <v>1644</v>
      </c>
      <c r="F772" s="86"/>
      <c r="G772" s="100"/>
      <c r="H772" s="86" t="str">
        <f>IMAGE("https://drive.google.com/uc?export=view&amp;id=1N742oAKhMM3mYx4a0B8YOv0WtXR5AKcO")</f>
        <v/>
      </c>
      <c r="I772" s="86"/>
      <c r="J772" s="87"/>
    </row>
    <row r="773">
      <c r="A773" s="93" t="s">
        <v>20</v>
      </c>
      <c r="B773" s="115" t="s">
        <v>113</v>
      </c>
      <c r="C773" s="124">
        <v>2.0</v>
      </c>
      <c r="D773" s="121" t="s">
        <v>1645</v>
      </c>
      <c r="E773" s="121" t="s">
        <v>1646</v>
      </c>
      <c r="F773" s="98"/>
      <c r="G773" s="98"/>
      <c r="H773" s="93"/>
      <c r="I773" s="93" t="s">
        <v>1647</v>
      </c>
      <c r="J773" s="99"/>
    </row>
    <row r="774">
      <c r="A774" s="85" t="s">
        <v>20</v>
      </c>
      <c r="B774" s="114" t="s">
        <v>113</v>
      </c>
      <c r="C774" s="125">
        <v>3.0</v>
      </c>
      <c r="D774" s="119" t="s">
        <v>1648</v>
      </c>
      <c r="E774" s="119" t="s">
        <v>1646</v>
      </c>
      <c r="F774" s="100"/>
      <c r="G774" s="100"/>
      <c r="H774" s="100"/>
      <c r="I774" s="100"/>
      <c r="J774" s="99"/>
    </row>
    <row r="775">
      <c r="A775" s="93" t="s">
        <v>20</v>
      </c>
      <c r="B775" s="115" t="s">
        <v>113</v>
      </c>
      <c r="C775" s="124">
        <v>5.0</v>
      </c>
      <c r="D775" s="121" t="s">
        <v>1649</v>
      </c>
      <c r="E775" s="121" t="s">
        <v>1650</v>
      </c>
      <c r="F775" s="98"/>
      <c r="G775" s="98"/>
      <c r="H775" s="98"/>
      <c r="I775" s="98"/>
      <c r="J775" s="99"/>
    </row>
    <row r="776">
      <c r="A776" s="85" t="s">
        <v>20</v>
      </c>
      <c r="B776" s="114" t="s">
        <v>113</v>
      </c>
      <c r="C776" s="125">
        <v>6.0</v>
      </c>
      <c r="D776" s="119" t="s">
        <v>1651</v>
      </c>
      <c r="E776" s="119" t="s">
        <v>1646</v>
      </c>
      <c r="F776" s="100"/>
      <c r="G776" s="100"/>
      <c r="H776" s="100"/>
      <c r="I776" s="100"/>
      <c r="J776" s="99"/>
    </row>
    <row r="777">
      <c r="A777" s="93" t="s">
        <v>20</v>
      </c>
      <c r="B777" s="115" t="s">
        <v>113</v>
      </c>
      <c r="C777" s="124">
        <v>32.0</v>
      </c>
      <c r="D777" s="121" t="s">
        <v>1652</v>
      </c>
      <c r="E777" s="121" t="s">
        <v>1646</v>
      </c>
      <c r="F777" s="98"/>
      <c r="G777" s="98"/>
      <c r="H777" s="98"/>
      <c r="I777" s="98"/>
      <c r="J777" s="99"/>
    </row>
    <row r="778">
      <c r="A778" s="85" t="s">
        <v>20</v>
      </c>
      <c r="B778" s="114" t="s">
        <v>113</v>
      </c>
      <c r="C778" s="125">
        <v>40.0</v>
      </c>
      <c r="D778" s="119" t="s">
        <v>1653</v>
      </c>
      <c r="E778" s="119" t="s">
        <v>1654</v>
      </c>
      <c r="F778" s="100"/>
      <c r="G778" s="100"/>
      <c r="H778" s="100"/>
      <c r="I778" s="100"/>
      <c r="J778" s="99"/>
    </row>
    <row r="779">
      <c r="A779" s="93" t="s">
        <v>20</v>
      </c>
      <c r="B779" s="115" t="s">
        <v>113</v>
      </c>
      <c r="C779" s="124">
        <v>41.0</v>
      </c>
      <c r="D779" s="121" t="s">
        <v>1655</v>
      </c>
      <c r="E779" s="121" t="s">
        <v>1656</v>
      </c>
      <c r="F779" s="98"/>
      <c r="G779" s="98"/>
      <c r="H779" s="98"/>
      <c r="I779" s="98"/>
      <c r="J779" s="99"/>
    </row>
    <row r="780">
      <c r="A780" s="85" t="s">
        <v>20</v>
      </c>
      <c r="B780" s="114" t="s">
        <v>113</v>
      </c>
      <c r="C780" s="125">
        <v>42.0</v>
      </c>
      <c r="D780" s="119" t="s">
        <v>1657</v>
      </c>
      <c r="E780" s="119" t="s">
        <v>1654</v>
      </c>
      <c r="F780" s="100"/>
      <c r="G780" s="100"/>
      <c r="H780" s="100"/>
      <c r="I780" s="100"/>
      <c r="J780" s="99"/>
    </row>
    <row r="781">
      <c r="A781" s="93" t="s">
        <v>20</v>
      </c>
      <c r="B781" s="115" t="s">
        <v>113</v>
      </c>
      <c r="C781" s="124">
        <v>44.0</v>
      </c>
      <c r="D781" s="121" t="s">
        <v>1658</v>
      </c>
      <c r="E781" s="121" t="s">
        <v>1654</v>
      </c>
      <c r="F781" s="98"/>
      <c r="G781" s="98"/>
      <c r="H781" s="98"/>
      <c r="I781" s="98"/>
      <c r="J781" s="99"/>
    </row>
    <row r="782">
      <c r="A782" s="85" t="s">
        <v>20</v>
      </c>
      <c r="B782" s="114" t="s">
        <v>113</v>
      </c>
      <c r="C782" s="125">
        <v>46.0</v>
      </c>
      <c r="D782" s="119" t="s">
        <v>1659</v>
      </c>
      <c r="E782" s="119" t="s">
        <v>1654</v>
      </c>
      <c r="F782" s="100"/>
      <c r="G782" s="100"/>
      <c r="H782" s="100"/>
      <c r="I782" s="100"/>
      <c r="J782" s="99"/>
    </row>
    <row r="783">
      <c r="A783" s="93" t="s">
        <v>20</v>
      </c>
      <c r="B783" s="115" t="s">
        <v>113</v>
      </c>
      <c r="C783" s="124">
        <v>48.0</v>
      </c>
      <c r="D783" s="121" t="s">
        <v>1660</v>
      </c>
      <c r="E783" s="121" t="s">
        <v>1654</v>
      </c>
      <c r="F783" s="98"/>
      <c r="G783" s="98"/>
      <c r="H783" s="98"/>
      <c r="I783" s="98"/>
      <c r="J783" s="99"/>
    </row>
    <row r="784">
      <c r="A784" s="85" t="s">
        <v>20</v>
      </c>
      <c r="B784" s="114" t="s">
        <v>113</v>
      </c>
      <c r="C784" s="125">
        <v>49.0</v>
      </c>
      <c r="D784" s="119" t="s">
        <v>1661</v>
      </c>
      <c r="E784" s="119" t="s">
        <v>1656</v>
      </c>
      <c r="F784" s="100"/>
      <c r="G784" s="100"/>
      <c r="H784" s="100"/>
      <c r="I784" s="100"/>
      <c r="J784" s="99"/>
    </row>
    <row r="785">
      <c r="A785" s="93" t="s">
        <v>20</v>
      </c>
      <c r="B785" s="115" t="s">
        <v>113</v>
      </c>
      <c r="C785" s="124">
        <v>50.0</v>
      </c>
      <c r="D785" s="121" t="s">
        <v>1662</v>
      </c>
      <c r="E785" s="121" t="s">
        <v>1654</v>
      </c>
      <c r="F785" s="98"/>
      <c r="G785" s="98"/>
      <c r="H785" s="98"/>
      <c r="I785" s="98"/>
      <c r="J785" s="99"/>
    </row>
    <row r="786">
      <c r="A786" s="85" t="s">
        <v>20</v>
      </c>
      <c r="B786" s="114" t="s">
        <v>113</v>
      </c>
      <c r="C786" s="125">
        <v>59.0</v>
      </c>
      <c r="D786" s="119" t="s">
        <v>1663</v>
      </c>
      <c r="E786" s="119" t="s">
        <v>1654</v>
      </c>
      <c r="F786" s="100"/>
      <c r="G786" s="100"/>
      <c r="H786" s="100"/>
      <c r="I786" s="100"/>
      <c r="J786" s="99"/>
    </row>
    <row r="787">
      <c r="A787" s="93" t="s">
        <v>20</v>
      </c>
      <c r="B787" s="115" t="s">
        <v>113</v>
      </c>
      <c r="C787" s="124">
        <v>63.0</v>
      </c>
      <c r="D787" s="121" t="s">
        <v>1664</v>
      </c>
      <c r="E787" s="121" t="s">
        <v>1654</v>
      </c>
      <c r="F787" s="98"/>
      <c r="G787" s="98"/>
      <c r="H787" s="98"/>
      <c r="I787" s="98"/>
      <c r="J787" s="99"/>
    </row>
    <row r="788">
      <c r="A788" s="85" t="s">
        <v>20</v>
      </c>
      <c r="B788" s="114" t="s">
        <v>113</v>
      </c>
      <c r="C788" s="125">
        <v>68.0</v>
      </c>
      <c r="D788" s="119" t="s">
        <v>1665</v>
      </c>
      <c r="E788" s="119" t="s">
        <v>1654</v>
      </c>
      <c r="F788" s="100"/>
      <c r="G788" s="100"/>
      <c r="H788" s="100"/>
      <c r="I788" s="100"/>
      <c r="J788" s="99"/>
    </row>
    <row r="789">
      <c r="A789" s="93" t="s">
        <v>20</v>
      </c>
      <c r="B789" s="115" t="s">
        <v>113</v>
      </c>
      <c r="C789" s="124">
        <v>69.0</v>
      </c>
      <c r="D789" s="121" t="s">
        <v>1666</v>
      </c>
      <c r="E789" s="121" t="s">
        <v>1667</v>
      </c>
      <c r="F789" s="98"/>
      <c r="G789" s="98"/>
      <c r="H789" s="98"/>
      <c r="I789" s="98"/>
      <c r="J789" s="99"/>
    </row>
    <row r="790">
      <c r="A790" s="85" t="s">
        <v>20</v>
      </c>
      <c r="B790" s="114" t="s">
        <v>113</v>
      </c>
      <c r="C790" s="125">
        <v>70.0</v>
      </c>
      <c r="D790" s="119" t="s">
        <v>1668</v>
      </c>
      <c r="E790" s="119" t="s">
        <v>1667</v>
      </c>
      <c r="F790" s="100"/>
      <c r="G790" s="100"/>
      <c r="H790" s="85"/>
      <c r="I790" s="85" t="s">
        <v>1669</v>
      </c>
      <c r="J790" s="99"/>
    </row>
    <row r="791">
      <c r="A791" s="93" t="s">
        <v>20</v>
      </c>
      <c r="B791" s="115" t="s">
        <v>113</v>
      </c>
      <c r="C791" s="124">
        <v>71.0</v>
      </c>
      <c r="D791" s="121" t="s">
        <v>1670</v>
      </c>
      <c r="E791" s="121" t="s">
        <v>1667</v>
      </c>
      <c r="F791" s="98"/>
      <c r="G791" s="98"/>
      <c r="H791" s="98"/>
      <c r="I791" s="98"/>
      <c r="J791" s="99"/>
    </row>
    <row r="792">
      <c r="A792" s="85" t="s">
        <v>20</v>
      </c>
      <c r="B792" s="114" t="s">
        <v>113</v>
      </c>
      <c r="C792" s="125">
        <v>72.0</v>
      </c>
      <c r="D792" s="119" t="s">
        <v>1671</v>
      </c>
      <c r="E792" s="119" t="s">
        <v>1672</v>
      </c>
      <c r="F792" s="100"/>
      <c r="G792" s="100"/>
      <c r="H792" s="100"/>
      <c r="I792" s="100"/>
      <c r="J792" s="99"/>
    </row>
    <row r="793">
      <c r="A793" s="93" t="s">
        <v>20</v>
      </c>
      <c r="B793" s="115" t="s">
        <v>113</v>
      </c>
      <c r="C793" s="124">
        <v>73.0</v>
      </c>
      <c r="D793" s="121" t="s">
        <v>1673</v>
      </c>
      <c r="E793" s="121" t="s">
        <v>1674</v>
      </c>
      <c r="F793" s="98"/>
      <c r="G793" s="98"/>
      <c r="H793" s="98"/>
      <c r="I793" s="98"/>
      <c r="J793" s="99"/>
    </row>
    <row r="794">
      <c r="A794" s="85" t="s">
        <v>20</v>
      </c>
      <c r="B794" s="114" t="s">
        <v>113</v>
      </c>
      <c r="C794" s="125">
        <v>74.0</v>
      </c>
      <c r="D794" s="119" t="s">
        <v>1675</v>
      </c>
      <c r="E794" s="119" t="s">
        <v>1674</v>
      </c>
      <c r="F794" s="100"/>
      <c r="G794" s="100"/>
      <c r="H794" s="85"/>
      <c r="I794" s="85" t="s">
        <v>1676</v>
      </c>
      <c r="J794" s="99"/>
    </row>
    <row r="795">
      <c r="A795" s="93" t="s">
        <v>20</v>
      </c>
      <c r="B795" s="115" t="s">
        <v>116</v>
      </c>
      <c r="C795" s="124">
        <v>2.0</v>
      </c>
      <c r="D795" s="121" t="s">
        <v>1645</v>
      </c>
      <c r="E795" s="121" t="s">
        <v>1646</v>
      </c>
      <c r="F795" s="98"/>
      <c r="G795" s="98"/>
      <c r="H795" s="93"/>
      <c r="I795" s="93" t="s">
        <v>1647</v>
      </c>
      <c r="J795" s="99"/>
    </row>
    <row r="796">
      <c r="A796" s="85" t="s">
        <v>20</v>
      </c>
      <c r="B796" s="114" t="s">
        <v>116</v>
      </c>
      <c r="C796" s="125">
        <v>3.0</v>
      </c>
      <c r="D796" s="119" t="s">
        <v>1648</v>
      </c>
      <c r="E796" s="119" t="s">
        <v>1646</v>
      </c>
      <c r="F796" s="100"/>
      <c r="G796" s="100"/>
      <c r="H796" s="100"/>
      <c r="I796" s="100"/>
      <c r="J796" s="99"/>
    </row>
    <row r="797">
      <c r="A797" s="93" t="s">
        <v>20</v>
      </c>
      <c r="B797" s="115" t="s">
        <v>116</v>
      </c>
      <c r="C797" s="124">
        <v>5.0</v>
      </c>
      <c r="D797" s="121" t="s">
        <v>1649</v>
      </c>
      <c r="E797" s="121" t="s">
        <v>1650</v>
      </c>
      <c r="F797" s="98"/>
      <c r="G797" s="98"/>
      <c r="H797" s="98"/>
      <c r="I797" s="98"/>
      <c r="J797" s="99"/>
    </row>
    <row r="798">
      <c r="A798" s="85" t="s">
        <v>20</v>
      </c>
      <c r="B798" s="114" t="s">
        <v>116</v>
      </c>
      <c r="C798" s="125">
        <v>6.0</v>
      </c>
      <c r="D798" s="119" t="s">
        <v>1651</v>
      </c>
      <c r="E798" s="119" t="s">
        <v>1646</v>
      </c>
      <c r="F798" s="100"/>
      <c r="G798" s="100"/>
      <c r="H798" s="100"/>
      <c r="I798" s="100"/>
      <c r="J798" s="99"/>
    </row>
    <row r="799">
      <c r="A799" s="93" t="s">
        <v>20</v>
      </c>
      <c r="B799" s="115" t="s">
        <v>116</v>
      </c>
      <c r="C799" s="124">
        <v>32.0</v>
      </c>
      <c r="D799" s="121" t="s">
        <v>1652</v>
      </c>
      <c r="E799" s="121" t="s">
        <v>1646</v>
      </c>
      <c r="F799" s="98"/>
      <c r="G799" s="98"/>
      <c r="H799" s="98"/>
      <c r="I799" s="98"/>
      <c r="J799" s="99"/>
    </row>
    <row r="800">
      <c r="A800" s="85" t="s">
        <v>20</v>
      </c>
      <c r="B800" s="114" t="s">
        <v>116</v>
      </c>
      <c r="C800" s="125">
        <v>40.0</v>
      </c>
      <c r="D800" s="119" t="s">
        <v>1653</v>
      </c>
      <c r="E800" s="119" t="s">
        <v>1654</v>
      </c>
      <c r="F800" s="100"/>
      <c r="G800" s="100"/>
      <c r="H800" s="100"/>
      <c r="I800" s="100"/>
      <c r="J800" s="99"/>
    </row>
    <row r="801">
      <c r="A801" s="93" t="s">
        <v>20</v>
      </c>
      <c r="B801" s="115" t="s">
        <v>116</v>
      </c>
      <c r="C801" s="124">
        <v>41.0</v>
      </c>
      <c r="D801" s="121" t="s">
        <v>1655</v>
      </c>
      <c r="E801" s="121" t="s">
        <v>1656</v>
      </c>
      <c r="F801" s="98"/>
      <c r="G801" s="98"/>
      <c r="H801" s="98"/>
      <c r="I801" s="98"/>
      <c r="J801" s="99"/>
    </row>
    <row r="802">
      <c r="A802" s="85" t="s">
        <v>20</v>
      </c>
      <c r="B802" s="114" t="s">
        <v>116</v>
      </c>
      <c r="C802" s="125">
        <v>42.0</v>
      </c>
      <c r="D802" s="119" t="s">
        <v>1657</v>
      </c>
      <c r="E802" s="119" t="s">
        <v>1654</v>
      </c>
      <c r="F802" s="100"/>
      <c r="G802" s="100"/>
      <c r="H802" s="100"/>
      <c r="I802" s="100"/>
      <c r="J802" s="99"/>
    </row>
    <row r="803">
      <c r="A803" s="93" t="s">
        <v>20</v>
      </c>
      <c r="B803" s="115" t="s">
        <v>116</v>
      </c>
      <c r="C803" s="124">
        <v>44.0</v>
      </c>
      <c r="D803" s="121" t="s">
        <v>1658</v>
      </c>
      <c r="E803" s="121" t="s">
        <v>1654</v>
      </c>
      <c r="F803" s="98"/>
      <c r="G803" s="98"/>
      <c r="H803" s="98"/>
      <c r="I803" s="98"/>
      <c r="J803" s="99"/>
    </row>
    <row r="804">
      <c r="A804" s="85" t="s">
        <v>20</v>
      </c>
      <c r="B804" s="114" t="s">
        <v>116</v>
      </c>
      <c r="C804" s="125">
        <v>46.0</v>
      </c>
      <c r="D804" s="119" t="s">
        <v>1659</v>
      </c>
      <c r="E804" s="119" t="s">
        <v>1654</v>
      </c>
      <c r="F804" s="100"/>
      <c r="G804" s="100"/>
      <c r="H804" s="100"/>
      <c r="I804" s="100"/>
      <c r="J804" s="99"/>
    </row>
    <row r="805">
      <c r="A805" s="93" t="s">
        <v>20</v>
      </c>
      <c r="B805" s="115" t="s">
        <v>116</v>
      </c>
      <c r="C805" s="124">
        <v>48.0</v>
      </c>
      <c r="D805" s="121" t="s">
        <v>1660</v>
      </c>
      <c r="E805" s="121" t="s">
        <v>1654</v>
      </c>
      <c r="F805" s="98"/>
      <c r="G805" s="98"/>
      <c r="H805" s="98"/>
      <c r="I805" s="98"/>
      <c r="J805" s="99"/>
    </row>
    <row r="806">
      <c r="A806" s="85" t="s">
        <v>20</v>
      </c>
      <c r="B806" s="114" t="s">
        <v>116</v>
      </c>
      <c r="C806" s="125">
        <v>49.0</v>
      </c>
      <c r="D806" s="119" t="s">
        <v>1661</v>
      </c>
      <c r="E806" s="119" t="s">
        <v>1656</v>
      </c>
      <c r="F806" s="100"/>
      <c r="G806" s="100"/>
      <c r="H806" s="100"/>
      <c r="I806" s="100"/>
      <c r="J806" s="99"/>
    </row>
    <row r="807">
      <c r="A807" s="93" t="s">
        <v>20</v>
      </c>
      <c r="B807" s="115" t="s">
        <v>116</v>
      </c>
      <c r="C807" s="124">
        <v>50.0</v>
      </c>
      <c r="D807" s="121" t="s">
        <v>1662</v>
      </c>
      <c r="E807" s="121" t="s">
        <v>1654</v>
      </c>
      <c r="F807" s="98"/>
      <c r="G807" s="98"/>
      <c r="H807" s="98"/>
      <c r="I807" s="98"/>
      <c r="J807" s="99"/>
    </row>
    <row r="808">
      <c r="A808" s="85" t="s">
        <v>20</v>
      </c>
      <c r="B808" s="114" t="s">
        <v>116</v>
      </c>
      <c r="C808" s="125">
        <v>59.0</v>
      </c>
      <c r="D808" s="119" t="s">
        <v>1663</v>
      </c>
      <c r="E808" s="119" t="s">
        <v>1654</v>
      </c>
      <c r="F808" s="100"/>
      <c r="G808" s="100"/>
      <c r="H808" s="100"/>
      <c r="I808" s="100"/>
      <c r="J808" s="99"/>
    </row>
    <row r="809">
      <c r="A809" s="93" t="s">
        <v>20</v>
      </c>
      <c r="B809" s="115" t="s">
        <v>116</v>
      </c>
      <c r="C809" s="124">
        <v>63.0</v>
      </c>
      <c r="D809" s="121" t="s">
        <v>1664</v>
      </c>
      <c r="E809" s="121" t="s">
        <v>1654</v>
      </c>
      <c r="F809" s="98"/>
      <c r="G809" s="98"/>
      <c r="H809" s="98"/>
      <c r="I809" s="98"/>
      <c r="J809" s="99"/>
    </row>
    <row r="810">
      <c r="A810" s="85" t="s">
        <v>20</v>
      </c>
      <c r="B810" s="114" t="s">
        <v>116</v>
      </c>
      <c r="C810" s="125">
        <v>68.0</v>
      </c>
      <c r="D810" s="119" t="s">
        <v>1665</v>
      </c>
      <c r="E810" s="119" t="s">
        <v>1654</v>
      </c>
      <c r="F810" s="100"/>
      <c r="G810" s="100"/>
      <c r="H810" s="100"/>
      <c r="I810" s="100"/>
      <c r="J810" s="99"/>
    </row>
    <row r="811">
      <c r="A811" s="93" t="s">
        <v>20</v>
      </c>
      <c r="B811" s="115" t="s">
        <v>116</v>
      </c>
      <c r="C811" s="124">
        <v>69.0</v>
      </c>
      <c r="D811" s="121" t="s">
        <v>1666</v>
      </c>
      <c r="E811" s="121" t="s">
        <v>1667</v>
      </c>
      <c r="F811" s="98"/>
      <c r="G811" s="98"/>
      <c r="H811" s="98"/>
      <c r="I811" s="98"/>
      <c r="J811" s="99"/>
    </row>
    <row r="812">
      <c r="A812" s="85" t="s">
        <v>20</v>
      </c>
      <c r="B812" s="114" t="s">
        <v>116</v>
      </c>
      <c r="C812" s="125">
        <v>70.0</v>
      </c>
      <c r="D812" s="119" t="s">
        <v>1668</v>
      </c>
      <c r="E812" s="119" t="s">
        <v>1667</v>
      </c>
      <c r="F812" s="100"/>
      <c r="G812" s="100"/>
      <c r="H812" s="85"/>
      <c r="I812" s="85"/>
      <c r="J812" s="99"/>
    </row>
    <row r="813">
      <c r="A813" s="93" t="s">
        <v>20</v>
      </c>
      <c r="B813" s="115" t="s">
        <v>116</v>
      </c>
      <c r="C813" s="124">
        <v>71.0</v>
      </c>
      <c r="D813" s="121" t="s">
        <v>1670</v>
      </c>
      <c r="E813" s="121" t="s">
        <v>1667</v>
      </c>
      <c r="F813" s="98"/>
      <c r="G813" s="98"/>
      <c r="H813" s="98"/>
      <c r="I813" s="98"/>
      <c r="J813" s="99"/>
    </row>
    <row r="814">
      <c r="A814" s="85" t="s">
        <v>20</v>
      </c>
      <c r="B814" s="114" t="s">
        <v>116</v>
      </c>
      <c r="C814" s="125">
        <v>72.0</v>
      </c>
      <c r="D814" s="119" t="s">
        <v>1671</v>
      </c>
      <c r="E814" s="119" t="s">
        <v>1672</v>
      </c>
      <c r="F814" s="100"/>
      <c r="G814" s="100"/>
      <c r="H814" s="100"/>
      <c r="I814" s="100"/>
      <c r="J814" s="99"/>
    </row>
    <row r="815">
      <c r="A815" s="93" t="s">
        <v>20</v>
      </c>
      <c r="B815" s="115" t="s">
        <v>116</v>
      </c>
      <c r="C815" s="124">
        <v>73.0</v>
      </c>
      <c r="D815" s="121" t="s">
        <v>1673</v>
      </c>
      <c r="E815" s="121" t="s">
        <v>1674</v>
      </c>
      <c r="F815" s="98"/>
      <c r="G815" s="98"/>
      <c r="H815" s="98"/>
      <c r="I815" s="98"/>
      <c r="J815" s="99"/>
    </row>
    <row r="816">
      <c r="A816" s="85" t="s">
        <v>20</v>
      </c>
      <c r="B816" s="114" t="s">
        <v>116</v>
      </c>
      <c r="C816" s="125">
        <v>74.0</v>
      </c>
      <c r="D816" s="119" t="s">
        <v>1675</v>
      </c>
      <c r="E816" s="119" t="s">
        <v>1674</v>
      </c>
      <c r="F816" s="100"/>
      <c r="G816" s="100"/>
      <c r="H816" s="85"/>
      <c r="I816" s="85"/>
      <c r="J816" s="99"/>
    </row>
    <row r="817">
      <c r="A817" s="93" t="s">
        <v>20</v>
      </c>
      <c r="B817" s="115" t="s">
        <v>119</v>
      </c>
      <c r="C817" s="124">
        <v>2.0</v>
      </c>
      <c r="D817" s="121" t="s">
        <v>1645</v>
      </c>
      <c r="E817" s="121" t="s">
        <v>1646</v>
      </c>
      <c r="F817" s="98"/>
      <c r="G817" s="98"/>
      <c r="H817" s="93"/>
      <c r="I817" s="93"/>
      <c r="J817" s="99"/>
    </row>
    <row r="818">
      <c r="A818" s="85" t="s">
        <v>20</v>
      </c>
      <c r="B818" s="114" t="s">
        <v>119</v>
      </c>
      <c r="C818" s="125">
        <v>3.0</v>
      </c>
      <c r="D818" s="119" t="s">
        <v>1648</v>
      </c>
      <c r="E818" s="119" t="s">
        <v>1646</v>
      </c>
      <c r="F818" s="100"/>
      <c r="G818" s="100"/>
      <c r="H818" s="85"/>
      <c r="I818" s="85"/>
      <c r="J818" s="99"/>
    </row>
    <row r="819">
      <c r="A819" s="93" t="s">
        <v>20</v>
      </c>
      <c r="B819" s="115" t="s">
        <v>119</v>
      </c>
      <c r="C819" s="124">
        <v>5.0</v>
      </c>
      <c r="D819" s="121" t="s">
        <v>1649</v>
      </c>
      <c r="E819" s="121" t="s">
        <v>1650</v>
      </c>
      <c r="F819" s="98"/>
      <c r="G819" s="98"/>
      <c r="H819" s="93"/>
      <c r="I819" s="93"/>
      <c r="J819" s="99"/>
    </row>
    <row r="820">
      <c r="A820" s="85" t="s">
        <v>20</v>
      </c>
      <c r="B820" s="114" t="s">
        <v>119</v>
      </c>
      <c r="C820" s="125">
        <v>6.0</v>
      </c>
      <c r="D820" s="119" t="s">
        <v>1651</v>
      </c>
      <c r="E820" s="119" t="s">
        <v>1646</v>
      </c>
      <c r="F820" s="100"/>
      <c r="G820" s="100"/>
      <c r="H820" s="85"/>
      <c r="I820" s="85"/>
      <c r="J820" s="99"/>
    </row>
    <row r="821">
      <c r="A821" s="93" t="s">
        <v>20</v>
      </c>
      <c r="B821" s="115" t="s">
        <v>119</v>
      </c>
      <c r="C821" s="124">
        <v>32.0</v>
      </c>
      <c r="D821" s="121" t="s">
        <v>1652</v>
      </c>
      <c r="E821" s="121" t="s">
        <v>1646</v>
      </c>
      <c r="F821" s="98"/>
      <c r="G821" s="98"/>
      <c r="H821" s="93"/>
      <c r="I821" s="93"/>
      <c r="J821" s="99"/>
    </row>
    <row r="822">
      <c r="A822" s="85" t="s">
        <v>20</v>
      </c>
      <c r="B822" s="114" t="s">
        <v>119</v>
      </c>
      <c r="C822" s="125">
        <v>40.0</v>
      </c>
      <c r="D822" s="119" t="s">
        <v>1653</v>
      </c>
      <c r="E822" s="119" t="s">
        <v>1654</v>
      </c>
      <c r="F822" s="100"/>
      <c r="G822" s="100"/>
      <c r="H822" s="85"/>
      <c r="I822" s="85"/>
      <c r="J822" s="99"/>
    </row>
    <row r="823">
      <c r="A823" s="93" t="s">
        <v>20</v>
      </c>
      <c r="B823" s="115" t="s">
        <v>119</v>
      </c>
      <c r="C823" s="124">
        <v>41.0</v>
      </c>
      <c r="D823" s="121" t="s">
        <v>1655</v>
      </c>
      <c r="E823" s="121" t="s">
        <v>1656</v>
      </c>
      <c r="F823" s="98"/>
      <c r="G823" s="98"/>
      <c r="H823" s="93"/>
      <c r="I823" s="93"/>
      <c r="J823" s="99"/>
    </row>
    <row r="824">
      <c r="A824" s="85" t="s">
        <v>20</v>
      </c>
      <c r="B824" s="114" t="s">
        <v>119</v>
      </c>
      <c r="C824" s="125">
        <v>42.0</v>
      </c>
      <c r="D824" s="119" t="s">
        <v>1657</v>
      </c>
      <c r="E824" s="119" t="s">
        <v>1654</v>
      </c>
      <c r="F824" s="100"/>
      <c r="G824" s="100"/>
      <c r="H824" s="85"/>
      <c r="I824" s="85"/>
      <c r="J824" s="99"/>
    </row>
    <row r="825">
      <c r="A825" s="93" t="s">
        <v>20</v>
      </c>
      <c r="B825" s="115" t="s">
        <v>119</v>
      </c>
      <c r="C825" s="124">
        <v>44.0</v>
      </c>
      <c r="D825" s="121" t="s">
        <v>1658</v>
      </c>
      <c r="E825" s="121" t="s">
        <v>1654</v>
      </c>
      <c r="F825" s="98"/>
      <c r="G825" s="98"/>
      <c r="H825" s="93"/>
      <c r="I825" s="93"/>
      <c r="J825" s="99"/>
    </row>
    <row r="826">
      <c r="A826" s="85" t="s">
        <v>20</v>
      </c>
      <c r="B826" s="114" t="s">
        <v>119</v>
      </c>
      <c r="C826" s="125">
        <v>46.0</v>
      </c>
      <c r="D826" s="119" t="s">
        <v>1659</v>
      </c>
      <c r="E826" s="119" t="s">
        <v>1654</v>
      </c>
      <c r="F826" s="100"/>
      <c r="G826" s="100"/>
      <c r="H826" s="85"/>
      <c r="I826" s="85"/>
      <c r="J826" s="99"/>
    </row>
    <row r="827">
      <c r="A827" s="93" t="s">
        <v>20</v>
      </c>
      <c r="B827" s="115" t="s">
        <v>119</v>
      </c>
      <c r="C827" s="124">
        <v>48.0</v>
      </c>
      <c r="D827" s="121" t="s">
        <v>1660</v>
      </c>
      <c r="E827" s="121" t="s">
        <v>1654</v>
      </c>
      <c r="F827" s="98"/>
      <c r="G827" s="98"/>
      <c r="H827" s="93"/>
      <c r="I827" s="93"/>
      <c r="J827" s="99"/>
    </row>
    <row r="828">
      <c r="A828" s="85" t="s">
        <v>20</v>
      </c>
      <c r="B828" s="114" t="s">
        <v>119</v>
      </c>
      <c r="C828" s="125">
        <v>49.0</v>
      </c>
      <c r="D828" s="119" t="s">
        <v>1661</v>
      </c>
      <c r="E828" s="119" t="s">
        <v>1656</v>
      </c>
      <c r="F828" s="100"/>
      <c r="G828" s="100"/>
      <c r="H828" s="85"/>
      <c r="I828" s="85"/>
      <c r="J828" s="99"/>
    </row>
    <row r="829">
      <c r="A829" s="93" t="s">
        <v>20</v>
      </c>
      <c r="B829" s="115" t="s">
        <v>119</v>
      </c>
      <c r="C829" s="124">
        <v>50.0</v>
      </c>
      <c r="D829" s="121" t="s">
        <v>1662</v>
      </c>
      <c r="E829" s="121" t="s">
        <v>1654</v>
      </c>
      <c r="F829" s="98"/>
      <c r="G829" s="98"/>
      <c r="H829" s="93"/>
      <c r="I829" s="93"/>
      <c r="J829" s="99"/>
    </row>
    <row r="830">
      <c r="A830" s="85" t="s">
        <v>20</v>
      </c>
      <c r="B830" s="114" t="s">
        <v>119</v>
      </c>
      <c r="C830" s="125">
        <v>59.0</v>
      </c>
      <c r="D830" s="119" t="s">
        <v>1663</v>
      </c>
      <c r="E830" s="119" t="s">
        <v>1654</v>
      </c>
      <c r="F830" s="100"/>
      <c r="G830" s="100"/>
      <c r="H830" s="85"/>
      <c r="I830" s="85"/>
      <c r="J830" s="99"/>
    </row>
    <row r="831">
      <c r="A831" s="93" t="s">
        <v>20</v>
      </c>
      <c r="B831" s="115" t="s">
        <v>119</v>
      </c>
      <c r="C831" s="124">
        <v>63.0</v>
      </c>
      <c r="D831" s="121" t="s">
        <v>1664</v>
      </c>
      <c r="E831" s="121" t="s">
        <v>1654</v>
      </c>
      <c r="F831" s="98"/>
      <c r="G831" s="98"/>
      <c r="H831" s="93"/>
      <c r="I831" s="93"/>
      <c r="J831" s="99"/>
    </row>
    <row r="832">
      <c r="A832" s="85" t="s">
        <v>20</v>
      </c>
      <c r="B832" s="114" t="s">
        <v>119</v>
      </c>
      <c r="C832" s="125">
        <v>68.0</v>
      </c>
      <c r="D832" s="119" t="s">
        <v>1665</v>
      </c>
      <c r="E832" s="119" t="s">
        <v>1654</v>
      </c>
      <c r="F832" s="100"/>
      <c r="G832" s="100"/>
      <c r="H832" s="85"/>
      <c r="I832" s="85"/>
      <c r="J832" s="99"/>
    </row>
    <row r="833">
      <c r="A833" s="93" t="s">
        <v>20</v>
      </c>
      <c r="B833" s="115" t="s">
        <v>119</v>
      </c>
      <c r="C833" s="124">
        <v>69.0</v>
      </c>
      <c r="D833" s="121" t="s">
        <v>1666</v>
      </c>
      <c r="E833" s="121" t="s">
        <v>1667</v>
      </c>
      <c r="F833" s="98"/>
      <c r="G833" s="98"/>
      <c r="H833" s="93"/>
      <c r="I833" s="93"/>
      <c r="J833" s="99"/>
    </row>
    <row r="834">
      <c r="A834" s="85" t="s">
        <v>20</v>
      </c>
      <c r="B834" s="114" t="s">
        <v>119</v>
      </c>
      <c r="C834" s="125">
        <v>70.0</v>
      </c>
      <c r="D834" s="119" t="s">
        <v>1668</v>
      </c>
      <c r="E834" s="119" t="s">
        <v>1667</v>
      </c>
      <c r="F834" s="100"/>
      <c r="G834" s="100"/>
      <c r="H834" s="85"/>
      <c r="I834" s="85"/>
      <c r="J834" s="99"/>
    </row>
    <row r="835">
      <c r="A835" s="93" t="s">
        <v>20</v>
      </c>
      <c r="B835" s="115" t="s">
        <v>119</v>
      </c>
      <c r="C835" s="124">
        <v>71.0</v>
      </c>
      <c r="D835" s="121" t="s">
        <v>1670</v>
      </c>
      <c r="E835" s="121" t="s">
        <v>1667</v>
      </c>
      <c r="F835" s="98"/>
      <c r="G835" s="98"/>
      <c r="H835" s="93"/>
      <c r="I835" s="93"/>
      <c r="J835" s="99"/>
    </row>
    <row r="836">
      <c r="A836" s="85" t="s">
        <v>20</v>
      </c>
      <c r="B836" s="114" t="s">
        <v>119</v>
      </c>
      <c r="C836" s="125">
        <v>72.0</v>
      </c>
      <c r="D836" s="119" t="s">
        <v>1671</v>
      </c>
      <c r="E836" s="119" t="s">
        <v>1672</v>
      </c>
      <c r="F836" s="100"/>
      <c r="G836" s="100"/>
      <c r="H836" s="85"/>
      <c r="I836" s="85"/>
      <c r="J836" s="99"/>
    </row>
    <row r="837">
      <c r="A837" s="93" t="s">
        <v>20</v>
      </c>
      <c r="B837" s="115" t="s">
        <v>119</v>
      </c>
      <c r="C837" s="124">
        <v>73.0</v>
      </c>
      <c r="D837" s="121" t="s">
        <v>1673</v>
      </c>
      <c r="E837" s="121" t="s">
        <v>1674</v>
      </c>
      <c r="F837" s="98"/>
      <c r="G837" s="98"/>
      <c r="H837" s="93"/>
      <c r="I837" s="93"/>
      <c r="J837" s="99"/>
    </row>
    <row r="838">
      <c r="A838" s="85" t="s">
        <v>20</v>
      </c>
      <c r="B838" s="114" t="s">
        <v>119</v>
      </c>
      <c r="C838" s="125">
        <v>74.0</v>
      </c>
      <c r="D838" s="119" t="s">
        <v>1675</v>
      </c>
      <c r="E838" s="119" t="s">
        <v>1674</v>
      </c>
      <c r="F838" s="100"/>
      <c r="G838" s="100"/>
      <c r="H838" s="85"/>
      <c r="I838" s="85"/>
      <c r="J838" s="99"/>
    </row>
    <row r="839">
      <c r="A839" s="93" t="s">
        <v>20</v>
      </c>
      <c r="B839" s="115" t="s">
        <v>122</v>
      </c>
      <c r="C839" s="124">
        <v>1.0</v>
      </c>
      <c r="D839" s="121" t="s">
        <v>1677</v>
      </c>
      <c r="E839" s="121" t="s">
        <v>1678</v>
      </c>
      <c r="F839" s="98"/>
      <c r="G839" s="98"/>
      <c r="H839" s="98"/>
      <c r="I839" s="98"/>
      <c r="J839" s="99"/>
    </row>
    <row r="840">
      <c r="A840" s="85" t="s">
        <v>20</v>
      </c>
      <c r="B840" s="114" t="s">
        <v>122</v>
      </c>
      <c r="C840" s="125">
        <v>2.0</v>
      </c>
      <c r="D840" s="119" t="s">
        <v>1679</v>
      </c>
      <c r="E840" s="119" t="s">
        <v>1680</v>
      </c>
      <c r="F840" s="100"/>
      <c r="G840" s="100"/>
      <c r="H840" s="100"/>
      <c r="I840" s="100"/>
      <c r="J840" s="99"/>
    </row>
    <row r="841">
      <c r="A841" s="93" t="s">
        <v>20</v>
      </c>
      <c r="B841" s="115" t="s">
        <v>122</v>
      </c>
      <c r="C841" s="124">
        <v>3.0</v>
      </c>
      <c r="D841" s="121" t="s">
        <v>1681</v>
      </c>
      <c r="E841" s="121" t="s">
        <v>1682</v>
      </c>
      <c r="F841" s="98"/>
      <c r="G841" s="98"/>
      <c r="H841" s="98"/>
      <c r="I841" s="98"/>
      <c r="J841" s="99"/>
    </row>
    <row r="842">
      <c r="A842" s="85" t="s">
        <v>20</v>
      </c>
      <c r="B842" s="114" t="s">
        <v>122</v>
      </c>
      <c r="C842" s="125">
        <v>4.0</v>
      </c>
      <c r="D842" s="119" t="s">
        <v>1683</v>
      </c>
      <c r="E842" s="119" t="s">
        <v>1684</v>
      </c>
      <c r="F842" s="100"/>
      <c r="G842" s="100"/>
      <c r="H842" s="100"/>
      <c r="I842" s="100"/>
      <c r="J842" s="99"/>
    </row>
    <row r="843">
      <c r="A843" s="93" t="s">
        <v>20</v>
      </c>
      <c r="B843" s="115" t="s">
        <v>122</v>
      </c>
      <c r="C843" s="124">
        <v>5.0</v>
      </c>
      <c r="D843" s="121" t="s">
        <v>1677</v>
      </c>
      <c r="E843" s="121" t="s">
        <v>1685</v>
      </c>
      <c r="F843" s="98"/>
      <c r="G843" s="98"/>
      <c r="H843" s="98"/>
      <c r="I843" s="98"/>
      <c r="J843" s="99"/>
    </row>
    <row r="844">
      <c r="A844" s="85" t="s">
        <v>20</v>
      </c>
      <c r="B844" s="114" t="s">
        <v>122</v>
      </c>
      <c r="C844" s="125">
        <v>6.0</v>
      </c>
      <c r="D844" s="119" t="s">
        <v>1686</v>
      </c>
      <c r="E844" s="119" t="s">
        <v>1687</v>
      </c>
      <c r="F844" s="100"/>
      <c r="G844" s="100"/>
      <c r="H844" s="100"/>
      <c r="I844" s="100"/>
      <c r="J844" s="99"/>
    </row>
    <row r="845">
      <c r="A845" s="93" t="s">
        <v>20</v>
      </c>
      <c r="B845" s="115" t="s">
        <v>122</v>
      </c>
      <c r="C845" s="124">
        <v>7.0</v>
      </c>
      <c r="D845" s="121" t="s">
        <v>1688</v>
      </c>
      <c r="E845" s="121" t="s">
        <v>1689</v>
      </c>
      <c r="F845" s="98"/>
      <c r="G845" s="98"/>
      <c r="H845" s="98"/>
      <c r="I845" s="98"/>
      <c r="J845" s="99"/>
    </row>
    <row r="846">
      <c r="A846" s="85" t="s">
        <v>20</v>
      </c>
      <c r="B846" s="114" t="s">
        <v>122</v>
      </c>
      <c r="C846" s="125">
        <v>8.0</v>
      </c>
      <c r="D846" s="119" t="s">
        <v>1690</v>
      </c>
      <c r="E846" s="119" t="s">
        <v>1691</v>
      </c>
      <c r="F846" s="100"/>
      <c r="G846" s="100"/>
      <c r="H846" s="100"/>
      <c r="I846" s="100"/>
      <c r="J846" s="99"/>
    </row>
    <row r="847">
      <c r="A847" s="93" t="s">
        <v>20</v>
      </c>
      <c r="B847" s="115" t="s">
        <v>122</v>
      </c>
      <c r="C847" s="124">
        <v>9.0</v>
      </c>
      <c r="D847" s="121" t="s">
        <v>1692</v>
      </c>
      <c r="E847" s="121" t="s">
        <v>1691</v>
      </c>
      <c r="F847" s="98"/>
      <c r="G847" s="98"/>
      <c r="H847" s="98"/>
      <c r="I847" s="98"/>
      <c r="J847" s="99"/>
    </row>
    <row r="848">
      <c r="A848" s="85" t="s">
        <v>20</v>
      </c>
      <c r="B848" s="114" t="s">
        <v>122</v>
      </c>
      <c r="C848" s="125">
        <v>10.0</v>
      </c>
      <c r="D848" s="119" t="s">
        <v>1693</v>
      </c>
      <c r="E848" s="119" t="s">
        <v>1691</v>
      </c>
      <c r="F848" s="100"/>
      <c r="G848" s="100"/>
      <c r="H848" s="100"/>
      <c r="I848" s="100"/>
      <c r="J848" s="99"/>
    </row>
    <row r="849">
      <c r="A849" s="93" t="s">
        <v>20</v>
      </c>
      <c r="B849" s="115" t="s">
        <v>122</v>
      </c>
      <c r="C849" s="124">
        <v>11.0</v>
      </c>
      <c r="D849" s="121" t="s">
        <v>1694</v>
      </c>
      <c r="E849" s="121" t="s">
        <v>1695</v>
      </c>
      <c r="F849" s="98"/>
      <c r="G849" s="98"/>
      <c r="H849" s="98"/>
      <c r="I849" s="98"/>
      <c r="J849" s="99"/>
    </row>
    <row r="850">
      <c r="A850" s="85" t="s">
        <v>20</v>
      </c>
      <c r="B850" s="114" t="s">
        <v>122</v>
      </c>
      <c r="C850" s="125">
        <v>12.0</v>
      </c>
      <c r="D850" s="119" t="s">
        <v>1696</v>
      </c>
      <c r="E850" s="119" t="s">
        <v>1695</v>
      </c>
      <c r="F850" s="100"/>
      <c r="G850" s="100"/>
      <c r="H850" s="100"/>
      <c r="I850" s="100"/>
      <c r="J850" s="99"/>
    </row>
    <row r="851">
      <c r="A851" s="93" t="s">
        <v>20</v>
      </c>
      <c r="B851" s="115" t="s">
        <v>122</v>
      </c>
      <c r="C851" s="124">
        <v>13.0</v>
      </c>
      <c r="D851" s="121" t="s">
        <v>1697</v>
      </c>
      <c r="E851" s="121" t="s">
        <v>1698</v>
      </c>
      <c r="F851" s="98"/>
      <c r="G851" s="98"/>
      <c r="H851" s="98"/>
      <c r="I851" s="98"/>
      <c r="J851" s="99"/>
    </row>
    <row r="852">
      <c r="A852" s="85" t="s">
        <v>20</v>
      </c>
      <c r="B852" s="114" t="s">
        <v>122</v>
      </c>
      <c r="C852" s="125">
        <v>14.0</v>
      </c>
      <c r="D852" s="119" t="s">
        <v>1699</v>
      </c>
      <c r="E852" s="119" t="s">
        <v>1700</v>
      </c>
      <c r="F852" s="100"/>
      <c r="G852" s="100"/>
      <c r="H852" s="100"/>
      <c r="I852" s="100"/>
      <c r="J852" s="99"/>
    </row>
    <row r="853">
      <c r="A853" s="93" t="s">
        <v>20</v>
      </c>
      <c r="B853" s="115" t="s">
        <v>122</v>
      </c>
      <c r="C853" s="124">
        <v>15.0</v>
      </c>
      <c r="D853" s="121" t="s">
        <v>1701</v>
      </c>
      <c r="E853" s="121" t="s">
        <v>1702</v>
      </c>
      <c r="F853" s="98"/>
      <c r="G853" s="98"/>
      <c r="H853" s="98"/>
      <c r="I853" s="98"/>
      <c r="J853" s="99"/>
    </row>
    <row r="854">
      <c r="A854" s="85" t="s">
        <v>20</v>
      </c>
      <c r="B854" s="114" t="s">
        <v>122</v>
      </c>
      <c r="C854" s="125">
        <v>16.0</v>
      </c>
      <c r="D854" s="119" t="s">
        <v>1703</v>
      </c>
      <c r="E854" s="119" t="s">
        <v>1704</v>
      </c>
      <c r="F854" s="100"/>
      <c r="G854" s="100"/>
      <c r="H854" s="100"/>
      <c r="I854" s="100"/>
      <c r="J854" s="99"/>
    </row>
    <row r="855">
      <c r="A855" s="93" t="s">
        <v>20</v>
      </c>
      <c r="B855" s="115" t="s">
        <v>122</v>
      </c>
      <c r="C855" s="124">
        <v>17.0</v>
      </c>
      <c r="D855" s="121" t="s">
        <v>1705</v>
      </c>
      <c r="E855" s="121" t="s">
        <v>1706</v>
      </c>
      <c r="F855" s="98"/>
      <c r="G855" s="98"/>
      <c r="H855" s="98"/>
      <c r="I855" s="98"/>
      <c r="J855" s="99"/>
    </row>
    <row r="856">
      <c r="A856" s="85" t="s">
        <v>20</v>
      </c>
      <c r="B856" s="114" t="s">
        <v>122</v>
      </c>
      <c r="C856" s="125">
        <v>18.0</v>
      </c>
      <c r="D856" s="119" t="s">
        <v>1707</v>
      </c>
      <c r="E856" s="119" t="s">
        <v>1708</v>
      </c>
      <c r="F856" s="100"/>
      <c r="G856" s="100"/>
      <c r="H856" s="100"/>
      <c r="I856" s="100"/>
      <c r="J856" s="99"/>
    </row>
    <row r="857">
      <c r="A857" s="93" t="s">
        <v>20</v>
      </c>
      <c r="B857" s="115" t="s">
        <v>122</v>
      </c>
      <c r="C857" s="124">
        <v>19.0</v>
      </c>
      <c r="D857" s="121" t="s">
        <v>1709</v>
      </c>
      <c r="E857" s="121" t="s">
        <v>1710</v>
      </c>
      <c r="F857" s="98"/>
      <c r="G857" s="98"/>
      <c r="H857" s="98"/>
      <c r="I857" s="98"/>
      <c r="J857" s="99"/>
    </row>
    <row r="858">
      <c r="A858" s="85" t="s">
        <v>20</v>
      </c>
      <c r="B858" s="114" t="s">
        <v>122</v>
      </c>
      <c r="C858" s="125">
        <v>20.0</v>
      </c>
      <c r="D858" s="119" t="s">
        <v>1711</v>
      </c>
      <c r="E858" s="119" t="s">
        <v>1712</v>
      </c>
      <c r="F858" s="100"/>
      <c r="G858" s="100"/>
      <c r="H858" s="100"/>
      <c r="I858" s="100"/>
      <c r="J858" s="99"/>
    </row>
    <row r="859">
      <c r="A859" s="93" t="s">
        <v>20</v>
      </c>
      <c r="B859" s="115" t="s">
        <v>122</v>
      </c>
      <c r="C859" s="124">
        <v>21.0</v>
      </c>
      <c r="D859" s="121" t="s">
        <v>1713</v>
      </c>
      <c r="E859" s="121" t="s">
        <v>1712</v>
      </c>
      <c r="F859" s="98"/>
      <c r="G859" s="98"/>
      <c r="H859" s="98"/>
      <c r="I859" s="98"/>
      <c r="J859" s="99"/>
    </row>
    <row r="860">
      <c r="A860" s="85" t="s">
        <v>20</v>
      </c>
      <c r="B860" s="114" t="s">
        <v>122</v>
      </c>
      <c r="C860" s="125">
        <v>22.0</v>
      </c>
      <c r="D860" s="119" t="s">
        <v>1714</v>
      </c>
      <c r="E860" s="119" t="s">
        <v>1712</v>
      </c>
      <c r="F860" s="100"/>
      <c r="G860" s="100"/>
      <c r="H860" s="100"/>
      <c r="I860" s="100"/>
      <c r="J860" s="99"/>
    </row>
    <row r="861">
      <c r="A861" s="93" t="s">
        <v>20</v>
      </c>
      <c r="B861" s="115" t="s">
        <v>122</v>
      </c>
      <c r="C861" s="124">
        <v>23.0</v>
      </c>
      <c r="D861" s="121" t="s">
        <v>1715</v>
      </c>
      <c r="E861" s="121" t="s">
        <v>1712</v>
      </c>
      <c r="F861" s="98"/>
      <c r="G861" s="98"/>
      <c r="H861" s="98"/>
      <c r="I861" s="98"/>
      <c r="J861" s="99"/>
    </row>
    <row r="862">
      <c r="A862" s="85" t="s">
        <v>20</v>
      </c>
      <c r="B862" s="114" t="s">
        <v>122</v>
      </c>
      <c r="C862" s="125">
        <v>24.0</v>
      </c>
      <c r="D862" s="119" t="s">
        <v>1716</v>
      </c>
      <c r="E862" s="119" t="s">
        <v>1712</v>
      </c>
      <c r="F862" s="100"/>
      <c r="G862" s="100"/>
      <c r="H862" s="100"/>
      <c r="I862" s="100"/>
      <c r="J862" s="99"/>
    </row>
    <row r="863">
      <c r="A863" s="93" t="s">
        <v>20</v>
      </c>
      <c r="B863" s="115" t="s">
        <v>122</v>
      </c>
      <c r="C863" s="124">
        <v>25.0</v>
      </c>
      <c r="D863" s="121" t="s">
        <v>1717</v>
      </c>
      <c r="E863" s="121" t="s">
        <v>1718</v>
      </c>
      <c r="F863" s="98"/>
      <c r="G863" s="98"/>
      <c r="H863" s="98"/>
      <c r="I863" s="98"/>
      <c r="J863" s="99"/>
    </row>
    <row r="864">
      <c r="A864" s="85" t="s">
        <v>20</v>
      </c>
      <c r="B864" s="114" t="s">
        <v>122</v>
      </c>
      <c r="C864" s="125">
        <v>27.0</v>
      </c>
      <c r="D864" s="119" t="s">
        <v>1719</v>
      </c>
      <c r="E864" s="119" t="s">
        <v>1720</v>
      </c>
      <c r="F864" s="100"/>
      <c r="G864" s="100"/>
      <c r="H864" s="100"/>
      <c r="I864" s="100"/>
      <c r="J864" s="99"/>
    </row>
    <row r="865">
      <c r="A865" s="93" t="s">
        <v>20</v>
      </c>
      <c r="B865" s="115" t="s">
        <v>122</v>
      </c>
      <c r="C865" s="124">
        <v>28.0</v>
      </c>
      <c r="D865" s="121" t="s">
        <v>1721</v>
      </c>
      <c r="E865" s="121" t="s">
        <v>1722</v>
      </c>
      <c r="F865" s="98"/>
      <c r="G865" s="98"/>
      <c r="H865" s="98"/>
      <c r="I865" s="98"/>
      <c r="J865" s="99"/>
    </row>
    <row r="866">
      <c r="A866" s="85" t="s">
        <v>20</v>
      </c>
      <c r="B866" s="114" t="s">
        <v>122</v>
      </c>
      <c r="C866" s="125">
        <v>29.0</v>
      </c>
      <c r="D866" s="119" t="s">
        <v>1723</v>
      </c>
      <c r="E866" s="119" t="s">
        <v>1724</v>
      </c>
      <c r="F866" s="100"/>
      <c r="G866" s="100"/>
      <c r="H866" s="100"/>
      <c r="I866" s="100"/>
      <c r="J866" s="99"/>
    </row>
    <row r="867">
      <c r="A867" s="93" t="s">
        <v>20</v>
      </c>
      <c r="B867" s="115" t="s">
        <v>122</v>
      </c>
      <c r="C867" s="124">
        <v>30.0</v>
      </c>
      <c r="D867" s="121" t="s">
        <v>1725</v>
      </c>
      <c r="E867" s="121" t="s">
        <v>1726</v>
      </c>
      <c r="F867" s="98"/>
      <c r="G867" s="98"/>
      <c r="H867" s="98"/>
      <c r="I867" s="98"/>
      <c r="J867" s="99"/>
    </row>
    <row r="868">
      <c r="A868" s="85" t="s">
        <v>20</v>
      </c>
      <c r="B868" s="114" t="s">
        <v>122</v>
      </c>
      <c r="C868" s="125">
        <v>31.0</v>
      </c>
      <c r="D868" s="119" t="s">
        <v>1727</v>
      </c>
      <c r="E868" s="119" t="s">
        <v>1728</v>
      </c>
      <c r="F868" s="100"/>
      <c r="G868" s="100"/>
      <c r="H868" s="100"/>
      <c r="I868" s="100"/>
      <c r="J868" s="99"/>
    </row>
    <row r="869">
      <c r="A869" s="93" t="s">
        <v>20</v>
      </c>
      <c r="B869" s="115" t="s">
        <v>122</v>
      </c>
      <c r="C869" s="124">
        <v>33.0</v>
      </c>
      <c r="D869" s="121" t="s">
        <v>1729</v>
      </c>
      <c r="E869" s="121" t="s">
        <v>1730</v>
      </c>
      <c r="F869" s="98"/>
      <c r="G869" s="98"/>
      <c r="H869" s="98"/>
      <c r="I869" s="98"/>
      <c r="J869" s="99"/>
    </row>
    <row r="870">
      <c r="A870" s="85" t="s">
        <v>20</v>
      </c>
      <c r="B870" s="114" t="s">
        <v>122</v>
      </c>
      <c r="C870" s="125">
        <v>34.0</v>
      </c>
      <c r="D870" s="119" t="s">
        <v>1731</v>
      </c>
      <c r="E870" s="119" t="s">
        <v>1732</v>
      </c>
      <c r="F870" s="100"/>
      <c r="G870" s="100"/>
      <c r="H870" s="100"/>
      <c r="I870" s="100"/>
      <c r="J870" s="99"/>
    </row>
    <row r="871">
      <c r="A871" s="93" t="s">
        <v>20</v>
      </c>
      <c r="B871" s="115" t="s">
        <v>122</v>
      </c>
      <c r="C871" s="124">
        <v>35.0</v>
      </c>
      <c r="D871" s="121" t="s">
        <v>1733</v>
      </c>
      <c r="E871" s="121" t="s">
        <v>1734</v>
      </c>
      <c r="F871" s="98"/>
      <c r="G871" s="98"/>
      <c r="H871" s="98"/>
      <c r="I871" s="98"/>
      <c r="J871" s="99"/>
    </row>
    <row r="872">
      <c r="A872" s="85" t="s">
        <v>20</v>
      </c>
      <c r="B872" s="114" t="s">
        <v>122</v>
      </c>
      <c r="C872" s="125">
        <v>36.0</v>
      </c>
      <c r="D872" s="119" t="s">
        <v>1735</v>
      </c>
      <c r="E872" s="119" t="s">
        <v>1736</v>
      </c>
      <c r="F872" s="100"/>
      <c r="G872" s="100"/>
      <c r="H872" s="100"/>
      <c r="I872" s="100"/>
      <c r="J872" s="99"/>
    </row>
    <row r="873">
      <c r="A873" s="93" t="s">
        <v>20</v>
      </c>
      <c r="B873" s="115" t="s">
        <v>122</v>
      </c>
      <c r="C873" s="124">
        <v>37.0</v>
      </c>
      <c r="D873" s="121" t="s">
        <v>1737</v>
      </c>
      <c r="E873" s="121" t="s">
        <v>1738</v>
      </c>
      <c r="F873" s="98"/>
      <c r="G873" s="98"/>
      <c r="H873" s="98"/>
      <c r="I873" s="98"/>
      <c r="J873" s="99"/>
    </row>
    <row r="874">
      <c r="A874" s="85" t="s">
        <v>20</v>
      </c>
      <c r="B874" s="114" t="s">
        <v>122</v>
      </c>
      <c r="C874" s="125">
        <v>38.0</v>
      </c>
      <c r="D874" s="119" t="s">
        <v>1739</v>
      </c>
      <c r="E874" s="119" t="s">
        <v>1738</v>
      </c>
      <c r="F874" s="100"/>
      <c r="G874" s="100"/>
      <c r="H874" s="100"/>
      <c r="I874" s="100"/>
      <c r="J874" s="99"/>
    </row>
    <row r="875">
      <c r="A875" s="93" t="s">
        <v>20</v>
      </c>
      <c r="B875" s="115" t="s">
        <v>122</v>
      </c>
      <c r="C875" s="124">
        <v>39.0</v>
      </c>
      <c r="D875" s="121" t="s">
        <v>1740</v>
      </c>
      <c r="E875" s="121" t="s">
        <v>1741</v>
      </c>
      <c r="F875" s="98"/>
      <c r="G875" s="98"/>
      <c r="H875" s="98"/>
      <c r="I875" s="98"/>
      <c r="J875" s="99"/>
    </row>
    <row r="876">
      <c r="A876" s="85" t="s">
        <v>20</v>
      </c>
      <c r="B876" s="114" t="s">
        <v>122</v>
      </c>
      <c r="C876" s="125">
        <v>40.0</v>
      </c>
      <c r="D876" s="119" t="s">
        <v>1742</v>
      </c>
      <c r="E876" s="119" t="s">
        <v>1743</v>
      </c>
      <c r="F876" s="100"/>
      <c r="G876" s="100"/>
      <c r="H876" s="100"/>
      <c r="I876" s="100"/>
      <c r="J876" s="99"/>
    </row>
    <row r="877">
      <c r="A877" s="93" t="s">
        <v>20</v>
      </c>
      <c r="B877" s="115" t="s">
        <v>122</v>
      </c>
      <c r="C877" s="124">
        <v>41.0</v>
      </c>
      <c r="D877" s="121" t="s">
        <v>1744</v>
      </c>
      <c r="E877" s="121" t="s">
        <v>1745</v>
      </c>
      <c r="F877" s="98"/>
      <c r="G877" s="98"/>
      <c r="H877" s="98"/>
      <c r="I877" s="98"/>
      <c r="J877" s="99"/>
    </row>
    <row r="878">
      <c r="A878" s="85" t="s">
        <v>20</v>
      </c>
      <c r="B878" s="114" t="s">
        <v>122</v>
      </c>
      <c r="C878" s="125">
        <v>42.0</v>
      </c>
      <c r="D878" s="119" t="s">
        <v>1746</v>
      </c>
      <c r="E878" s="119" t="s">
        <v>1747</v>
      </c>
      <c r="F878" s="100"/>
      <c r="G878" s="100"/>
      <c r="H878" s="100"/>
      <c r="I878" s="100"/>
      <c r="J878" s="99"/>
    </row>
    <row r="879">
      <c r="A879" s="93" t="s">
        <v>20</v>
      </c>
      <c r="B879" s="115" t="s">
        <v>122</v>
      </c>
      <c r="C879" s="124">
        <v>43.0</v>
      </c>
      <c r="D879" s="121" t="s">
        <v>1748</v>
      </c>
      <c r="E879" s="121" t="s">
        <v>1745</v>
      </c>
      <c r="F879" s="98"/>
      <c r="G879" s="98"/>
      <c r="H879" s="98"/>
      <c r="I879" s="98"/>
      <c r="J879" s="99"/>
    </row>
    <row r="880">
      <c r="A880" s="85" t="s">
        <v>20</v>
      </c>
      <c r="B880" s="114" t="s">
        <v>122</v>
      </c>
      <c r="C880" s="125">
        <v>44.0</v>
      </c>
      <c r="D880" s="119" t="s">
        <v>1749</v>
      </c>
      <c r="E880" s="119" t="s">
        <v>1750</v>
      </c>
      <c r="F880" s="100"/>
      <c r="G880" s="100"/>
      <c r="H880" s="100"/>
      <c r="I880" s="100"/>
      <c r="J880" s="99"/>
    </row>
    <row r="881">
      <c r="A881" s="93" t="s">
        <v>20</v>
      </c>
      <c r="B881" s="115" t="s">
        <v>122</v>
      </c>
      <c r="C881" s="124">
        <v>45.0</v>
      </c>
      <c r="D881" s="121" t="s">
        <v>1751</v>
      </c>
      <c r="E881" s="121" t="s">
        <v>1752</v>
      </c>
      <c r="F881" s="98"/>
      <c r="G881" s="98"/>
      <c r="H881" s="98"/>
      <c r="I881" s="98"/>
      <c r="J881" s="99"/>
    </row>
    <row r="882">
      <c r="A882" s="85" t="s">
        <v>20</v>
      </c>
      <c r="B882" s="114" t="s">
        <v>125</v>
      </c>
      <c r="C882" s="125">
        <v>1.0</v>
      </c>
      <c r="D882" s="119" t="s">
        <v>1753</v>
      </c>
      <c r="E882" s="119" t="s">
        <v>1754</v>
      </c>
      <c r="F882" s="100"/>
      <c r="G882" s="100"/>
      <c r="H882" s="100"/>
      <c r="I882" s="100"/>
      <c r="J882" s="99"/>
    </row>
    <row r="883">
      <c r="A883" s="93" t="s">
        <v>20</v>
      </c>
      <c r="B883" s="115" t="s">
        <v>125</v>
      </c>
      <c r="C883" s="124">
        <v>2.0</v>
      </c>
      <c r="D883" s="121" t="s">
        <v>1755</v>
      </c>
      <c r="E883" s="121" t="s">
        <v>1756</v>
      </c>
      <c r="F883" s="98"/>
      <c r="G883" s="98"/>
      <c r="H883" s="98"/>
      <c r="I883" s="98"/>
      <c r="J883" s="99"/>
    </row>
    <row r="884">
      <c r="A884" s="85" t="s">
        <v>20</v>
      </c>
      <c r="B884" s="114" t="s">
        <v>125</v>
      </c>
      <c r="C884" s="125">
        <v>3.0</v>
      </c>
      <c r="D884" s="119" t="s">
        <v>1757</v>
      </c>
      <c r="E884" s="119" t="s">
        <v>1758</v>
      </c>
      <c r="F884" s="100"/>
      <c r="G884" s="100"/>
      <c r="H884" s="100"/>
      <c r="I884" s="100"/>
      <c r="J884" s="99"/>
    </row>
    <row r="885">
      <c r="A885" s="93" t="s">
        <v>20</v>
      </c>
      <c r="B885" s="115" t="s">
        <v>125</v>
      </c>
      <c r="C885" s="124">
        <v>4.0</v>
      </c>
      <c r="D885" s="121" t="s">
        <v>1759</v>
      </c>
      <c r="E885" s="121" t="s">
        <v>1760</v>
      </c>
      <c r="F885" s="98"/>
      <c r="G885" s="98"/>
      <c r="H885" s="98"/>
      <c r="I885" s="98"/>
      <c r="J885" s="99"/>
    </row>
    <row r="886">
      <c r="A886" s="85" t="s">
        <v>20</v>
      </c>
      <c r="B886" s="114" t="s">
        <v>125</v>
      </c>
      <c r="C886" s="125">
        <v>5.0</v>
      </c>
      <c r="D886" s="119" t="s">
        <v>1761</v>
      </c>
      <c r="E886" s="119" t="s">
        <v>1762</v>
      </c>
      <c r="F886" s="100"/>
      <c r="G886" s="100"/>
      <c r="H886" s="100"/>
      <c r="I886" s="100"/>
      <c r="J886" s="99"/>
    </row>
    <row r="887">
      <c r="A887" s="93" t="s">
        <v>20</v>
      </c>
      <c r="B887" s="115" t="s">
        <v>125</v>
      </c>
      <c r="C887" s="124">
        <v>6.0</v>
      </c>
      <c r="D887" s="121" t="s">
        <v>1763</v>
      </c>
      <c r="E887" s="121" t="s">
        <v>1764</v>
      </c>
      <c r="F887" s="98"/>
      <c r="G887" s="98"/>
      <c r="H887" s="98"/>
      <c r="I887" s="98"/>
      <c r="J887" s="99"/>
    </row>
    <row r="888">
      <c r="A888" s="85" t="s">
        <v>20</v>
      </c>
      <c r="B888" s="114" t="s">
        <v>125</v>
      </c>
      <c r="C888" s="125">
        <v>7.0</v>
      </c>
      <c r="D888" s="119" t="s">
        <v>1765</v>
      </c>
      <c r="E888" s="119" t="s">
        <v>1766</v>
      </c>
      <c r="F888" s="100"/>
      <c r="G888" s="100"/>
      <c r="H888" s="100"/>
      <c r="I888" s="100"/>
      <c r="J888" s="99"/>
    </row>
    <row r="889">
      <c r="A889" s="93" t="s">
        <v>20</v>
      </c>
      <c r="B889" s="115" t="s">
        <v>125</v>
      </c>
      <c r="C889" s="124">
        <v>8.0</v>
      </c>
      <c r="D889" s="121" t="s">
        <v>1767</v>
      </c>
      <c r="E889" s="121" t="s">
        <v>1766</v>
      </c>
      <c r="F889" s="98"/>
      <c r="G889" s="98"/>
      <c r="H889" s="98"/>
      <c r="I889" s="98"/>
      <c r="J889" s="99"/>
    </row>
    <row r="890">
      <c r="A890" s="85" t="s">
        <v>20</v>
      </c>
      <c r="B890" s="114" t="s">
        <v>125</v>
      </c>
      <c r="C890" s="125">
        <v>11.0</v>
      </c>
      <c r="D890" s="119" t="s">
        <v>1768</v>
      </c>
      <c r="E890" s="119" t="s">
        <v>1769</v>
      </c>
      <c r="F890" s="100"/>
      <c r="G890" s="100"/>
      <c r="H890" s="100"/>
      <c r="I890" s="100"/>
      <c r="J890" s="99"/>
    </row>
    <row r="891">
      <c r="A891" s="93" t="s">
        <v>20</v>
      </c>
      <c r="B891" s="115" t="s">
        <v>125</v>
      </c>
      <c r="C891" s="124">
        <v>12.0</v>
      </c>
      <c r="D891" s="121" t="s">
        <v>1770</v>
      </c>
      <c r="E891" s="121" t="s">
        <v>1771</v>
      </c>
      <c r="F891" s="98"/>
      <c r="G891" s="98"/>
      <c r="H891" s="98"/>
      <c r="I891" s="98"/>
      <c r="J891" s="99"/>
    </row>
    <row r="892">
      <c r="A892" s="85" t="s">
        <v>20</v>
      </c>
      <c r="B892" s="114" t="s">
        <v>125</v>
      </c>
      <c r="C892" s="125">
        <v>14.0</v>
      </c>
      <c r="D892" s="119" t="s">
        <v>1772</v>
      </c>
      <c r="E892" s="119" t="s">
        <v>1769</v>
      </c>
      <c r="F892" s="100"/>
      <c r="G892" s="100"/>
      <c r="H892" s="100"/>
      <c r="I892" s="100"/>
      <c r="J892" s="99"/>
    </row>
    <row r="893">
      <c r="A893" s="93" t="s">
        <v>20</v>
      </c>
      <c r="B893" s="115" t="s">
        <v>125</v>
      </c>
      <c r="C893" s="124">
        <v>15.0</v>
      </c>
      <c r="D893" s="121" t="s">
        <v>1773</v>
      </c>
      <c r="E893" s="121" t="s">
        <v>1771</v>
      </c>
      <c r="F893" s="98"/>
      <c r="G893" s="98"/>
      <c r="H893" s="98"/>
      <c r="I893" s="98"/>
      <c r="J893" s="99"/>
    </row>
    <row r="894">
      <c r="A894" s="85" t="s">
        <v>20</v>
      </c>
      <c r="B894" s="114" t="s">
        <v>125</v>
      </c>
      <c r="C894" s="125">
        <v>17.0</v>
      </c>
      <c r="D894" s="119" t="s">
        <v>1774</v>
      </c>
      <c r="E894" s="119" t="s">
        <v>1775</v>
      </c>
      <c r="F894" s="100"/>
      <c r="G894" s="100"/>
      <c r="H894" s="100"/>
      <c r="I894" s="100"/>
      <c r="J894" s="99"/>
    </row>
    <row r="895">
      <c r="A895" s="93" t="s">
        <v>20</v>
      </c>
      <c r="B895" s="115" t="s">
        <v>125</v>
      </c>
      <c r="C895" s="124">
        <v>18.0</v>
      </c>
      <c r="D895" s="121" t="s">
        <v>1776</v>
      </c>
      <c r="E895" s="121" t="s">
        <v>1777</v>
      </c>
      <c r="F895" s="98"/>
      <c r="G895" s="98"/>
      <c r="H895" s="98"/>
      <c r="I895" s="98"/>
      <c r="J895" s="99"/>
    </row>
    <row r="896">
      <c r="A896" s="85" t="s">
        <v>20</v>
      </c>
      <c r="B896" s="114" t="s">
        <v>125</v>
      </c>
      <c r="C896" s="125">
        <v>20.0</v>
      </c>
      <c r="D896" s="119" t="s">
        <v>1778</v>
      </c>
      <c r="E896" s="119" t="s">
        <v>1775</v>
      </c>
      <c r="F896" s="100"/>
      <c r="G896" s="100"/>
      <c r="H896" s="100"/>
      <c r="I896" s="100"/>
      <c r="J896" s="99"/>
    </row>
    <row r="897">
      <c r="A897" s="93" t="s">
        <v>20</v>
      </c>
      <c r="B897" s="115" t="s">
        <v>125</v>
      </c>
      <c r="C897" s="124">
        <v>21.0</v>
      </c>
      <c r="D897" s="121" t="s">
        <v>1779</v>
      </c>
      <c r="E897" s="121" t="s">
        <v>1777</v>
      </c>
      <c r="F897" s="98"/>
      <c r="G897" s="98"/>
      <c r="H897" s="98"/>
      <c r="I897" s="98"/>
      <c r="J897" s="99"/>
    </row>
    <row r="898">
      <c r="A898" s="85" t="s">
        <v>20</v>
      </c>
      <c r="B898" s="114" t="s">
        <v>125</v>
      </c>
      <c r="C898" s="125">
        <v>23.0</v>
      </c>
      <c r="D898" s="119" t="s">
        <v>1780</v>
      </c>
      <c r="E898" s="119" t="s">
        <v>1781</v>
      </c>
      <c r="F898" s="100"/>
      <c r="G898" s="100"/>
      <c r="H898" s="100"/>
      <c r="I898" s="100"/>
      <c r="J898" s="99"/>
    </row>
    <row r="899">
      <c r="A899" s="93" t="s">
        <v>20</v>
      </c>
      <c r="B899" s="115" t="s">
        <v>125</v>
      </c>
      <c r="C899" s="124">
        <v>24.0</v>
      </c>
      <c r="D899" s="121" t="s">
        <v>1782</v>
      </c>
      <c r="E899" s="121" t="s">
        <v>1781</v>
      </c>
      <c r="F899" s="98"/>
      <c r="G899" s="98"/>
      <c r="H899" s="98"/>
      <c r="I899" s="98"/>
      <c r="J899" s="99"/>
    </row>
    <row r="900">
      <c r="A900" s="85" t="s">
        <v>20</v>
      </c>
      <c r="B900" s="114" t="s">
        <v>125</v>
      </c>
      <c r="C900" s="125">
        <v>32.0</v>
      </c>
      <c r="D900" s="119" t="s">
        <v>1783</v>
      </c>
      <c r="E900" s="119" t="s">
        <v>1784</v>
      </c>
      <c r="F900" s="100"/>
      <c r="G900" s="100"/>
      <c r="H900" s="100"/>
      <c r="I900" s="100"/>
      <c r="J900" s="99"/>
    </row>
    <row r="901">
      <c r="A901" s="93" t="s">
        <v>20</v>
      </c>
      <c r="B901" s="115" t="s">
        <v>125</v>
      </c>
      <c r="C901" s="124">
        <v>34.0</v>
      </c>
      <c r="D901" s="121" t="s">
        <v>1785</v>
      </c>
      <c r="E901" s="121" t="s">
        <v>1786</v>
      </c>
      <c r="F901" s="98"/>
      <c r="G901" s="98"/>
      <c r="H901" s="98"/>
      <c r="I901" s="98"/>
      <c r="J901" s="99"/>
    </row>
    <row r="902">
      <c r="A902" s="85" t="s">
        <v>20</v>
      </c>
      <c r="B902" s="114" t="s">
        <v>125</v>
      </c>
      <c r="C902" s="125">
        <v>37.0</v>
      </c>
      <c r="D902" s="119" t="s">
        <v>1787</v>
      </c>
      <c r="E902" s="119" t="s">
        <v>1788</v>
      </c>
      <c r="F902" s="100"/>
      <c r="G902" s="100"/>
      <c r="H902" s="100"/>
      <c r="I902" s="100"/>
      <c r="J902" s="99"/>
    </row>
    <row r="903">
      <c r="A903" s="93" t="s">
        <v>20</v>
      </c>
      <c r="B903" s="115" t="s">
        <v>125</v>
      </c>
      <c r="C903" s="124">
        <v>38.0</v>
      </c>
      <c r="D903" s="121" t="s">
        <v>1789</v>
      </c>
      <c r="E903" s="121" t="s">
        <v>1790</v>
      </c>
      <c r="F903" s="98"/>
      <c r="G903" s="98"/>
      <c r="H903" s="98"/>
      <c r="I903" s="98"/>
      <c r="J903" s="99"/>
    </row>
    <row r="904">
      <c r="A904" s="85" t="s">
        <v>20</v>
      </c>
      <c r="B904" s="114" t="s">
        <v>125</v>
      </c>
      <c r="C904" s="125">
        <v>41.0</v>
      </c>
      <c r="D904" s="119" t="s">
        <v>1791</v>
      </c>
      <c r="E904" s="119" t="s">
        <v>1792</v>
      </c>
      <c r="F904" s="100"/>
      <c r="G904" s="100"/>
      <c r="H904" s="100"/>
      <c r="I904" s="100"/>
      <c r="J904" s="99"/>
    </row>
    <row r="905">
      <c r="A905" s="93" t="s">
        <v>20</v>
      </c>
      <c r="B905" s="115" t="s">
        <v>125</v>
      </c>
      <c r="C905" s="124">
        <v>42.0</v>
      </c>
      <c r="D905" s="121" t="s">
        <v>1793</v>
      </c>
      <c r="E905" s="121" t="s">
        <v>1794</v>
      </c>
      <c r="F905" s="98"/>
      <c r="G905" s="98"/>
      <c r="H905" s="98"/>
      <c r="I905" s="98"/>
      <c r="J905" s="99"/>
    </row>
    <row r="906">
      <c r="A906" s="85" t="s">
        <v>20</v>
      </c>
      <c r="B906" s="114" t="s">
        <v>125</v>
      </c>
      <c r="C906" s="125">
        <v>44.0</v>
      </c>
      <c r="D906" s="119" t="s">
        <v>1795</v>
      </c>
      <c r="E906" s="119" t="s">
        <v>1794</v>
      </c>
      <c r="F906" s="100"/>
      <c r="G906" s="100"/>
      <c r="H906" s="100"/>
      <c r="I906" s="100"/>
      <c r="J906" s="99"/>
    </row>
    <row r="907">
      <c r="A907" s="93" t="s">
        <v>20</v>
      </c>
      <c r="B907" s="115" t="s">
        <v>125</v>
      </c>
      <c r="C907" s="124">
        <v>46.0</v>
      </c>
      <c r="D907" s="121" t="s">
        <v>1796</v>
      </c>
      <c r="E907" s="121" t="s">
        <v>1794</v>
      </c>
      <c r="F907" s="98"/>
      <c r="G907" s="98"/>
      <c r="H907" s="98"/>
      <c r="I907" s="98"/>
      <c r="J907" s="99"/>
    </row>
    <row r="908">
      <c r="A908" s="85" t="s">
        <v>20</v>
      </c>
      <c r="B908" s="114" t="s">
        <v>125</v>
      </c>
      <c r="C908" s="125">
        <v>59.0</v>
      </c>
      <c r="D908" s="119" t="s">
        <v>1797</v>
      </c>
      <c r="E908" s="119" t="s">
        <v>1798</v>
      </c>
      <c r="F908" s="100"/>
      <c r="G908" s="100"/>
      <c r="H908" s="100"/>
      <c r="I908" s="100"/>
      <c r="J908" s="99"/>
    </row>
    <row r="909">
      <c r="A909" s="93" t="s">
        <v>20</v>
      </c>
      <c r="B909" s="115" t="s">
        <v>125</v>
      </c>
      <c r="C909" s="124">
        <v>63.0</v>
      </c>
      <c r="D909" s="121" t="s">
        <v>1799</v>
      </c>
      <c r="E909" s="121" t="s">
        <v>1798</v>
      </c>
      <c r="F909" s="98"/>
      <c r="G909" s="98"/>
      <c r="H909" s="98"/>
      <c r="I909" s="98"/>
      <c r="J909" s="99"/>
    </row>
    <row r="910">
      <c r="A910" s="85" t="s">
        <v>20</v>
      </c>
      <c r="B910" s="114" t="s">
        <v>125</v>
      </c>
      <c r="C910" s="125">
        <v>68.0</v>
      </c>
      <c r="D910" s="119" t="s">
        <v>1800</v>
      </c>
      <c r="E910" s="119" t="s">
        <v>1798</v>
      </c>
      <c r="F910" s="100"/>
      <c r="G910" s="100"/>
      <c r="H910" s="100"/>
      <c r="I910" s="100"/>
      <c r="J910" s="99"/>
    </row>
    <row r="911">
      <c r="A911" s="93" t="s">
        <v>20</v>
      </c>
      <c r="B911" s="115" t="s">
        <v>131</v>
      </c>
      <c r="C911" s="124">
        <v>1.0</v>
      </c>
      <c r="D911" s="121" t="s">
        <v>1801</v>
      </c>
      <c r="E911" s="121" t="s">
        <v>1802</v>
      </c>
      <c r="F911" s="94"/>
      <c r="G911" s="98"/>
      <c r="H911" s="94"/>
      <c r="I911" s="94"/>
      <c r="J911" s="87"/>
    </row>
    <row r="912">
      <c r="A912" s="85" t="s">
        <v>20</v>
      </c>
      <c r="B912" s="114" t="s">
        <v>131</v>
      </c>
      <c r="C912" s="125">
        <v>2.0</v>
      </c>
      <c r="D912" s="119" t="s">
        <v>1803</v>
      </c>
      <c r="E912" s="119" t="s">
        <v>1804</v>
      </c>
      <c r="F912" s="86"/>
      <c r="G912" s="100"/>
      <c r="H912" s="86"/>
      <c r="I912" s="86"/>
      <c r="J912" s="87"/>
    </row>
    <row r="913">
      <c r="A913" s="93" t="s">
        <v>20</v>
      </c>
      <c r="B913" s="115" t="s">
        <v>131</v>
      </c>
      <c r="C913" s="124">
        <v>3.0</v>
      </c>
      <c r="D913" s="121" t="s">
        <v>1803</v>
      </c>
      <c r="E913" s="121" t="s">
        <v>1805</v>
      </c>
      <c r="F913" s="94"/>
      <c r="G913" s="98"/>
      <c r="H913" s="94"/>
      <c r="I913" s="94"/>
      <c r="J913" s="87"/>
    </row>
    <row r="914">
      <c r="A914" s="85" t="s">
        <v>20</v>
      </c>
      <c r="B914" s="114" t="s">
        <v>131</v>
      </c>
      <c r="C914" s="125">
        <v>40.0</v>
      </c>
      <c r="D914" s="119" t="s">
        <v>1806</v>
      </c>
      <c r="E914" s="119" t="s">
        <v>1807</v>
      </c>
      <c r="F914" s="86"/>
      <c r="G914" s="100"/>
      <c r="H914" s="86"/>
      <c r="I914" s="86"/>
      <c r="J914" s="87"/>
    </row>
    <row r="915">
      <c r="A915" s="93" t="s">
        <v>20</v>
      </c>
      <c r="B915" s="115" t="s">
        <v>131</v>
      </c>
      <c r="C915" s="124">
        <v>41.0</v>
      </c>
      <c r="D915" s="121" t="s">
        <v>1808</v>
      </c>
      <c r="E915" s="121" t="s">
        <v>1809</v>
      </c>
      <c r="F915" s="94"/>
      <c r="G915" s="98"/>
      <c r="H915" s="94"/>
      <c r="I915" s="94"/>
      <c r="J915" s="87"/>
    </row>
    <row r="916">
      <c r="A916" s="85" t="s">
        <v>20</v>
      </c>
      <c r="B916" s="114" t="s">
        <v>131</v>
      </c>
      <c r="C916" s="125">
        <v>42.0</v>
      </c>
      <c r="D916" s="119" t="s">
        <v>1810</v>
      </c>
      <c r="E916" s="119" t="s">
        <v>1811</v>
      </c>
      <c r="F916" s="86"/>
      <c r="G916" s="100"/>
      <c r="H916" s="86"/>
      <c r="I916" s="86"/>
      <c r="J916" s="87"/>
    </row>
    <row r="917">
      <c r="A917" s="93" t="s">
        <v>20</v>
      </c>
      <c r="B917" s="115" t="s">
        <v>131</v>
      </c>
      <c r="C917" s="124">
        <v>44.0</v>
      </c>
      <c r="D917" s="121" t="s">
        <v>1812</v>
      </c>
      <c r="E917" s="121" t="s">
        <v>1813</v>
      </c>
      <c r="F917" s="94"/>
      <c r="G917" s="98"/>
      <c r="H917" s="94"/>
      <c r="I917" s="94"/>
      <c r="J917" s="87"/>
    </row>
    <row r="918">
      <c r="A918" s="85" t="s">
        <v>20</v>
      </c>
      <c r="B918" s="114" t="s">
        <v>131</v>
      </c>
      <c r="C918" s="125">
        <v>46.0</v>
      </c>
      <c r="D918" s="119" t="s">
        <v>1814</v>
      </c>
      <c r="E918" s="119" t="s">
        <v>1815</v>
      </c>
      <c r="F918" s="86"/>
      <c r="G918" s="100"/>
      <c r="H918" s="86"/>
      <c r="I918" s="86"/>
      <c r="J918" s="87"/>
    </row>
    <row r="919">
      <c r="A919" s="93" t="s">
        <v>20</v>
      </c>
      <c r="B919" s="115" t="s">
        <v>131</v>
      </c>
      <c r="C919" s="124">
        <v>47.0</v>
      </c>
      <c r="D919" s="121" t="s">
        <v>1816</v>
      </c>
      <c r="E919" s="121" t="s">
        <v>1817</v>
      </c>
      <c r="F919" s="94"/>
      <c r="G919" s="98"/>
      <c r="H919" s="94"/>
      <c r="I919" s="94"/>
      <c r="J919" s="87"/>
    </row>
    <row r="920">
      <c r="A920" s="85" t="s">
        <v>20</v>
      </c>
      <c r="B920" s="114" t="s">
        <v>131</v>
      </c>
      <c r="C920" s="125">
        <v>59.0</v>
      </c>
      <c r="D920" s="119" t="s">
        <v>1818</v>
      </c>
      <c r="E920" s="119" t="s">
        <v>1819</v>
      </c>
      <c r="F920" s="86"/>
      <c r="G920" s="100"/>
      <c r="H920" s="86"/>
      <c r="I920" s="86"/>
      <c r="J920" s="87"/>
    </row>
    <row r="921">
      <c r="A921" s="93" t="s">
        <v>20</v>
      </c>
      <c r="B921" s="115" t="s">
        <v>131</v>
      </c>
      <c r="C921" s="124">
        <v>63.0</v>
      </c>
      <c r="D921" s="121" t="s">
        <v>1820</v>
      </c>
      <c r="E921" s="121" t="s">
        <v>1821</v>
      </c>
      <c r="F921" s="94"/>
      <c r="G921" s="98"/>
      <c r="H921" s="94"/>
      <c r="I921" s="94"/>
      <c r="J921" s="87"/>
    </row>
    <row r="922">
      <c r="A922" s="85" t="s">
        <v>20</v>
      </c>
      <c r="B922" s="114" t="s">
        <v>131</v>
      </c>
      <c r="C922" s="125">
        <v>68.0</v>
      </c>
      <c r="D922" s="119" t="s">
        <v>1822</v>
      </c>
      <c r="E922" s="119" t="s">
        <v>1821</v>
      </c>
      <c r="F922" s="86"/>
      <c r="G922" s="100"/>
      <c r="H922" s="86"/>
      <c r="I922" s="86"/>
      <c r="J922" s="87"/>
    </row>
    <row r="923">
      <c r="A923" s="93" t="s">
        <v>20</v>
      </c>
      <c r="B923" s="115" t="s">
        <v>137</v>
      </c>
      <c r="C923" s="124">
        <v>1.0</v>
      </c>
      <c r="D923" s="121" t="s">
        <v>1823</v>
      </c>
      <c r="E923" s="121" t="s">
        <v>1824</v>
      </c>
      <c r="F923" s="94"/>
      <c r="G923" s="98"/>
      <c r="H923" s="94"/>
      <c r="I923" s="94"/>
      <c r="J923" s="87"/>
    </row>
    <row r="924">
      <c r="A924" s="85" t="s">
        <v>20</v>
      </c>
      <c r="B924" s="114" t="s">
        <v>137</v>
      </c>
      <c r="C924" s="125">
        <v>2.0</v>
      </c>
      <c r="D924" s="119" t="s">
        <v>1825</v>
      </c>
      <c r="E924" s="119" t="s">
        <v>1178</v>
      </c>
      <c r="F924" s="86"/>
      <c r="G924" s="100"/>
      <c r="H924" s="86"/>
      <c r="I924" s="86"/>
      <c r="J924" s="87"/>
    </row>
    <row r="925">
      <c r="A925" s="93" t="s">
        <v>20</v>
      </c>
      <c r="B925" s="115" t="s">
        <v>137</v>
      </c>
      <c r="C925" s="124">
        <v>3.0</v>
      </c>
      <c r="D925" s="121" t="s">
        <v>1826</v>
      </c>
      <c r="E925" s="121" t="s">
        <v>1827</v>
      </c>
      <c r="F925" s="94"/>
      <c r="G925" s="98"/>
      <c r="H925" s="94"/>
      <c r="I925" s="94"/>
      <c r="J925" s="87"/>
    </row>
    <row r="926">
      <c r="A926" s="85" t="s">
        <v>20</v>
      </c>
      <c r="B926" s="114" t="s">
        <v>137</v>
      </c>
      <c r="C926" s="125">
        <v>5.0</v>
      </c>
      <c r="D926" s="119" t="s">
        <v>1828</v>
      </c>
      <c r="E926" s="119" t="s">
        <v>1537</v>
      </c>
      <c r="F926" s="86"/>
      <c r="G926" s="100"/>
      <c r="H926" s="86"/>
      <c r="I926" s="86"/>
      <c r="J926" s="87"/>
    </row>
    <row r="927">
      <c r="A927" s="93" t="s">
        <v>20</v>
      </c>
      <c r="B927" s="115" t="s">
        <v>137</v>
      </c>
      <c r="C927" s="124">
        <v>6.0</v>
      </c>
      <c r="D927" s="121" t="s">
        <v>1829</v>
      </c>
      <c r="E927" s="121" t="s">
        <v>1830</v>
      </c>
      <c r="F927" s="94"/>
      <c r="G927" s="98"/>
      <c r="H927" s="94"/>
      <c r="I927" s="94"/>
      <c r="J927" s="87"/>
    </row>
    <row r="928">
      <c r="A928" s="85" t="s">
        <v>20</v>
      </c>
      <c r="B928" s="114" t="s">
        <v>137</v>
      </c>
      <c r="C928" s="125">
        <v>32.0</v>
      </c>
      <c r="D928" s="119" t="s">
        <v>1831</v>
      </c>
      <c r="E928" s="119" t="s">
        <v>1832</v>
      </c>
      <c r="F928" s="86"/>
      <c r="G928" s="100"/>
      <c r="H928" s="86"/>
      <c r="I928" s="86"/>
      <c r="J928" s="87"/>
    </row>
    <row r="929">
      <c r="A929" s="93" t="s">
        <v>20</v>
      </c>
      <c r="B929" s="115" t="s">
        <v>137</v>
      </c>
      <c r="C929" s="124">
        <v>40.0</v>
      </c>
      <c r="D929" s="121" t="s">
        <v>1833</v>
      </c>
      <c r="E929" s="121" t="s">
        <v>1834</v>
      </c>
      <c r="F929" s="94"/>
      <c r="G929" s="98"/>
      <c r="H929" s="94"/>
      <c r="I929" s="94"/>
      <c r="J929" s="87"/>
    </row>
    <row r="930">
      <c r="A930" s="85" t="s">
        <v>20</v>
      </c>
      <c r="B930" s="114" t="s">
        <v>137</v>
      </c>
      <c r="C930" s="125">
        <v>41.0</v>
      </c>
      <c r="D930" s="119" t="s">
        <v>1835</v>
      </c>
      <c r="E930" s="119" t="s">
        <v>1836</v>
      </c>
      <c r="F930" s="86"/>
      <c r="G930" s="100"/>
      <c r="H930" s="86"/>
      <c r="I930" s="86"/>
      <c r="J930" s="87"/>
    </row>
    <row r="931">
      <c r="A931" s="93" t="s">
        <v>20</v>
      </c>
      <c r="B931" s="115" t="s">
        <v>137</v>
      </c>
      <c r="C931" s="124">
        <v>42.0</v>
      </c>
      <c r="D931" s="121" t="s">
        <v>1837</v>
      </c>
      <c r="E931" s="121" t="s">
        <v>1834</v>
      </c>
      <c r="F931" s="94"/>
      <c r="G931" s="98"/>
      <c r="H931" s="94"/>
      <c r="I931" s="94"/>
      <c r="J931" s="87"/>
    </row>
    <row r="932">
      <c r="A932" s="85" t="s">
        <v>20</v>
      </c>
      <c r="B932" s="114" t="s">
        <v>137</v>
      </c>
      <c r="C932" s="125">
        <v>44.0</v>
      </c>
      <c r="D932" s="119" t="s">
        <v>1838</v>
      </c>
      <c r="E932" s="119" t="s">
        <v>1834</v>
      </c>
      <c r="F932" s="86"/>
      <c r="G932" s="100"/>
      <c r="H932" s="86"/>
      <c r="I932" s="86"/>
      <c r="J932" s="87"/>
    </row>
    <row r="933">
      <c r="A933" s="93" t="s">
        <v>20</v>
      </c>
      <c r="B933" s="115" t="s">
        <v>137</v>
      </c>
      <c r="C933" s="124">
        <v>46.0</v>
      </c>
      <c r="D933" s="121" t="s">
        <v>1839</v>
      </c>
      <c r="E933" s="121" t="s">
        <v>1834</v>
      </c>
      <c r="F933" s="94"/>
      <c r="G933" s="98"/>
      <c r="H933" s="94"/>
      <c r="I933" s="94"/>
      <c r="J933" s="87"/>
    </row>
    <row r="934">
      <c r="A934" s="85" t="s">
        <v>20</v>
      </c>
      <c r="B934" s="114" t="s">
        <v>137</v>
      </c>
      <c r="C934" s="125">
        <v>48.0</v>
      </c>
      <c r="D934" s="119" t="s">
        <v>1840</v>
      </c>
      <c r="E934" s="119" t="s">
        <v>1834</v>
      </c>
      <c r="F934" s="86"/>
      <c r="G934" s="100"/>
      <c r="H934" s="86"/>
      <c r="I934" s="86"/>
      <c r="J934" s="87"/>
    </row>
    <row r="935">
      <c r="A935" s="93" t="s">
        <v>20</v>
      </c>
      <c r="B935" s="115" t="s">
        <v>137</v>
      </c>
      <c r="C935" s="124">
        <v>49.0</v>
      </c>
      <c r="D935" s="121" t="s">
        <v>1841</v>
      </c>
      <c r="E935" s="121" t="s">
        <v>1842</v>
      </c>
      <c r="F935" s="94"/>
      <c r="G935" s="98"/>
      <c r="H935" s="94"/>
      <c r="I935" s="94"/>
      <c r="J935" s="87"/>
    </row>
    <row r="936">
      <c r="A936" s="85" t="s">
        <v>20</v>
      </c>
      <c r="B936" s="114" t="s">
        <v>137</v>
      </c>
      <c r="C936" s="125">
        <v>50.0</v>
      </c>
      <c r="D936" s="119" t="s">
        <v>1843</v>
      </c>
      <c r="E936" s="119" t="s">
        <v>1834</v>
      </c>
      <c r="F936" s="86"/>
      <c r="G936" s="100"/>
      <c r="H936" s="86"/>
      <c r="I936" s="86"/>
      <c r="J936" s="87"/>
    </row>
    <row r="937">
      <c r="A937" s="93" t="s">
        <v>20</v>
      </c>
      <c r="B937" s="115" t="s">
        <v>137</v>
      </c>
      <c r="C937" s="124">
        <v>59.0</v>
      </c>
      <c r="D937" s="121" t="s">
        <v>1844</v>
      </c>
      <c r="E937" s="121" t="s">
        <v>1834</v>
      </c>
      <c r="F937" s="94"/>
      <c r="G937" s="98"/>
      <c r="H937" s="94"/>
      <c r="I937" s="94"/>
      <c r="J937" s="87"/>
    </row>
    <row r="938">
      <c r="A938" s="85" t="s">
        <v>20</v>
      </c>
      <c r="B938" s="114" t="s">
        <v>137</v>
      </c>
      <c r="C938" s="125">
        <v>63.0</v>
      </c>
      <c r="D938" s="119" t="s">
        <v>1845</v>
      </c>
      <c r="E938" s="119" t="s">
        <v>1834</v>
      </c>
      <c r="F938" s="86"/>
      <c r="G938" s="100"/>
      <c r="H938" s="86"/>
      <c r="I938" s="86"/>
      <c r="J938" s="87"/>
    </row>
    <row r="939">
      <c r="A939" s="93" t="s">
        <v>20</v>
      </c>
      <c r="B939" s="115" t="s">
        <v>137</v>
      </c>
      <c r="C939" s="124">
        <v>68.0</v>
      </c>
      <c r="D939" s="121" t="s">
        <v>1846</v>
      </c>
      <c r="E939" s="121" t="s">
        <v>1834</v>
      </c>
      <c r="F939" s="94"/>
      <c r="G939" s="98"/>
      <c r="H939" s="94"/>
      <c r="I939" s="94"/>
      <c r="J939" s="87"/>
    </row>
    <row r="940">
      <c r="A940" s="85" t="s">
        <v>20</v>
      </c>
      <c r="B940" s="114" t="s">
        <v>137</v>
      </c>
      <c r="C940" s="125">
        <v>69.0</v>
      </c>
      <c r="D940" s="119" t="s">
        <v>1847</v>
      </c>
      <c r="E940" s="119" t="s">
        <v>1848</v>
      </c>
      <c r="F940" s="86"/>
      <c r="G940" s="100"/>
      <c r="H940" s="86"/>
      <c r="I940" s="86"/>
      <c r="J940" s="87"/>
    </row>
    <row r="941">
      <c r="A941" s="93" t="s">
        <v>20</v>
      </c>
      <c r="B941" s="115" t="s">
        <v>137</v>
      </c>
      <c r="C941" s="124">
        <v>70.0</v>
      </c>
      <c r="D941" s="121" t="s">
        <v>1849</v>
      </c>
      <c r="E941" s="121" t="s">
        <v>1848</v>
      </c>
      <c r="F941" s="94"/>
      <c r="G941" s="98"/>
      <c r="H941" s="94"/>
      <c r="I941" s="94"/>
      <c r="J941" s="87"/>
    </row>
    <row r="942">
      <c r="A942" s="85" t="s">
        <v>20</v>
      </c>
      <c r="B942" s="114" t="s">
        <v>137</v>
      </c>
      <c r="C942" s="125">
        <v>71.0</v>
      </c>
      <c r="D942" s="119" t="s">
        <v>1850</v>
      </c>
      <c r="E942" s="119" t="s">
        <v>1848</v>
      </c>
      <c r="F942" s="86"/>
      <c r="G942" s="100"/>
      <c r="H942" s="86"/>
      <c r="I942" s="86"/>
      <c r="J942" s="87"/>
    </row>
    <row r="943">
      <c r="A943" s="93" t="s">
        <v>20</v>
      </c>
      <c r="B943" s="115" t="s">
        <v>137</v>
      </c>
      <c r="C943" s="124">
        <v>72.0</v>
      </c>
      <c r="D943" s="121" t="s">
        <v>1851</v>
      </c>
      <c r="E943" s="121" t="s">
        <v>1852</v>
      </c>
      <c r="F943" s="94"/>
      <c r="G943" s="98"/>
      <c r="H943" s="94"/>
      <c r="I943" s="94"/>
      <c r="J943" s="87"/>
    </row>
    <row r="944">
      <c r="A944" s="85" t="s">
        <v>20</v>
      </c>
      <c r="B944" s="114" t="s">
        <v>137</v>
      </c>
      <c r="C944" s="125">
        <v>73.0</v>
      </c>
      <c r="D944" s="119" t="s">
        <v>1853</v>
      </c>
      <c r="E944" s="119" t="s">
        <v>1562</v>
      </c>
      <c r="F944" s="86"/>
      <c r="G944" s="100"/>
      <c r="H944" s="86"/>
      <c r="I944" s="86"/>
      <c r="J944" s="87"/>
    </row>
    <row r="945">
      <c r="A945" s="93" t="s">
        <v>20</v>
      </c>
      <c r="B945" s="115" t="s">
        <v>137</v>
      </c>
      <c r="C945" s="124">
        <v>74.0</v>
      </c>
      <c r="D945" s="121" t="s">
        <v>1854</v>
      </c>
      <c r="E945" s="121" t="s">
        <v>1564</v>
      </c>
      <c r="F945" s="94"/>
      <c r="G945" s="98"/>
      <c r="H945" s="94"/>
      <c r="I945" s="94"/>
      <c r="J945" s="87"/>
    </row>
    <row r="946">
      <c r="A946" s="85" t="s">
        <v>20</v>
      </c>
      <c r="B946" s="114" t="s">
        <v>145</v>
      </c>
      <c r="C946" s="125">
        <v>1.0</v>
      </c>
      <c r="D946" s="119" t="s">
        <v>1855</v>
      </c>
      <c r="E946" s="119" t="s">
        <v>1176</v>
      </c>
      <c r="F946" s="86"/>
      <c r="G946" s="100"/>
      <c r="H946" s="86"/>
      <c r="I946" s="86"/>
      <c r="J946" s="87"/>
    </row>
    <row r="947">
      <c r="A947" s="93" t="s">
        <v>20</v>
      </c>
      <c r="B947" s="115" t="s">
        <v>145</v>
      </c>
      <c r="C947" s="124">
        <v>2.0</v>
      </c>
      <c r="D947" s="121" t="s">
        <v>1856</v>
      </c>
      <c r="E947" s="121" t="s">
        <v>1178</v>
      </c>
      <c r="F947" s="94"/>
      <c r="G947" s="98"/>
      <c r="H947" s="94"/>
      <c r="I947" s="94"/>
      <c r="J947" s="87"/>
    </row>
    <row r="948">
      <c r="A948" s="85" t="s">
        <v>20</v>
      </c>
      <c r="B948" s="114" t="s">
        <v>145</v>
      </c>
      <c r="C948" s="125">
        <v>3.0</v>
      </c>
      <c r="D948" s="119" t="s">
        <v>1857</v>
      </c>
      <c r="E948" s="119" t="s">
        <v>1858</v>
      </c>
      <c r="F948" s="86"/>
      <c r="G948" s="100"/>
      <c r="H948" s="86"/>
      <c r="I948" s="86"/>
      <c r="J948" s="87"/>
    </row>
    <row r="949">
      <c r="A949" s="93" t="s">
        <v>20</v>
      </c>
      <c r="B949" s="115" t="s">
        <v>145</v>
      </c>
      <c r="C949" s="124">
        <v>4.0</v>
      </c>
      <c r="D949" s="121" t="s">
        <v>1859</v>
      </c>
      <c r="E949" s="121" t="s">
        <v>1860</v>
      </c>
      <c r="F949" s="94"/>
      <c r="G949" s="98"/>
      <c r="H949" s="94"/>
      <c r="I949" s="94"/>
      <c r="J949" s="87"/>
    </row>
    <row r="950">
      <c r="A950" s="85" t="s">
        <v>20</v>
      </c>
      <c r="B950" s="114" t="s">
        <v>145</v>
      </c>
      <c r="C950" s="125">
        <v>5.0</v>
      </c>
      <c r="D950" s="119" t="s">
        <v>1861</v>
      </c>
      <c r="E950" s="119" t="s">
        <v>1342</v>
      </c>
      <c r="F950" s="86"/>
      <c r="G950" s="100"/>
      <c r="H950" s="86"/>
      <c r="I950" s="86"/>
      <c r="J950" s="87"/>
    </row>
    <row r="951">
      <c r="A951" s="93" t="s">
        <v>20</v>
      </c>
      <c r="B951" s="115" t="s">
        <v>145</v>
      </c>
      <c r="C951" s="124">
        <v>6.0</v>
      </c>
      <c r="D951" s="121" t="s">
        <v>1829</v>
      </c>
      <c r="E951" s="121" t="s">
        <v>1862</v>
      </c>
      <c r="F951" s="94"/>
      <c r="G951" s="98"/>
      <c r="H951" s="94"/>
      <c r="I951" s="94"/>
      <c r="J951" s="87"/>
    </row>
    <row r="952">
      <c r="A952" s="85" t="s">
        <v>20</v>
      </c>
      <c r="B952" s="114" t="s">
        <v>145</v>
      </c>
      <c r="C952" s="125">
        <v>7.0</v>
      </c>
      <c r="D952" s="119" t="s">
        <v>1863</v>
      </c>
      <c r="E952" s="119" t="s">
        <v>1864</v>
      </c>
      <c r="F952" s="86"/>
      <c r="G952" s="100"/>
      <c r="H952" s="86"/>
      <c r="I952" s="86"/>
      <c r="J952" s="87"/>
    </row>
    <row r="953">
      <c r="A953" s="93" t="s">
        <v>20</v>
      </c>
      <c r="B953" s="115" t="s">
        <v>145</v>
      </c>
      <c r="C953" s="124">
        <v>8.0</v>
      </c>
      <c r="D953" s="121" t="s">
        <v>1865</v>
      </c>
      <c r="E953" s="121" t="s">
        <v>1866</v>
      </c>
      <c r="F953" s="94"/>
      <c r="G953" s="98"/>
      <c r="H953" s="94"/>
      <c r="I953" s="94"/>
      <c r="J953" s="87"/>
    </row>
    <row r="954">
      <c r="A954" s="85" t="s">
        <v>20</v>
      </c>
      <c r="B954" s="114" t="s">
        <v>145</v>
      </c>
      <c r="C954" s="125">
        <v>9.0</v>
      </c>
      <c r="D954" s="119" t="s">
        <v>1867</v>
      </c>
      <c r="E954" s="119" t="s">
        <v>1866</v>
      </c>
      <c r="F954" s="86"/>
      <c r="G954" s="100"/>
      <c r="H954" s="86"/>
      <c r="I954" s="86"/>
      <c r="J954" s="87"/>
    </row>
    <row r="955">
      <c r="A955" s="93" t="s">
        <v>20</v>
      </c>
      <c r="B955" s="115" t="s">
        <v>145</v>
      </c>
      <c r="C955" s="124">
        <v>10.0</v>
      </c>
      <c r="D955" s="121" t="s">
        <v>1868</v>
      </c>
      <c r="E955" s="121" t="s">
        <v>1866</v>
      </c>
      <c r="F955" s="94"/>
      <c r="G955" s="98"/>
      <c r="H955" s="94"/>
      <c r="I955" s="94"/>
      <c r="J955" s="87"/>
    </row>
    <row r="956">
      <c r="A956" s="85" t="s">
        <v>20</v>
      </c>
      <c r="B956" s="114" t="s">
        <v>145</v>
      </c>
      <c r="C956" s="125">
        <v>11.0</v>
      </c>
      <c r="D956" s="119" t="s">
        <v>1869</v>
      </c>
      <c r="E956" s="119" t="s">
        <v>1870</v>
      </c>
      <c r="F956" s="86"/>
      <c r="G956" s="100"/>
      <c r="H956" s="86"/>
      <c r="I956" s="86"/>
      <c r="J956" s="87"/>
    </row>
    <row r="957">
      <c r="A957" s="93" t="s">
        <v>20</v>
      </c>
      <c r="B957" s="115" t="s">
        <v>145</v>
      </c>
      <c r="C957" s="124">
        <v>12.0</v>
      </c>
      <c r="D957" s="121" t="s">
        <v>1871</v>
      </c>
      <c r="E957" s="121" t="s">
        <v>1257</v>
      </c>
      <c r="F957" s="94"/>
      <c r="G957" s="98"/>
      <c r="H957" s="94"/>
      <c r="I957" s="94"/>
      <c r="J957" s="87"/>
    </row>
    <row r="958">
      <c r="A958" s="85" t="s">
        <v>20</v>
      </c>
      <c r="B958" s="114" t="s">
        <v>145</v>
      </c>
      <c r="C958" s="125">
        <v>13.0</v>
      </c>
      <c r="D958" s="119" t="s">
        <v>1872</v>
      </c>
      <c r="E958" s="119" t="s">
        <v>1873</v>
      </c>
      <c r="F958" s="86"/>
      <c r="G958" s="100"/>
      <c r="H958" s="86"/>
      <c r="I958" s="86"/>
      <c r="J958" s="87"/>
    </row>
    <row r="959">
      <c r="A959" s="93" t="s">
        <v>20</v>
      </c>
      <c r="B959" s="115" t="s">
        <v>145</v>
      </c>
      <c r="C959" s="124">
        <v>14.0</v>
      </c>
      <c r="D959" s="121" t="s">
        <v>1874</v>
      </c>
      <c r="E959" s="121" t="s">
        <v>1875</v>
      </c>
      <c r="F959" s="94"/>
      <c r="G959" s="98"/>
      <c r="H959" s="94"/>
      <c r="I959" s="94"/>
      <c r="J959" s="87"/>
    </row>
    <row r="960">
      <c r="A960" s="85" t="s">
        <v>20</v>
      </c>
      <c r="B960" s="114" t="s">
        <v>145</v>
      </c>
      <c r="C960" s="125">
        <v>15.0</v>
      </c>
      <c r="D960" s="119" t="s">
        <v>1876</v>
      </c>
      <c r="E960" s="119" t="s">
        <v>1877</v>
      </c>
      <c r="F960" s="86"/>
      <c r="G960" s="100"/>
      <c r="H960" s="86"/>
      <c r="I960" s="86"/>
      <c r="J960" s="87"/>
    </row>
    <row r="961">
      <c r="A961" s="93" t="s">
        <v>20</v>
      </c>
      <c r="B961" s="115" t="s">
        <v>145</v>
      </c>
      <c r="C961" s="124">
        <v>16.0</v>
      </c>
      <c r="D961" s="121" t="s">
        <v>1878</v>
      </c>
      <c r="E961" s="121" t="s">
        <v>1879</v>
      </c>
      <c r="F961" s="94"/>
      <c r="G961" s="98"/>
      <c r="H961" s="94"/>
      <c r="I961" s="94"/>
      <c r="J961" s="87"/>
    </row>
    <row r="962">
      <c r="A962" s="85" t="s">
        <v>20</v>
      </c>
      <c r="B962" s="114" t="s">
        <v>145</v>
      </c>
      <c r="C962" s="125">
        <v>17.0</v>
      </c>
      <c r="D962" s="119" t="s">
        <v>1880</v>
      </c>
      <c r="E962" s="119" t="s">
        <v>1879</v>
      </c>
      <c r="F962" s="86"/>
      <c r="G962" s="100"/>
      <c r="H962" s="86"/>
      <c r="I962" s="86"/>
      <c r="J962" s="87"/>
    </row>
    <row r="963">
      <c r="A963" s="93" t="s">
        <v>20</v>
      </c>
      <c r="B963" s="115" t="s">
        <v>145</v>
      </c>
      <c r="C963" s="124">
        <v>18.0</v>
      </c>
      <c r="D963" s="121" t="s">
        <v>1881</v>
      </c>
      <c r="E963" s="121" t="s">
        <v>1201</v>
      </c>
      <c r="F963" s="94"/>
      <c r="G963" s="98"/>
      <c r="H963" s="94"/>
      <c r="I963" s="94"/>
      <c r="J963" s="87"/>
    </row>
    <row r="964">
      <c r="A964" s="85" t="s">
        <v>20</v>
      </c>
      <c r="B964" s="114" t="s">
        <v>145</v>
      </c>
      <c r="C964" s="125">
        <v>19.0</v>
      </c>
      <c r="D964" s="119" t="s">
        <v>1882</v>
      </c>
      <c r="E964" s="119" t="s">
        <v>1883</v>
      </c>
      <c r="F964" s="86"/>
      <c r="G964" s="100"/>
      <c r="H964" s="86"/>
      <c r="I964" s="86"/>
      <c r="J964" s="87"/>
    </row>
    <row r="965">
      <c r="A965" s="93" t="s">
        <v>20</v>
      </c>
      <c r="B965" s="115" t="s">
        <v>145</v>
      </c>
      <c r="C965" s="124">
        <v>20.0</v>
      </c>
      <c r="D965" s="121" t="s">
        <v>1884</v>
      </c>
      <c r="E965" s="121" t="s">
        <v>1885</v>
      </c>
      <c r="F965" s="94"/>
      <c r="G965" s="98"/>
      <c r="H965" s="94"/>
      <c r="I965" s="94"/>
      <c r="J965" s="87"/>
    </row>
    <row r="966">
      <c r="A966" s="85" t="s">
        <v>20</v>
      </c>
      <c r="B966" s="114" t="s">
        <v>145</v>
      </c>
      <c r="C966" s="125">
        <v>21.0</v>
      </c>
      <c r="D966" s="119" t="s">
        <v>1886</v>
      </c>
      <c r="E966" s="119" t="s">
        <v>1887</v>
      </c>
      <c r="F966" s="86"/>
      <c r="G966" s="100"/>
      <c r="H966" s="86"/>
      <c r="I966" s="86"/>
      <c r="J966" s="87"/>
    </row>
    <row r="967">
      <c r="A967" s="93" t="s">
        <v>20</v>
      </c>
      <c r="B967" s="115" t="s">
        <v>145</v>
      </c>
      <c r="C967" s="124">
        <v>22.0</v>
      </c>
      <c r="D967" s="121" t="s">
        <v>1888</v>
      </c>
      <c r="E967" s="121" t="s">
        <v>1285</v>
      </c>
      <c r="F967" s="94"/>
      <c r="G967" s="98"/>
      <c r="H967" s="94"/>
      <c r="I967" s="94"/>
      <c r="J967" s="87"/>
    </row>
    <row r="968">
      <c r="A968" s="85" t="s">
        <v>20</v>
      </c>
      <c r="B968" s="114" t="s">
        <v>145</v>
      </c>
      <c r="C968" s="125">
        <v>23.0</v>
      </c>
      <c r="D968" s="119" t="s">
        <v>1889</v>
      </c>
      <c r="E968" s="119" t="s">
        <v>1890</v>
      </c>
      <c r="F968" s="86"/>
      <c r="G968" s="100"/>
      <c r="H968" s="86"/>
      <c r="I968" s="86"/>
      <c r="J968" s="87"/>
    </row>
    <row r="969">
      <c r="A969" s="93" t="s">
        <v>20</v>
      </c>
      <c r="B969" s="115" t="s">
        <v>145</v>
      </c>
      <c r="C969" s="124">
        <v>24.0</v>
      </c>
      <c r="D969" s="121" t="s">
        <v>1891</v>
      </c>
      <c r="E969" s="121" t="s">
        <v>1291</v>
      </c>
      <c r="F969" s="94"/>
      <c r="G969" s="98"/>
      <c r="H969" s="94"/>
      <c r="I969" s="94"/>
      <c r="J969" s="87"/>
    </row>
    <row r="970">
      <c r="A970" s="85" t="s">
        <v>20</v>
      </c>
      <c r="B970" s="114" t="s">
        <v>145</v>
      </c>
      <c r="C970" s="125">
        <v>25.0</v>
      </c>
      <c r="D970" s="119" t="s">
        <v>1892</v>
      </c>
      <c r="E970" s="119" t="s">
        <v>1893</v>
      </c>
      <c r="F970" s="86"/>
      <c r="G970" s="100"/>
      <c r="H970" s="86"/>
      <c r="I970" s="86"/>
      <c r="J970" s="87"/>
    </row>
    <row r="971">
      <c r="A971" s="93" t="s">
        <v>20</v>
      </c>
      <c r="B971" s="115" t="s">
        <v>145</v>
      </c>
      <c r="C971" s="124">
        <v>26.0</v>
      </c>
      <c r="D971" s="121" t="s">
        <v>1894</v>
      </c>
      <c r="E971" s="121" t="s">
        <v>1895</v>
      </c>
      <c r="F971" s="94"/>
      <c r="G971" s="98"/>
      <c r="H971" s="94"/>
      <c r="I971" s="94"/>
      <c r="J971" s="87"/>
    </row>
    <row r="972">
      <c r="A972" s="85" t="s">
        <v>20</v>
      </c>
      <c r="B972" s="114" t="s">
        <v>145</v>
      </c>
      <c r="C972" s="125">
        <v>27.0</v>
      </c>
      <c r="D972" s="119" t="s">
        <v>1896</v>
      </c>
      <c r="E972" s="119" t="s">
        <v>1897</v>
      </c>
      <c r="F972" s="86"/>
      <c r="G972" s="100"/>
      <c r="H972" s="86"/>
      <c r="I972" s="86"/>
      <c r="J972" s="87"/>
    </row>
    <row r="973">
      <c r="A973" s="93" t="s">
        <v>20</v>
      </c>
      <c r="B973" s="115" t="s">
        <v>145</v>
      </c>
      <c r="C973" s="124">
        <v>28.0</v>
      </c>
      <c r="D973" s="121" t="s">
        <v>1898</v>
      </c>
      <c r="E973" s="121" t="s">
        <v>1899</v>
      </c>
      <c r="F973" s="94"/>
      <c r="G973" s="98"/>
      <c r="H973" s="94"/>
      <c r="I973" s="94"/>
      <c r="J973" s="87"/>
    </row>
    <row r="974">
      <c r="A974" s="85" t="s">
        <v>20</v>
      </c>
      <c r="B974" s="114" t="s">
        <v>145</v>
      </c>
      <c r="C974" s="125">
        <v>29.0</v>
      </c>
      <c r="D974" s="119" t="s">
        <v>1900</v>
      </c>
      <c r="E974" s="119" t="s">
        <v>1901</v>
      </c>
      <c r="F974" s="86"/>
      <c r="G974" s="100"/>
      <c r="H974" s="86"/>
      <c r="I974" s="86"/>
      <c r="J974" s="87"/>
    </row>
    <row r="975">
      <c r="A975" s="93" t="s">
        <v>20</v>
      </c>
      <c r="B975" s="115" t="s">
        <v>145</v>
      </c>
      <c r="C975" s="124">
        <v>30.0</v>
      </c>
      <c r="D975" s="121" t="s">
        <v>1902</v>
      </c>
      <c r="E975" s="121" t="s">
        <v>1903</v>
      </c>
      <c r="F975" s="94"/>
      <c r="G975" s="98"/>
      <c r="H975" s="94"/>
      <c r="I975" s="94"/>
      <c r="J975" s="87"/>
    </row>
    <row r="976">
      <c r="A976" s="85" t="s">
        <v>20</v>
      </c>
      <c r="B976" s="114" t="s">
        <v>145</v>
      </c>
      <c r="C976" s="125">
        <v>31.0</v>
      </c>
      <c r="D976" s="119" t="s">
        <v>1904</v>
      </c>
      <c r="E976" s="119" t="s">
        <v>1905</v>
      </c>
      <c r="F976" s="86"/>
      <c r="G976" s="100"/>
      <c r="H976" s="86"/>
      <c r="I976" s="86"/>
      <c r="J976" s="87"/>
    </row>
    <row r="977">
      <c r="A977" s="93" t="s">
        <v>20</v>
      </c>
      <c r="B977" s="115" t="s">
        <v>148</v>
      </c>
      <c r="C977" s="124">
        <v>1.0</v>
      </c>
      <c r="D977" s="121" t="s">
        <v>1906</v>
      </c>
      <c r="E977" s="121" t="s">
        <v>1907</v>
      </c>
      <c r="F977" s="94"/>
      <c r="G977" s="98"/>
      <c r="H977" s="94"/>
      <c r="I977" s="94"/>
      <c r="J977" s="87"/>
    </row>
    <row r="978">
      <c r="A978" s="85" t="s">
        <v>20</v>
      </c>
      <c r="B978" s="114" t="s">
        <v>148</v>
      </c>
      <c r="C978" s="125">
        <v>2.0</v>
      </c>
      <c r="D978" s="119" t="s">
        <v>1908</v>
      </c>
      <c r="E978" s="119" t="s">
        <v>1909</v>
      </c>
      <c r="F978" s="86"/>
      <c r="G978" s="100"/>
      <c r="H978" s="86"/>
      <c r="I978" s="86"/>
      <c r="J978" s="87"/>
    </row>
    <row r="979">
      <c r="A979" s="93" t="s">
        <v>20</v>
      </c>
      <c r="B979" s="115" t="s">
        <v>148</v>
      </c>
      <c r="C979" s="124">
        <v>3.0</v>
      </c>
      <c r="D979" s="121" t="s">
        <v>1910</v>
      </c>
      <c r="E979" s="121" t="s">
        <v>1911</v>
      </c>
      <c r="F979" s="94"/>
      <c r="G979" s="98"/>
      <c r="H979" s="94"/>
      <c r="I979" s="94"/>
      <c r="J979" s="87"/>
    </row>
    <row r="980">
      <c r="A980" s="85" t="s">
        <v>20</v>
      </c>
      <c r="B980" s="114" t="s">
        <v>148</v>
      </c>
      <c r="C980" s="125">
        <v>4.0</v>
      </c>
      <c r="D980" s="119" t="s">
        <v>1912</v>
      </c>
      <c r="E980" s="119" t="s">
        <v>1913</v>
      </c>
      <c r="F980" s="86"/>
      <c r="G980" s="100"/>
      <c r="H980" s="86"/>
      <c r="I980" s="86"/>
      <c r="J980" s="87"/>
    </row>
    <row r="981">
      <c r="A981" s="93" t="s">
        <v>20</v>
      </c>
      <c r="B981" s="115" t="s">
        <v>148</v>
      </c>
      <c r="C981" s="124">
        <v>5.0</v>
      </c>
      <c r="D981" s="121" t="s">
        <v>1914</v>
      </c>
      <c r="E981" s="121" t="s">
        <v>1911</v>
      </c>
      <c r="F981" s="94"/>
      <c r="G981" s="98"/>
      <c r="H981" s="94"/>
      <c r="I981" s="94"/>
      <c r="J981" s="87"/>
    </row>
    <row r="982">
      <c r="A982" s="85" t="s">
        <v>20</v>
      </c>
      <c r="B982" s="114" t="s">
        <v>148</v>
      </c>
      <c r="C982" s="125">
        <v>6.0</v>
      </c>
      <c r="D982" s="119" t="s">
        <v>1915</v>
      </c>
      <c r="E982" s="119" t="s">
        <v>1916</v>
      </c>
      <c r="F982" s="86"/>
      <c r="G982" s="100"/>
      <c r="H982" s="86"/>
      <c r="I982" s="86"/>
      <c r="J982" s="87"/>
    </row>
    <row r="983">
      <c r="A983" s="93" t="s">
        <v>20</v>
      </c>
      <c r="B983" s="115" t="s">
        <v>148</v>
      </c>
      <c r="C983" s="124">
        <v>7.0</v>
      </c>
      <c r="D983" s="121" t="s">
        <v>1917</v>
      </c>
      <c r="E983" s="121" t="s">
        <v>1918</v>
      </c>
      <c r="F983" s="94"/>
      <c r="G983" s="98"/>
      <c r="H983" s="94"/>
      <c r="I983" s="94"/>
      <c r="J983" s="87"/>
    </row>
    <row r="984">
      <c r="A984" s="85" t="s">
        <v>20</v>
      </c>
      <c r="B984" s="114" t="s">
        <v>148</v>
      </c>
      <c r="C984" s="125">
        <v>8.0</v>
      </c>
      <c r="D984" s="119" t="s">
        <v>1919</v>
      </c>
      <c r="E984" s="119" t="s">
        <v>1913</v>
      </c>
      <c r="F984" s="86"/>
      <c r="G984" s="100"/>
      <c r="H984" s="86"/>
      <c r="I984" s="86"/>
      <c r="J984" s="87"/>
    </row>
    <row r="985">
      <c r="A985" s="93" t="s">
        <v>20</v>
      </c>
      <c r="B985" s="115" t="s">
        <v>148</v>
      </c>
      <c r="C985" s="124">
        <v>9.0</v>
      </c>
      <c r="D985" s="121" t="s">
        <v>1920</v>
      </c>
      <c r="E985" s="121" t="s">
        <v>1921</v>
      </c>
      <c r="F985" s="94"/>
      <c r="G985" s="98"/>
      <c r="H985" s="94"/>
      <c r="I985" s="94"/>
      <c r="J985" s="87"/>
    </row>
    <row r="986">
      <c r="A986" s="85" t="s">
        <v>20</v>
      </c>
      <c r="B986" s="114" t="s">
        <v>148</v>
      </c>
      <c r="C986" s="125">
        <v>10.0</v>
      </c>
      <c r="D986" s="119" t="s">
        <v>1922</v>
      </c>
      <c r="E986" s="119" t="s">
        <v>1921</v>
      </c>
      <c r="F986" s="86"/>
      <c r="G986" s="100"/>
      <c r="H986" s="86"/>
      <c r="I986" s="86"/>
      <c r="J986" s="87"/>
    </row>
    <row r="987">
      <c r="A987" s="93" t="s">
        <v>20</v>
      </c>
      <c r="B987" s="115" t="s">
        <v>148</v>
      </c>
      <c r="C987" s="124">
        <v>11.0</v>
      </c>
      <c r="D987" s="121" t="s">
        <v>1923</v>
      </c>
      <c r="E987" s="121" t="s">
        <v>1921</v>
      </c>
      <c r="F987" s="94"/>
      <c r="G987" s="98"/>
      <c r="H987" s="94"/>
      <c r="I987" s="94"/>
      <c r="J987" s="87"/>
    </row>
    <row r="988">
      <c r="A988" s="85" t="s">
        <v>20</v>
      </c>
      <c r="B988" s="114" t="s">
        <v>148</v>
      </c>
      <c r="C988" s="125">
        <v>12.0</v>
      </c>
      <c r="D988" s="119" t="s">
        <v>1924</v>
      </c>
      <c r="E988" s="119" t="s">
        <v>1921</v>
      </c>
      <c r="F988" s="86"/>
      <c r="G988" s="100"/>
      <c r="H988" s="86"/>
      <c r="I988" s="86"/>
      <c r="J988" s="87"/>
    </row>
    <row r="989">
      <c r="A989" s="93" t="s">
        <v>20</v>
      </c>
      <c r="B989" s="115" t="s">
        <v>148</v>
      </c>
      <c r="C989" s="124">
        <v>13.0</v>
      </c>
      <c r="D989" s="121" t="s">
        <v>1925</v>
      </c>
      <c r="E989" s="121" t="s">
        <v>1926</v>
      </c>
      <c r="F989" s="94"/>
      <c r="G989" s="98"/>
      <c r="H989" s="94"/>
      <c r="I989" s="94"/>
      <c r="J989" s="87"/>
    </row>
    <row r="990">
      <c r="A990" s="85" t="s">
        <v>20</v>
      </c>
      <c r="B990" s="114" t="s">
        <v>148</v>
      </c>
      <c r="C990" s="125">
        <v>14.0</v>
      </c>
      <c r="D990" s="119" t="s">
        <v>1927</v>
      </c>
      <c r="E990" s="119" t="s">
        <v>1928</v>
      </c>
      <c r="F990" s="86"/>
      <c r="G990" s="100"/>
      <c r="H990" s="86"/>
      <c r="I990" s="86"/>
      <c r="J990" s="87"/>
    </row>
    <row r="991">
      <c r="A991" s="93" t="s">
        <v>20</v>
      </c>
      <c r="B991" s="115" t="s">
        <v>148</v>
      </c>
      <c r="C991" s="124">
        <v>15.0</v>
      </c>
      <c r="D991" s="121" t="s">
        <v>1929</v>
      </c>
      <c r="E991" s="121" t="s">
        <v>1913</v>
      </c>
      <c r="F991" s="94"/>
      <c r="G991" s="98"/>
      <c r="H991" s="94"/>
      <c r="I991" s="94"/>
      <c r="J991" s="87"/>
    </row>
    <row r="992">
      <c r="A992" s="85" t="s">
        <v>20</v>
      </c>
      <c r="B992" s="114" t="s">
        <v>148</v>
      </c>
      <c r="C992" s="125">
        <v>16.0</v>
      </c>
      <c r="D992" s="119" t="s">
        <v>1930</v>
      </c>
      <c r="E992" s="119" t="s">
        <v>1931</v>
      </c>
      <c r="F992" s="86"/>
      <c r="G992" s="100"/>
      <c r="H992" s="86"/>
      <c r="I992" s="86"/>
      <c r="J992" s="87"/>
    </row>
    <row r="993">
      <c r="A993" s="93" t="s">
        <v>20</v>
      </c>
      <c r="B993" s="115" t="s">
        <v>148</v>
      </c>
      <c r="C993" s="124">
        <v>17.0</v>
      </c>
      <c r="D993" s="121" t="s">
        <v>1932</v>
      </c>
      <c r="E993" s="121" t="s">
        <v>1933</v>
      </c>
      <c r="F993" s="94"/>
      <c r="G993" s="98"/>
      <c r="H993" s="94"/>
      <c r="I993" s="94"/>
      <c r="J993" s="87"/>
    </row>
    <row r="994">
      <c r="A994" s="85" t="s">
        <v>20</v>
      </c>
      <c r="B994" s="114" t="s">
        <v>148</v>
      </c>
      <c r="C994" s="125">
        <v>18.0</v>
      </c>
      <c r="D994" s="119" t="s">
        <v>1934</v>
      </c>
      <c r="E994" s="119" t="s">
        <v>1935</v>
      </c>
      <c r="F994" s="86"/>
      <c r="G994" s="100"/>
      <c r="H994" s="86"/>
      <c r="I994" s="86"/>
      <c r="J994" s="87"/>
    </row>
    <row r="995">
      <c r="A995" s="93" t="s">
        <v>20</v>
      </c>
      <c r="B995" s="115" t="s">
        <v>148</v>
      </c>
      <c r="C995" s="124">
        <v>19.0</v>
      </c>
      <c r="D995" s="121" t="s">
        <v>1936</v>
      </c>
      <c r="E995" s="121" t="s">
        <v>1937</v>
      </c>
      <c r="F995" s="94"/>
      <c r="G995" s="98"/>
      <c r="H995" s="94"/>
      <c r="I995" s="94"/>
      <c r="J995" s="87"/>
    </row>
    <row r="996">
      <c r="A996" s="85" t="s">
        <v>20</v>
      </c>
      <c r="B996" s="114" t="s">
        <v>148</v>
      </c>
      <c r="C996" s="125">
        <v>20.0</v>
      </c>
      <c r="D996" s="119" t="s">
        <v>1938</v>
      </c>
      <c r="E996" s="119" t="s">
        <v>1928</v>
      </c>
      <c r="F996" s="86"/>
      <c r="G996" s="100"/>
      <c r="H996" s="86"/>
      <c r="I996" s="86"/>
      <c r="J996" s="87"/>
    </row>
    <row r="997">
      <c r="A997" s="93" t="s">
        <v>20</v>
      </c>
      <c r="B997" s="115" t="s">
        <v>148</v>
      </c>
      <c r="C997" s="124">
        <v>21.0</v>
      </c>
      <c r="D997" s="121" t="s">
        <v>1939</v>
      </c>
      <c r="E997" s="121" t="s">
        <v>1940</v>
      </c>
      <c r="F997" s="94"/>
      <c r="G997" s="98"/>
      <c r="H997" s="94"/>
      <c r="I997" s="94"/>
      <c r="J997" s="87"/>
    </row>
    <row r="998">
      <c r="A998" s="85" t="s">
        <v>20</v>
      </c>
      <c r="B998" s="114" t="s">
        <v>148</v>
      </c>
      <c r="C998" s="125">
        <v>22.0</v>
      </c>
      <c r="D998" s="119" t="s">
        <v>1941</v>
      </c>
      <c r="E998" s="119" t="s">
        <v>1940</v>
      </c>
      <c r="F998" s="86"/>
      <c r="G998" s="100"/>
      <c r="H998" s="86"/>
      <c r="I998" s="86"/>
      <c r="J998" s="87"/>
    </row>
    <row r="999">
      <c r="A999" s="93" t="s">
        <v>20</v>
      </c>
      <c r="B999" s="115" t="s">
        <v>148</v>
      </c>
      <c r="C999" s="124" t="s">
        <v>1942</v>
      </c>
      <c r="D999" s="121" t="s">
        <v>1943</v>
      </c>
      <c r="E999" s="121" t="s">
        <v>1913</v>
      </c>
      <c r="F999" s="94"/>
      <c r="G999" s="98"/>
      <c r="H999" s="94"/>
      <c r="I999" s="94"/>
      <c r="J999" s="87"/>
    </row>
    <row r="1000">
      <c r="A1000" s="85" t="s">
        <v>20</v>
      </c>
      <c r="B1000" s="114" t="s">
        <v>148</v>
      </c>
      <c r="C1000" s="125">
        <v>23.0</v>
      </c>
      <c r="D1000" s="119" t="s">
        <v>1944</v>
      </c>
      <c r="E1000" s="119" t="s">
        <v>1931</v>
      </c>
      <c r="F1000" s="86"/>
      <c r="G1000" s="100"/>
      <c r="H1000" s="86"/>
      <c r="I1000" s="86"/>
      <c r="J1000" s="87"/>
    </row>
    <row r="1001">
      <c r="A1001" s="93" t="s">
        <v>20</v>
      </c>
      <c r="B1001" s="115" t="s">
        <v>148</v>
      </c>
      <c r="C1001" s="124">
        <v>24.0</v>
      </c>
      <c r="D1001" s="121" t="s">
        <v>1945</v>
      </c>
      <c r="E1001" s="121" t="s">
        <v>1933</v>
      </c>
      <c r="F1001" s="94"/>
      <c r="G1001" s="98"/>
      <c r="H1001" s="94"/>
      <c r="I1001" s="94"/>
      <c r="J1001" s="87"/>
    </row>
    <row r="1002">
      <c r="A1002" s="85" t="s">
        <v>20</v>
      </c>
      <c r="B1002" s="114" t="s">
        <v>148</v>
      </c>
      <c r="C1002" s="125">
        <v>25.0</v>
      </c>
      <c r="D1002" s="119" t="s">
        <v>1946</v>
      </c>
      <c r="E1002" s="119" t="s">
        <v>1947</v>
      </c>
      <c r="F1002" s="86"/>
      <c r="G1002" s="100"/>
      <c r="H1002" s="86"/>
      <c r="I1002" s="86"/>
      <c r="J1002" s="87"/>
    </row>
    <row r="1003">
      <c r="A1003" s="93" t="s">
        <v>20</v>
      </c>
      <c r="B1003" s="115" t="s">
        <v>148</v>
      </c>
      <c r="C1003" s="124">
        <v>26.0</v>
      </c>
      <c r="D1003" s="121" t="s">
        <v>1948</v>
      </c>
      <c r="E1003" s="121" t="s">
        <v>1949</v>
      </c>
      <c r="F1003" s="94"/>
      <c r="G1003" s="98"/>
      <c r="H1003" s="94"/>
      <c r="I1003" s="94"/>
      <c r="J1003" s="87"/>
    </row>
    <row r="1004">
      <c r="A1004" s="85" t="s">
        <v>20</v>
      </c>
      <c r="B1004" s="114" t="s">
        <v>148</v>
      </c>
      <c r="C1004" s="125">
        <v>27.0</v>
      </c>
      <c r="D1004" s="119" t="s">
        <v>1950</v>
      </c>
      <c r="E1004" s="119" t="s">
        <v>1935</v>
      </c>
      <c r="F1004" s="86"/>
      <c r="G1004" s="100"/>
      <c r="H1004" s="86"/>
      <c r="I1004" s="86"/>
      <c r="J1004" s="87"/>
    </row>
    <row r="1005">
      <c r="A1005" s="93" t="s">
        <v>20</v>
      </c>
      <c r="B1005" s="115" t="s">
        <v>148</v>
      </c>
      <c r="C1005" s="124">
        <v>28.0</v>
      </c>
      <c r="D1005" s="121" t="s">
        <v>1951</v>
      </c>
      <c r="E1005" s="121" t="s">
        <v>1952</v>
      </c>
      <c r="F1005" s="94"/>
      <c r="G1005" s="98"/>
      <c r="H1005" s="94"/>
      <c r="I1005" s="94"/>
      <c r="J1005" s="87"/>
    </row>
    <row r="1006">
      <c r="A1006" s="85" t="s">
        <v>20</v>
      </c>
      <c r="B1006" s="114" t="s">
        <v>148</v>
      </c>
      <c r="C1006" s="125">
        <v>29.0</v>
      </c>
      <c r="D1006" s="119" t="s">
        <v>1953</v>
      </c>
      <c r="E1006" s="119" t="s">
        <v>1954</v>
      </c>
      <c r="F1006" s="86"/>
      <c r="G1006" s="100"/>
      <c r="H1006" s="86"/>
      <c r="I1006" s="86"/>
      <c r="J1006" s="87"/>
    </row>
    <row r="1007">
      <c r="A1007" s="93" t="s">
        <v>20</v>
      </c>
      <c r="B1007" s="115" t="s">
        <v>148</v>
      </c>
      <c r="C1007" s="124">
        <v>30.0</v>
      </c>
      <c r="D1007" s="121" t="s">
        <v>1955</v>
      </c>
      <c r="E1007" s="121" t="s">
        <v>1956</v>
      </c>
      <c r="F1007" s="94"/>
      <c r="G1007" s="98"/>
      <c r="H1007" s="94"/>
      <c r="I1007" s="94"/>
      <c r="J1007" s="87"/>
    </row>
    <row r="1008">
      <c r="A1008" s="85" t="s">
        <v>20</v>
      </c>
      <c r="B1008" s="114" t="s">
        <v>148</v>
      </c>
      <c r="C1008" s="125">
        <v>31.0</v>
      </c>
      <c r="D1008" s="119" t="s">
        <v>1957</v>
      </c>
      <c r="E1008" s="119" t="s">
        <v>1958</v>
      </c>
      <c r="F1008" s="86"/>
      <c r="G1008" s="100"/>
      <c r="H1008" s="86"/>
      <c r="I1008" s="86"/>
      <c r="J1008" s="87"/>
    </row>
    <row r="1009">
      <c r="A1009" s="93" t="s">
        <v>20</v>
      </c>
      <c r="B1009" s="115" t="s">
        <v>151</v>
      </c>
      <c r="C1009" s="124">
        <v>2.0</v>
      </c>
      <c r="D1009" s="121" t="s">
        <v>1959</v>
      </c>
      <c r="E1009" s="121" t="s">
        <v>1960</v>
      </c>
      <c r="F1009" s="94"/>
      <c r="G1009" s="98"/>
      <c r="H1009" s="94"/>
      <c r="I1009" s="94"/>
      <c r="J1009" s="87"/>
    </row>
    <row r="1010">
      <c r="A1010" s="85" t="s">
        <v>20</v>
      </c>
      <c r="B1010" s="114" t="s">
        <v>151</v>
      </c>
      <c r="C1010" s="125">
        <v>3.0</v>
      </c>
      <c r="D1010" s="119" t="s">
        <v>1961</v>
      </c>
      <c r="E1010" s="119" t="s">
        <v>1962</v>
      </c>
      <c r="F1010" s="86"/>
      <c r="G1010" s="100"/>
      <c r="H1010" s="86"/>
      <c r="I1010" s="86"/>
      <c r="J1010" s="87"/>
    </row>
    <row r="1011">
      <c r="A1011" s="93" t="s">
        <v>20</v>
      </c>
      <c r="B1011" s="115" t="s">
        <v>151</v>
      </c>
      <c r="C1011" s="124">
        <v>4.0</v>
      </c>
      <c r="D1011" s="121" t="s">
        <v>1963</v>
      </c>
      <c r="E1011" s="121" t="s">
        <v>1964</v>
      </c>
      <c r="F1011" s="94"/>
      <c r="G1011" s="98"/>
      <c r="H1011" s="94"/>
      <c r="I1011" s="94"/>
      <c r="J1011" s="87"/>
    </row>
    <row r="1012">
      <c r="A1012" s="85" t="s">
        <v>20</v>
      </c>
      <c r="B1012" s="114" t="s">
        <v>151</v>
      </c>
      <c r="C1012" s="125">
        <v>5.0</v>
      </c>
      <c r="D1012" s="119" t="s">
        <v>1965</v>
      </c>
      <c r="E1012" s="119" t="s">
        <v>1966</v>
      </c>
      <c r="F1012" s="86"/>
      <c r="G1012" s="100"/>
      <c r="H1012" s="86"/>
      <c r="I1012" s="86"/>
      <c r="J1012" s="87"/>
    </row>
    <row r="1013">
      <c r="A1013" s="93" t="s">
        <v>20</v>
      </c>
      <c r="B1013" s="115" t="s">
        <v>151</v>
      </c>
      <c r="C1013" s="124">
        <v>6.0</v>
      </c>
      <c r="D1013" s="121" t="s">
        <v>1967</v>
      </c>
      <c r="E1013" s="121" t="s">
        <v>1968</v>
      </c>
      <c r="F1013" s="94"/>
      <c r="G1013" s="98"/>
      <c r="H1013" s="94"/>
      <c r="I1013" s="94"/>
      <c r="J1013" s="87"/>
    </row>
    <row r="1014">
      <c r="A1014" s="85" t="s">
        <v>20</v>
      </c>
      <c r="B1014" s="114" t="s">
        <v>151</v>
      </c>
      <c r="C1014" s="125">
        <v>7.0</v>
      </c>
      <c r="D1014" s="119" t="s">
        <v>1969</v>
      </c>
      <c r="E1014" s="119" t="s">
        <v>1964</v>
      </c>
      <c r="F1014" s="86"/>
      <c r="G1014" s="100"/>
      <c r="H1014" s="86"/>
      <c r="I1014" s="86"/>
      <c r="J1014" s="87"/>
    </row>
    <row r="1015">
      <c r="A1015" s="93" t="s">
        <v>20</v>
      </c>
      <c r="B1015" s="115" t="s">
        <v>151</v>
      </c>
      <c r="C1015" s="124">
        <v>8.0</v>
      </c>
      <c r="D1015" s="121" t="s">
        <v>1970</v>
      </c>
      <c r="E1015" s="121" t="s">
        <v>1971</v>
      </c>
      <c r="F1015" s="94"/>
      <c r="G1015" s="98"/>
      <c r="H1015" s="94"/>
      <c r="I1015" s="94"/>
      <c r="J1015" s="87"/>
    </row>
    <row r="1016">
      <c r="A1016" s="85" t="s">
        <v>20</v>
      </c>
      <c r="B1016" s="114" t="s">
        <v>151</v>
      </c>
      <c r="C1016" s="125">
        <v>9.0</v>
      </c>
      <c r="D1016" s="119" t="s">
        <v>1972</v>
      </c>
      <c r="E1016" s="119" t="s">
        <v>1973</v>
      </c>
      <c r="F1016" s="86"/>
      <c r="G1016" s="100"/>
      <c r="H1016" s="86"/>
      <c r="I1016" s="86"/>
      <c r="J1016" s="87"/>
    </row>
    <row r="1017">
      <c r="A1017" s="93" t="s">
        <v>20</v>
      </c>
      <c r="B1017" s="115" t="s">
        <v>151</v>
      </c>
      <c r="C1017" s="124">
        <v>10.0</v>
      </c>
      <c r="D1017" s="121" t="s">
        <v>1974</v>
      </c>
      <c r="E1017" s="121" t="s">
        <v>1975</v>
      </c>
      <c r="F1017" s="94"/>
      <c r="G1017" s="98"/>
      <c r="H1017" s="94"/>
      <c r="I1017" s="94"/>
      <c r="J1017" s="87"/>
    </row>
    <row r="1018">
      <c r="A1018" s="85" t="s">
        <v>20</v>
      </c>
      <c r="B1018" s="114" t="s">
        <v>151</v>
      </c>
      <c r="C1018" s="125">
        <v>12.0</v>
      </c>
      <c r="D1018" s="119" t="s">
        <v>1976</v>
      </c>
      <c r="E1018" s="119" t="s">
        <v>1977</v>
      </c>
      <c r="F1018" s="86"/>
      <c r="G1018" s="100"/>
      <c r="H1018" s="86"/>
      <c r="I1018" s="86"/>
      <c r="J1018" s="87"/>
    </row>
    <row r="1019">
      <c r="A1019" s="93" t="s">
        <v>20</v>
      </c>
      <c r="B1019" s="115" t="s">
        <v>151</v>
      </c>
      <c r="C1019" s="124">
        <v>13.0</v>
      </c>
      <c r="D1019" s="121" t="s">
        <v>1978</v>
      </c>
      <c r="E1019" s="121" t="s">
        <v>1979</v>
      </c>
      <c r="F1019" s="94"/>
      <c r="G1019" s="98"/>
      <c r="H1019" s="94"/>
      <c r="I1019" s="94"/>
      <c r="J1019" s="87"/>
    </row>
    <row r="1020">
      <c r="A1020" s="85" t="s">
        <v>20</v>
      </c>
      <c r="B1020" s="114" t="s">
        <v>151</v>
      </c>
      <c r="C1020" s="125">
        <v>14.0</v>
      </c>
      <c r="D1020" s="119" t="s">
        <v>1980</v>
      </c>
      <c r="E1020" s="119" t="s">
        <v>1981</v>
      </c>
      <c r="F1020" s="86"/>
      <c r="G1020" s="100"/>
      <c r="H1020" s="86"/>
      <c r="I1020" s="86"/>
      <c r="J1020" s="87"/>
    </row>
    <row r="1021">
      <c r="A1021" s="93" t="s">
        <v>20</v>
      </c>
      <c r="B1021" s="115" t="s">
        <v>151</v>
      </c>
      <c r="C1021" s="124">
        <v>15.0</v>
      </c>
      <c r="D1021" s="121" t="s">
        <v>1982</v>
      </c>
      <c r="E1021" s="121" t="s">
        <v>1983</v>
      </c>
      <c r="F1021" s="94"/>
      <c r="G1021" s="98"/>
      <c r="H1021" s="94"/>
      <c r="I1021" s="94"/>
      <c r="J1021" s="87"/>
    </row>
    <row r="1022">
      <c r="A1022" s="85" t="s">
        <v>20</v>
      </c>
      <c r="B1022" s="114" t="s">
        <v>151</v>
      </c>
      <c r="C1022" s="125">
        <v>16.0</v>
      </c>
      <c r="D1022" s="119" t="s">
        <v>1984</v>
      </c>
      <c r="E1022" s="119" t="s">
        <v>1985</v>
      </c>
      <c r="F1022" s="86"/>
      <c r="G1022" s="100"/>
      <c r="H1022" s="86"/>
      <c r="I1022" s="86"/>
      <c r="J1022" s="87"/>
    </row>
    <row r="1023">
      <c r="A1023" s="93" t="s">
        <v>20</v>
      </c>
      <c r="B1023" s="115" t="s">
        <v>151</v>
      </c>
      <c r="C1023" s="124">
        <v>18.0</v>
      </c>
      <c r="D1023" s="121" t="s">
        <v>1986</v>
      </c>
      <c r="E1023" s="121" t="s">
        <v>1973</v>
      </c>
      <c r="F1023" s="94"/>
      <c r="G1023" s="98"/>
      <c r="H1023" s="94"/>
      <c r="I1023" s="94"/>
      <c r="J1023" s="87"/>
    </row>
    <row r="1024">
      <c r="A1024" s="85" t="s">
        <v>20</v>
      </c>
      <c r="B1024" s="114" t="s">
        <v>151</v>
      </c>
      <c r="C1024" s="125">
        <v>19.0</v>
      </c>
      <c r="D1024" s="119" t="s">
        <v>1987</v>
      </c>
      <c r="E1024" s="119" t="s">
        <v>1988</v>
      </c>
      <c r="F1024" s="86"/>
      <c r="G1024" s="100"/>
      <c r="H1024" s="86"/>
      <c r="I1024" s="86"/>
      <c r="J1024" s="87"/>
    </row>
    <row r="1025">
      <c r="A1025" s="93" t="s">
        <v>20</v>
      </c>
      <c r="B1025" s="115" t="s">
        <v>151</v>
      </c>
      <c r="C1025" s="124">
        <v>20.0</v>
      </c>
      <c r="D1025" s="121" t="s">
        <v>1989</v>
      </c>
      <c r="E1025" s="121" t="s">
        <v>1990</v>
      </c>
      <c r="F1025" s="94"/>
      <c r="G1025" s="98"/>
      <c r="H1025" s="94"/>
      <c r="I1025" s="94"/>
      <c r="J1025" s="87"/>
    </row>
    <row r="1026">
      <c r="A1026" s="85" t="s">
        <v>20</v>
      </c>
      <c r="B1026" s="114" t="s">
        <v>151</v>
      </c>
      <c r="C1026" s="125">
        <v>21.0</v>
      </c>
      <c r="D1026" s="119" t="s">
        <v>1991</v>
      </c>
      <c r="E1026" s="119" t="s">
        <v>1992</v>
      </c>
      <c r="F1026" s="86"/>
      <c r="G1026" s="100"/>
      <c r="H1026" s="86"/>
      <c r="I1026" s="86"/>
      <c r="J1026" s="87"/>
    </row>
    <row r="1027">
      <c r="A1027" s="93" t="s">
        <v>20</v>
      </c>
      <c r="B1027" s="115" t="s">
        <v>151</v>
      </c>
      <c r="C1027" s="124">
        <v>22.0</v>
      </c>
      <c r="D1027" s="121" t="s">
        <v>1993</v>
      </c>
      <c r="E1027" s="121" t="s">
        <v>1994</v>
      </c>
      <c r="F1027" s="94"/>
      <c r="G1027" s="98"/>
      <c r="H1027" s="94"/>
      <c r="I1027" s="94"/>
      <c r="J1027" s="87"/>
    </row>
    <row r="1028">
      <c r="A1028" s="85" t="s">
        <v>20</v>
      </c>
      <c r="B1028" s="114" t="s">
        <v>151</v>
      </c>
      <c r="C1028" s="125">
        <v>65.0</v>
      </c>
      <c r="D1028" s="119" t="s">
        <v>1995</v>
      </c>
      <c r="E1028" s="119" t="s">
        <v>1996</v>
      </c>
      <c r="F1028" s="86"/>
      <c r="G1028" s="100"/>
      <c r="H1028" s="86"/>
      <c r="I1028" s="86"/>
      <c r="J1028" s="87"/>
    </row>
    <row r="1029">
      <c r="A1029" s="93" t="s">
        <v>20</v>
      </c>
      <c r="B1029" s="115" t="s">
        <v>151</v>
      </c>
      <c r="C1029" s="124">
        <v>66.0</v>
      </c>
      <c r="D1029" s="121" t="s">
        <v>1997</v>
      </c>
      <c r="E1029" s="121" t="s">
        <v>1998</v>
      </c>
      <c r="F1029" s="94"/>
      <c r="G1029" s="98"/>
      <c r="H1029" s="94"/>
      <c r="I1029" s="94"/>
      <c r="J1029" s="87"/>
    </row>
    <row r="1030">
      <c r="A1030" s="85" t="s">
        <v>20</v>
      </c>
      <c r="B1030" s="114" t="s">
        <v>151</v>
      </c>
      <c r="C1030" s="125">
        <v>67.0</v>
      </c>
      <c r="D1030" s="119" t="s">
        <v>1999</v>
      </c>
      <c r="E1030" s="119"/>
      <c r="F1030" s="86"/>
      <c r="G1030" s="100"/>
      <c r="H1030" s="86"/>
      <c r="I1030" s="86"/>
      <c r="J1030" s="87"/>
    </row>
    <row r="1031">
      <c r="A1031" s="93" t="s">
        <v>20</v>
      </c>
      <c r="B1031" s="115" t="s">
        <v>154</v>
      </c>
      <c r="C1031" s="124">
        <v>1.0</v>
      </c>
      <c r="D1031" s="121" t="s">
        <v>1619</v>
      </c>
      <c r="E1031" s="121" t="s">
        <v>1176</v>
      </c>
      <c r="F1031" s="94"/>
      <c r="G1031" s="98"/>
      <c r="H1031" s="94" t="str">
        <f>IMAGE("https://drive.google.com/uc?export=view&amp;id=1kUvIr9r68MuHfb3LNts9WitJSqOCY4cW")</f>
        <v/>
      </c>
      <c r="I1031" s="94"/>
      <c r="J1031" s="87"/>
    </row>
    <row r="1032">
      <c r="A1032" s="85" t="s">
        <v>20</v>
      </c>
      <c r="B1032" s="114" t="s">
        <v>154</v>
      </c>
      <c r="C1032" s="125">
        <v>2.0</v>
      </c>
      <c r="D1032" s="119" t="s">
        <v>1620</v>
      </c>
      <c r="E1032" s="119" t="s">
        <v>1621</v>
      </c>
      <c r="F1032" s="86"/>
      <c r="G1032" s="100"/>
      <c r="H1032" s="86" t="str">
        <f>IMAGE("https://drive.google.com/uc?export=view&amp;id=1IkWR3rhjt-DOvTuvRHJ-47imUOYByXf8")</f>
        <v/>
      </c>
      <c r="I1032" s="86"/>
      <c r="J1032" s="87"/>
    </row>
    <row r="1033">
      <c r="A1033" s="93" t="s">
        <v>20</v>
      </c>
      <c r="B1033" s="115" t="s">
        <v>154</v>
      </c>
      <c r="C1033" s="124">
        <v>3.0</v>
      </c>
      <c r="D1033" s="121" t="s">
        <v>1622</v>
      </c>
      <c r="E1033" s="121" t="s">
        <v>1623</v>
      </c>
      <c r="F1033" s="94"/>
      <c r="G1033" s="98"/>
      <c r="H1033" s="94" t="str">
        <f>IMAGE("https://drive.google.com/uc?export=view&amp;id=17tbcRy_bNytOtiOR0usQ649Zi8AmV0tD")</f>
        <v/>
      </c>
      <c r="I1033" s="94"/>
      <c r="J1033" s="87"/>
    </row>
    <row r="1034">
      <c r="A1034" s="85" t="s">
        <v>20</v>
      </c>
      <c r="B1034" s="114" t="s">
        <v>154</v>
      </c>
      <c r="C1034" s="125">
        <v>4.0</v>
      </c>
      <c r="D1034" s="119" t="s">
        <v>1624</v>
      </c>
      <c r="E1034" s="119" t="s">
        <v>1625</v>
      </c>
      <c r="F1034" s="86"/>
      <c r="G1034" s="100"/>
      <c r="H1034" s="86" t="str">
        <f>IMAGE("https://drive.google.com/uc?export=view&amp;id=1pV1VPXxVLyHI0v40u0Jc26grsLoBg54C")</f>
        <v/>
      </c>
      <c r="I1034" s="86"/>
      <c r="J1034" s="87"/>
    </row>
    <row r="1035">
      <c r="A1035" s="93" t="s">
        <v>20</v>
      </c>
      <c r="B1035" s="115" t="s">
        <v>154</v>
      </c>
      <c r="C1035" s="124">
        <v>5.0</v>
      </c>
      <c r="D1035" s="121" t="s">
        <v>1626</v>
      </c>
      <c r="E1035" s="121" t="s">
        <v>1627</v>
      </c>
      <c r="F1035" s="94"/>
      <c r="G1035" s="98"/>
      <c r="H1035" s="94" t="str">
        <f>IMAGE("https://drive.google.com/uc?export=view&amp;id=1YU8mDIk-ECNnjSLLKBNzk_2VO5OBzvA_")</f>
        <v/>
      </c>
      <c r="I1035" s="94"/>
      <c r="J1035" s="87"/>
    </row>
    <row r="1036">
      <c r="A1036" s="85" t="s">
        <v>20</v>
      </c>
      <c r="B1036" s="114" t="s">
        <v>154</v>
      </c>
      <c r="C1036" s="125">
        <v>6.0</v>
      </c>
      <c r="D1036" s="119" t="s">
        <v>1628</v>
      </c>
      <c r="E1036" s="119" t="s">
        <v>1350</v>
      </c>
      <c r="F1036" s="86"/>
      <c r="G1036" s="100"/>
      <c r="H1036" s="86" t="str">
        <f>IMAGE("https://drive.google.com/uc?export=view&amp;id=1beci0kYoUouqtuLpbUVpGjUIGxxalikf")</f>
        <v/>
      </c>
      <c r="I1036" s="86"/>
      <c r="J1036" s="87"/>
    </row>
    <row r="1037">
      <c r="A1037" s="93" t="s">
        <v>20</v>
      </c>
      <c r="B1037" s="115" t="s">
        <v>154</v>
      </c>
      <c r="C1037" s="124">
        <v>9.0</v>
      </c>
      <c r="D1037" s="121" t="s">
        <v>1629</v>
      </c>
      <c r="E1037" s="121" t="s">
        <v>1630</v>
      </c>
      <c r="F1037" s="94"/>
      <c r="G1037" s="98"/>
      <c r="H1037" s="94" t="str">
        <f>IMAGE("https://drive.google.com/uc?export=view&amp;id=15IkOXikt6RDoHTmKS7vy-01SeK3H5Pfo")</f>
        <v/>
      </c>
      <c r="I1037" s="94"/>
      <c r="J1037" s="87"/>
    </row>
    <row r="1038">
      <c r="A1038" s="85" t="s">
        <v>20</v>
      </c>
      <c r="B1038" s="114" t="s">
        <v>154</v>
      </c>
      <c r="C1038" s="125">
        <v>10.0</v>
      </c>
      <c r="D1038" s="119" t="s">
        <v>1631</v>
      </c>
      <c r="E1038" s="119" t="s">
        <v>1632</v>
      </c>
      <c r="F1038" s="86"/>
      <c r="G1038" s="100"/>
      <c r="H1038" s="86" t="str">
        <f>IMAGE("https://drive.google.com/uc?export=view&amp;id=1gnxTN_BOS5Chys7W8CzpaiR016u-uVPY")</f>
        <v/>
      </c>
      <c r="I1038" s="86"/>
      <c r="J1038" s="87"/>
    </row>
    <row r="1039">
      <c r="A1039" s="93" t="s">
        <v>20</v>
      </c>
      <c r="B1039" s="115" t="s">
        <v>154</v>
      </c>
      <c r="C1039" s="124">
        <v>13.0</v>
      </c>
      <c r="D1039" s="121" t="s">
        <v>1633</v>
      </c>
      <c r="E1039" s="121" t="s">
        <v>1355</v>
      </c>
      <c r="F1039" s="94"/>
      <c r="G1039" s="98"/>
      <c r="H1039" s="94" t="str">
        <f>IMAGE("https://drive.google.com/uc?export=view&amp;id=1tnyWt4fpxLNsekakjWClfA7Gv543r8ve")</f>
        <v/>
      </c>
      <c r="I1039" s="94"/>
      <c r="J1039" s="87"/>
    </row>
    <row r="1040">
      <c r="A1040" s="85" t="s">
        <v>20</v>
      </c>
      <c r="B1040" s="114" t="s">
        <v>154</v>
      </c>
      <c r="C1040" s="125">
        <v>14.0</v>
      </c>
      <c r="D1040" s="119" t="s">
        <v>1634</v>
      </c>
      <c r="E1040" s="119" t="s">
        <v>1357</v>
      </c>
      <c r="F1040" s="86"/>
      <c r="G1040" s="100"/>
      <c r="H1040" s="86" t="str">
        <f>IMAGE("https://drive.google.com/uc?export=view&amp;id=1VUT_i_D1OWzBkCf7CW-6VuV6p5Nv3KQl")</f>
        <v/>
      </c>
      <c r="I1040" s="86"/>
      <c r="J1040" s="87"/>
    </row>
    <row r="1041">
      <c r="A1041" s="93" t="s">
        <v>20</v>
      </c>
      <c r="B1041" s="115" t="s">
        <v>154</v>
      </c>
      <c r="C1041" s="124">
        <v>15.0</v>
      </c>
      <c r="D1041" s="121" t="s">
        <v>1635</v>
      </c>
      <c r="E1041" s="121" t="s">
        <v>1359</v>
      </c>
      <c r="F1041" s="94"/>
      <c r="G1041" s="98"/>
      <c r="H1041" s="94" t="str">
        <f>IMAGE("https://drive.google.com/uc?export=view&amp;id=1Z_SC8ljAfazVz4gRs3Eb2Vaw2fOi2feN") </f>
        <v/>
      </c>
      <c r="I1041" s="94"/>
      <c r="J1041" s="87"/>
    </row>
    <row r="1042">
      <c r="A1042" s="85" t="s">
        <v>20</v>
      </c>
      <c r="B1042" s="114" t="s">
        <v>154</v>
      </c>
      <c r="C1042" s="125">
        <v>16.0</v>
      </c>
      <c r="D1042" s="119" t="s">
        <v>1636</v>
      </c>
      <c r="E1042" s="119" t="s">
        <v>1637</v>
      </c>
      <c r="F1042" s="86"/>
      <c r="G1042" s="100"/>
      <c r="H1042" s="86" t="str">
        <f>IMAGE("https://drive.google.com/uc?export=view&amp;id=1cZY2V5DQjS46lJpkATqpZeisNR_ayiUS")</f>
        <v/>
      </c>
      <c r="I1042" s="86"/>
      <c r="J1042" s="87"/>
    </row>
    <row r="1043">
      <c r="A1043" s="93" t="s">
        <v>20</v>
      </c>
      <c r="B1043" s="115" t="s">
        <v>154</v>
      </c>
      <c r="C1043" s="124">
        <v>17.0</v>
      </c>
      <c r="D1043" s="121" t="s">
        <v>1638</v>
      </c>
      <c r="E1043" s="121" t="s">
        <v>1637</v>
      </c>
      <c r="F1043" s="94"/>
      <c r="G1043" s="98"/>
      <c r="H1043" s="94" t="str">
        <f>IMAGE("https://drive.google.com/uc?export=view&amp;id=1HuX7FPy1wzBQeRSFMYxibICEGM0n-zXM")</f>
        <v/>
      </c>
      <c r="I1043" s="94"/>
      <c r="J1043" s="87"/>
    </row>
    <row r="1044">
      <c r="A1044" s="85" t="s">
        <v>20</v>
      </c>
      <c r="B1044" s="114" t="s">
        <v>154</v>
      </c>
      <c r="C1044" s="125">
        <v>18.0</v>
      </c>
      <c r="D1044" s="119" t="s">
        <v>1639</v>
      </c>
      <c r="E1044" s="119" t="s">
        <v>1201</v>
      </c>
      <c r="F1044" s="86"/>
      <c r="G1044" s="100"/>
      <c r="H1044" s="86" t="str">
        <f>IMAGE("https://drive.google.com/uc?export=view&amp;id=1I-yfMNqjz53KUa3oUSpsYXfC-4R0tb4U")</f>
        <v/>
      </c>
      <c r="I1044" s="86"/>
      <c r="J1044" s="87"/>
    </row>
    <row r="1045">
      <c r="A1045" s="93" t="s">
        <v>20</v>
      </c>
      <c r="B1045" s="115" t="s">
        <v>154</v>
      </c>
      <c r="C1045" s="124">
        <v>19.0</v>
      </c>
      <c r="D1045" s="121" t="s">
        <v>1640</v>
      </c>
      <c r="E1045" s="121" t="s">
        <v>1367</v>
      </c>
      <c r="F1045" s="94"/>
      <c r="G1045" s="98"/>
      <c r="H1045" s="94" t="str">
        <f>IMAGE("https://drive.google.com/uc?export=view&amp;id=1gzx_kO9JWEgZTIOE1QzfRp69xenBo3EY")</f>
        <v/>
      </c>
      <c r="I1045" s="94"/>
      <c r="J1045" s="87"/>
    </row>
    <row r="1046">
      <c r="A1046" s="85" t="s">
        <v>20</v>
      </c>
      <c r="B1046" s="114" t="s">
        <v>154</v>
      </c>
      <c r="C1046" s="125">
        <v>25.0</v>
      </c>
      <c r="D1046" s="119" t="s">
        <v>1641</v>
      </c>
      <c r="E1046" s="119" t="s">
        <v>1642</v>
      </c>
      <c r="F1046" s="86"/>
      <c r="G1046" s="100"/>
      <c r="H1046" s="86" t="str">
        <f>IMAGE("https://drive.google.com/uc?export=view&amp;id=1q40muJ7RrnabS0ncZdmrOuAXD2Nn49Pj")</f>
        <v/>
      </c>
      <c r="I1046" s="86"/>
      <c r="J1046" s="87"/>
    </row>
    <row r="1047">
      <c r="A1047" s="93" t="s">
        <v>20</v>
      </c>
      <c r="B1047" s="115" t="s">
        <v>154</v>
      </c>
      <c r="C1047" s="124">
        <v>28.0</v>
      </c>
      <c r="D1047" s="121" t="s">
        <v>1643</v>
      </c>
      <c r="E1047" s="121" t="s">
        <v>1644</v>
      </c>
      <c r="F1047" s="94"/>
      <c r="G1047" s="98"/>
      <c r="H1047" s="94" t="str">
        <f>IMAGE("https://drive.google.com/uc?export=view&amp;id=1N742oAKhMM3mYx4a0B8YOv0WtXR5AKcO")</f>
        <v/>
      </c>
      <c r="I1047" s="94"/>
      <c r="J1047" s="87"/>
    </row>
    <row r="1048">
      <c r="A1048" s="85" t="s">
        <v>20</v>
      </c>
      <c r="B1048" s="114" t="s">
        <v>159</v>
      </c>
      <c r="C1048" s="125">
        <v>1.0</v>
      </c>
      <c r="D1048" s="119" t="s">
        <v>1565</v>
      </c>
      <c r="E1048" s="119" t="s">
        <v>1802</v>
      </c>
      <c r="F1048" s="86"/>
      <c r="G1048" s="100"/>
      <c r="H1048" s="86"/>
      <c r="I1048" s="86"/>
      <c r="J1048" s="87"/>
    </row>
    <row r="1049">
      <c r="A1049" s="93" t="s">
        <v>20</v>
      </c>
      <c r="B1049" s="115" t="s">
        <v>159</v>
      </c>
      <c r="C1049" s="124">
        <v>2.0</v>
      </c>
      <c r="D1049" s="121" t="s">
        <v>1569</v>
      </c>
      <c r="E1049" s="121" t="s">
        <v>1804</v>
      </c>
      <c r="F1049" s="94"/>
      <c r="G1049" s="98"/>
      <c r="H1049" s="94"/>
      <c r="I1049" s="94"/>
      <c r="J1049" s="87"/>
    </row>
    <row r="1050">
      <c r="A1050" s="85" t="s">
        <v>20</v>
      </c>
      <c r="B1050" s="114" t="s">
        <v>159</v>
      </c>
      <c r="C1050" s="125">
        <v>41.0</v>
      </c>
      <c r="D1050" s="119" t="s">
        <v>2000</v>
      </c>
      <c r="E1050" s="119" t="s">
        <v>2001</v>
      </c>
      <c r="F1050" s="86"/>
      <c r="G1050" s="100"/>
      <c r="H1050" s="86"/>
      <c r="I1050" s="86"/>
      <c r="J1050" s="87"/>
    </row>
    <row r="1051">
      <c r="A1051" s="93" t="s">
        <v>20</v>
      </c>
      <c r="B1051" s="115" t="s">
        <v>159</v>
      </c>
      <c r="C1051" s="124">
        <v>42.0</v>
      </c>
      <c r="D1051" s="121" t="s">
        <v>2002</v>
      </c>
      <c r="E1051" s="121" t="s">
        <v>2003</v>
      </c>
      <c r="F1051" s="94"/>
      <c r="G1051" s="98"/>
      <c r="H1051" s="94"/>
      <c r="I1051" s="94"/>
      <c r="J1051" s="87"/>
    </row>
    <row r="1052">
      <c r="A1052" s="85" t="s">
        <v>20</v>
      </c>
      <c r="B1052" s="114" t="s">
        <v>159</v>
      </c>
      <c r="C1052" s="125">
        <v>44.0</v>
      </c>
      <c r="D1052" s="119" t="s">
        <v>1585</v>
      </c>
      <c r="E1052" s="119" t="s">
        <v>2004</v>
      </c>
      <c r="F1052" s="86"/>
      <c r="G1052" s="100"/>
      <c r="H1052" s="86"/>
      <c r="I1052" s="86"/>
      <c r="J1052" s="87"/>
    </row>
    <row r="1053">
      <c r="A1053" s="93" t="s">
        <v>20</v>
      </c>
      <c r="B1053" s="115" t="s">
        <v>159</v>
      </c>
      <c r="C1053" s="124">
        <v>46.0</v>
      </c>
      <c r="D1053" s="121" t="s">
        <v>1588</v>
      </c>
      <c r="E1053" s="121" t="s">
        <v>2003</v>
      </c>
      <c r="F1053" s="94"/>
      <c r="G1053" s="98"/>
      <c r="H1053" s="94"/>
      <c r="I1053" s="94"/>
      <c r="J1053" s="87"/>
    </row>
    <row r="1054">
      <c r="A1054" s="85" t="s">
        <v>20</v>
      </c>
      <c r="B1054" s="114" t="s">
        <v>159</v>
      </c>
      <c r="C1054" s="125">
        <v>47.0</v>
      </c>
      <c r="D1054" s="119" t="s">
        <v>2005</v>
      </c>
      <c r="E1054" s="119" t="s">
        <v>2006</v>
      </c>
      <c r="F1054" s="86"/>
      <c r="G1054" s="100"/>
      <c r="H1054" s="86"/>
      <c r="I1054" s="86"/>
      <c r="J1054" s="87"/>
    </row>
    <row r="1055">
      <c r="A1055" s="93" t="s">
        <v>20</v>
      </c>
      <c r="B1055" s="115" t="s">
        <v>159</v>
      </c>
      <c r="C1055" s="124">
        <v>59.0</v>
      </c>
      <c r="D1055" s="121" t="s">
        <v>1593</v>
      </c>
      <c r="E1055" s="121" t="s">
        <v>2007</v>
      </c>
      <c r="F1055" s="94"/>
      <c r="G1055" s="98"/>
      <c r="H1055" s="94"/>
      <c r="I1055" s="94"/>
      <c r="J1055" s="87"/>
    </row>
    <row r="1056">
      <c r="A1056" s="85" t="s">
        <v>20</v>
      </c>
      <c r="B1056" s="114" t="s">
        <v>159</v>
      </c>
      <c r="C1056" s="125">
        <v>63.0</v>
      </c>
      <c r="D1056" s="119" t="s">
        <v>2008</v>
      </c>
      <c r="E1056" s="119" t="s">
        <v>2007</v>
      </c>
      <c r="F1056" s="86"/>
      <c r="G1056" s="100"/>
      <c r="H1056" s="86"/>
      <c r="I1056" s="86"/>
      <c r="J1056" s="87"/>
    </row>
    <row r="1057">
      <c r="A1057" s="93" t="s">
        <v>20</v>
      </c>
      <c r="B1057" s="115" t="s">
        <v>156</v>
      </c>
      <c r="C1057" s="124">
        <v>1.0</v>
      </c>
      <c r="D1057" s="121" t="s">
        <v>1565</v>
      </c>
      <c r="E1057" s="121" t="s">
        <v>1802</v>
      </c>
      <c r="F1057" s="94"/>
      <c r="G1057" s="98"/>
      <c r="H1057" s="94"/>
      <c r="I1057" s="94"/>
      <c r="J1057" s="87"/>
    </row>
    <row r="1058">
      <c r="A1058" s="85" t="s">
        <v>20</v>
      </c>
      <c r="B1058" s="114" t="s">
        <v>156</v>
      </c>
      <c r="C1058" s="125">
        <v>2.0</v>
      </c>
      <c r="D1058" s="119" t="s">
        <v>1569</v>
      </c>
      <c r="E1058" s="119" t="s">
        <v>1804</v>
      </c>
      <c r="F1058" s="86"/>
      <c r="G1058" s="100"/>
      <c r="H1058" s="86"/>
      <c r="I1058" s="86"/>
      <c r="J1058" s="87"/>
    </row>
    <row r="1059">
      <c r="A1059" s="93" t="s">
        <v>20</v>
      </c>
      <c r="B1059" s="115" t="s">
        <v>156</v>
      </c>
      <c r="C1059" s="124">
        <v>41.0</v>
      </c>
      <c r="D1059" s="121" t="s">
        <v>2000</v>
      </c>
      <c r="E1059" s="121" t="s">
        <v>2001</v>
      </c>
      <c r="F1059" s="94"/>
      <c r="G1059" s="98"/>
      <c r="H1059" s="94"/>
      <c r="I1059" s="94"/>
      <c r="J1059" s="87"/>
    </row>
    <row r="1060">
      <c r="A1060" s="85" t="s">
        <v>20</v>
      </c>
      <c r="B1060" s="114" t="s">
        <v>156</v>
      </c>
      <c r="C1060" s="125">
        <v>42.0</v>
      </c>
      <c r="D1060" s="119" t="s">
        <v>2002</v>
      </c>
      <c r="E1060" s="119" t="s">
        <v>2003</v>
      </c>
      <c r="F1060" s="86"/>
      <c r="G1060" s="100"/>
      <c r="H1060" s="86"/>
      <c r="I1060" s="86"/>
      <c r="J1060" s="87"/>
    </row>
    <row r="1061">
      <c r="A1061" s="93" t="s">
        <v>20</v>
      </c>
      <c r="B1061" s="115" t="s">
        <v>156</v>
      </c>
      <c r="C1061" s="124">
        <v>44.0</v>
      </c>
      <c r="D1061" s="121" t="s">
        <v>1585</v>
      </c>
      <c r="E1061" s="121" t="s">
        <v>2004</v>
      </c>
      <c r="F1061" s="94"/>
      <c r="G1061" s="98"/>
      <c r="H1061" s="94"/>
      <c r="I1061" s="94"/>
      <c r="J1061" s="87"/>
    </row>
    <row r="1062">
      <c r="A1062" s="85" t="s">
        <v>20</v>
      </c>
      <c r="B1062" s="114" t="s">
        <v>156</v>
      </c>
      <c r="C1062" s="125">
        <v>46.0</v>
      </c>
      <c r="D1062" s="119" t="s">
        <v>1588</v>
      </c>
      <c r="E1062" s="119" t="s">
        <v>2003</v>
      </c>
      <c r="F1062" s="86"/>
      <c r="G1062" s="100"/>
      <c r="H1062" s="86"/>
      <c r="I1062" s="86"/>
      <c r="J1062" s="87"/>
    </row>
    <row r="1063">
      <c r="A1063" s="93" t="s">
        <v>20</v>
      </c>
      <c r="B1063" s="115" t="s">
        <v>156</v>
      </c>
      <c r="C1063" s="124">
        <v>47.0</v>
      </c>
      <c r="D1063" s="121" t="s">
        <v>2005</v>
      </c>
      <c r="E1063" s="121" t="s">
        <v>2006</v>
      </c>
      <c r="F1063" s="94"/>
      <c r="G1063" s="98"/>
      <c r="H1063" s="94"/>
      <c r="I1063" s="94"/>
      <c r="J1063" s="87"/>
    </row>
    <row r="1064">
      <c r="A1064" s="85" t="s">
        <v>20</v>
      </c>
      <c r="B1064" s="114" t="s">
        <v>156</v>
      </c>
      <c r="C1064" s="125">
        <v>59.0</v>
      </c>
      <c r="D1064" s="119" t="s">
        <v>1593</v>
      </c>
      <c r="E1064" s="119" t="s">
        <v>2007</v>
      </c>
      <c r="F1064" s="86"/>
      <c r="G1064" s="100"/>
      <c r="H1064" s="86"/>
      <c r="I1064" s="86"/>
      <c r="J1064" s="87"/>
    </row>
    <row r="1065">
      <c r="A1065" s="93" t="s">
        <v>20</v>
      </c>
      <c r="B1065" s="115" t="s">
        <v>156</v>
      </c>
      <c r="C1065" s="124">
        <v>63.0</v>
      </c>
      <c r="D1065" s="121" t="s">
        <v>2008</v>
      </c>
      <c r="E1065" s="121" t="s">
        <v>2007</v>
      </c>
      <c r="F1065" s="94"/>
      <c r="G1065" s="98"/>
      <c r="H1065" s="94"/>
      <c r="I1065" s="94"/>
      <c r="J1065" s="87"/>
    </row>
    <row r="1066">
      <c r="A1066" s="85" t="s">
        <v>20</v>
      </c>
      <c r="B1066" s="114" t="s">
        <v>163</v>
      </c>
      <c r="C1066" s="125">
        <v>28.0</v>
      </c>
      <c r="D1066" s="119" t="s">
        <v>2009</v>
      </c>
      <c r="E1066" s="119" t="s">
        <v>2010</v>
      </c>
      <c r="F1066" s="86"/>
      <c r="G1066" s="100"/>
      <c r="H1066" s="86"/>
      <c r="I1066" s="86"/>
      <c r="J1066" s="87"/>
    </row>
    <row r="1067">
      <c r="A1067" s="93" t="s">
        <v>20</v>
      </c>
      <c r="B1067" s="115" t="s">
        <v>163</v>
      </c>
      <c r="C1067" s="124">
        <v>1.0</v>
      </c>
      <c r="D1067" s="121" t="s">
        <v>2011</v>
      </c>
      <c r="E1067" s="121" t="s">
        <v>2012</v>
      </c>
      <c r="F1067" s="94"/>
      <c r="G1067" s="98"/>
      <c r="H1067" s="94"/>
      <c r="I1067" s="94"/>
      <c r="J1067" s="87"/>
    </row>
    <row r="1068">
      <c r="A1068" s="85" t="s">
        <v>20</v>
      </c>
      <c r="B1068" s="114" t="s">
        <v>163</v>
      </c>
      <c r="C1068" s="125">
        <v>2.0</v>
      </c>
      <c r="D1068" s="119" t="s">
        <v>2013</v>
      </c>
      <c r="E1068" s="119" t="s">
        <v>2014</v>
      </c>
      <c r="F1068" s="86"/>
      <c r="G1068" s="100"/>
      <c r="H1068" s="86"/>
      <c r="I1068" s="86"/>
      <c r="J1068" s="87"/>
    </row>
    <row r="1069">
      <c r="A1069" s="93" t="s">
        <v>20</v>
      </c>
      <c r="B1069" s="115" t="s">
        <v>163</v>
      </c>
      <c r="C1069" s="124">
        <v>3.0</v>
      </c>
      <c r="D1069" s="121" t="s">
        <v>2015</v>
      </c>
      <c r="E1069" s="121" t="s">
        <v>2016</v>
      </c>
      <c r="F1069" s="94"/>
      <c r="G1069" s="98"/>
      <c r="H1069" s="94"/>
      <c r="I1069" s="94"/>
      <c r="J1069" s="87"/>
    </row>
    <row r="1070">
      <c r="A1070" s="85" t="s">
        <v>20</v>
      </c>
      <c r="B1070" s="114" t="s">
        <v>163</v>
      </c>
      <c r="C1070" s="125">
        <v>4.0</v>
      </c>
      <c r="D1070" s="119" t="s">
        <v>2017</v>
      </c>
      <c r="E1070" s="119" t="s">
        <v>2018</v>
      </c>
      <c r="F1070" s="86"/>
      <c r="G1070" s="100"/>
      <c r="H1070" s="86"/>
      <c r="I1070" s="86"/>
      <c r="J1070" s="87"/>
    </row>
    <row r="1071">
      <c r="A1071" s="93" t="s">
        <v>20</v>
      </c>
      <c r="B1071" s="115" t="s">
        <v>163</v>
      </c>
      <c r="C1071" s="124">
        <v>9.0</v>
      </c>
      <c r="D1071" s="121" t="s">
        <v>2019</v>
      </c>
      <c r="E1071" s="121" t="s">
        <v>2020</v>
      </c>
      <c r="F1071" s="94"/>
      <c r="G1071" s="98"/>
      <c r="H1071" s="94"/>
      <c r="I1071" s="94"/>
      <c r="J1071" s="87"/>
    </row>
    <row r="1072">
      <c r="A1072" s="85" t="s">
        <v>20</v>
      </c>
      <c r="B1072" s="114" t="s">
        <v>163</v>
      </c>
      <c r="C1072" s="125">
        <v>10.0</v>
      </c>
      <c r="D1072" s="119" t="s">
        <v>2021</v>
      </c>
      <c r="E1072" s="119" t="s">
        <v>2020</v>
      </c>
      <c r="F1072" s="86"/>
      <c r="G1072" s="100"/>
      <c r="H1072" s="86"/>
      <c r="I1072" s="86"/>
      <c r="J1072" s="87"/>
    </row>
    <row r="1073">
      <c r="A1073" s="93" t="s">
        <v>20</v>
      </c>
      <c r="B1073" s="115" t="s">
        <v>163</v>
      </c>
      <c r="C1073" s="124">
        <v>13.0</v>
      </c>
      <c r="D1073" s="121" t="s">
        <v>2015</v>
      </c>
      <c r="E1073" s="121" t="s">
        <v>2022</v>
      </c>
      <c r="F1073" s="94"/>
      <c r="G1073" s="98"/>
      <c r="H1073" s="94"/>
      <c r="I1073" s="94"/>
      <c r="J1073" s="87"/>
    </row>
    <row r="1074">
      <c r="A1074" s="85" t="s">
        <v>20</v>
      </c>
      <c r="B1074" s="114" t="s">
        <v>163</v>
      </c>
      <c r="C1074" s="125">
        <v>14.0</v>
      </c>
      <c r="D1074" s="119" t="s">
        <v>2023</v>
      </c>
      <c r="E1074" s="119" t="s">
        <v>2024</v>
      </c>
      <c r="F1074" s="86"/>
      <c r="G1074" s="100"/>
      <c r="H1074" s="86"/>
      <c r="I1074" s="86"/>
      <c r="J1074" s="87"/>
    </row>
    <row r="1075">
      <c r="A1075" s="93" t="s">
        <v>20</v>
      </c>
      <c r="B1075" s="115" t="s">
        <v>163</v>
      </c>
      <c r="C1075" s="124">
        <v>15.0</v>
      </c>
      <c r="D1075" s="121" t="s">
        <v>2017</v>
      </c>
      <c r="E1075" s="121" t="s">
        <v>2025</v>
      </c>
      <c r="F1075" s="94"/>
      <c r="G1075" s="98"/>
      <c r="H1075" s="94"/>
      <c r="I1075" s="94"/>
      <c r="J1075" s="87"/>
    </row>
    <row r="1076">
      <c r="A1076" s="85" t="s">
        <v>20</v>
      </c>
      <c r="B1076" s="114" t="s">
        <v>163</v>
      </c>
      <c r="C1076" s="125">
        <v>16.0</v>
      </c>
      <c r="D1076" s="119" t="s">
        <v>2026</v>
      </c>
      <c r="E1076" s="119" t="s">
        <v>2027</v>
      </c>
      <c r="F1076" s="86"/>
      <c r="G1076" s="100"/>
      <c r="H1076" s="86"/>
      <c r="I1076" s="86"/>
      <c r="J1076" s="87"/>
    </row>
    <row r="1077">
      <c r="A1077" s="93" t="s">
        <v>20</v>
      </c>
      <c r="B1077" s="115" t="s">
        <v>163</v>
      </c>
      <c r="C1077" s="124">
        <v>17.0</v>
      </c>
      <c r="D1077" s="121" t="s">
        <v>2028</v>
      </c>
      <c r="E1077" s="121" t="s">
        <v>2029</v>
      </c>
      <c r="F1077" s="94"/>
      <c r="G1077" s="98"/>
      <c r="H1077" s="94"/>
      <c r="I1077" s="94"/>
      <c r="J1077" s="87"/>
    </row>
    <row r="1078">
      <c r="A1078" s="85" t="s">
        <v>20</v>
      </c>
      <c r="B1078" s="114" t="s">
        <v>163</v>
      </c>
      <c r="C1078" s="125">
        <v>18.0</v>
      </c>
      <c r="D1078" s="119" t="s">
        <v>2030</v>
      </c>
      <c r="E1078" s="119" t="s">
        <v>2031</v>
      </c>
      <c r="F1078" s="86"/>
      <c r="G1078" s="100"/>
      <c r="H1078" s="86"/>
      <c r="I1078" s="86"/>
      <c r="J1078" s="87"/>
    </row>
    <row r="1079">
      <c r="A1079" s="93" t="s">
        <v>20</v>
      </c>
      <c r="B1079" s="115" t="s">
        <v>163</v>
      </c>
      <c r="C1079" s="124">
        <v>19.0</v>
      </c>
      <c r="D1079" s="121" t="s">
        <v>2032</v>
      </c>
      <c r="E1079" s="121" t="s">
        <v>2033</v>
      </c>
      <c r="F1079" s="94"/>
      <c r="G1079" s="98"/>
      <c r="H1079" s="94"/>
      <c r="I1079" s="94"/>
      <c r="J1079" s="87"/>
    </row>
    <row r="1080">
      <c r="A1080" s="85" t="s">
        <v>20</v>
      </c>
      <c r="B1080" s="114" t="s">
        <v>163</v>
      </c>
      <c r="C1080" s="125">
        <v>21.0</v>
      </c>
      <c r="D1080" s="119" t="s">
        <v>2034</v>
      </c>
      <c r="E1080" s="119" t="s">
        <v>2035</v>
      </c>
      <c r="F1080" s="86"/>
      <c r="G1080" s="100"/>
      <c r="H1080" s="86"/>
      <c r="I1080" s="86"/>
      <c r="J1080" s="87"/>
    </row>
    <row r="1081">
      <c r="A1081" s="93" t="s">
        <v>20</v>
      </c>
      <c r="B1081" s="115" t="s">
        <v>163</v>
      </c>
      <c r="C1081" s="124">
        <v>22.0</v>
      </c>
      <c r="D1081" s="121" t="s">
        <v>2036</v>
      </c>
      <c r="E1081" s="121" t="s">
        <v>2037</v>
      </c>
      <c r="F1081" s="94"/>
      <c r="G1081" s="98"/>
      <c r="H1081" s="94"/>
      <c r="I1081" s="94"/>
      <c r="J1081" s="87"/>
    </row>
    <row r="1082">
      <c r="A1082" s="85" t="s">
        <v>20</v>
      </c>
      <c r="B1082" s="114" t="s">
        <v>163</v>
      </c>
      <c r="C1082" s="125">
        <v>25.0</v>
      </c>
      <c r="D1082" s="119" t="s">
        <v>2038</v>
      </c>
      <c r="E1082" s="119" t="s">
        <v>2039</v>
      </c>
      <c r="F1082" s="86"/>
      <c r="G1082" s="100"/>
      <c r="H1082" s="86"/>
      <c r="I1082" s="86"/>
      <c r="J1082" s="87"/>
    </row>
    <row r="1083">
      <c r="A1083" s="93" t="s">
        <v>20</v>
      </c>
      <c r="B1083" s="115" t="s">
        <v>169</v>
      </c>
      <c r="C1083" s="124">
        <v>1.0</v>
      </c>
      <c r="D1083" s="121" t="s">
        <v>2040</v>
      </c>
      <c r="E1083" s="121" t="s">
        <v>1176</v>
      </c>
      <c r="F1083" s="94"/>
      <c r="G1083" s="98"/>
      <c r="H1083" s="94"/>
      <c r="I1083" s="94"/>
      <c r="J1083" s="87"/>
    </row>
    <row r="1084">
      <c r="A1084" s="85" t="s">
        <v>20</v>
      </c>
      <c r="B1084" s="114" t="s">
        <v>169</v>
      </c>
      <c r="C1084" s="125">
        <v>2.0</v>
      </c>
      <c r="D1084" s="119" t="s">
        <v>2041</v>
      </c>
      <c r="E1084" s="119" t="s">
        <v>1178</v>
      </c>
      <c r="F1084" s="86"/>
      <c r="G1084" s="100"/>
      <c r="H1084" s="86"/>
      <c r="I1084" s="86"/>
      <c r="J1084" s="87"/>
    </row>
    <row r="1085">
      <c r="A1085" s="93" t="s">
        <v>20</v>
      </c>
      <c r="B1085" s="115" t="s">
        <v>169</v>
      </c>
      <c r="C1085" s="124">
        <v>3.0</v>
      </c>
      <c r="D1085" s="121" t="s">
        <v>2042</v>
      </c>
      <c r="E1085" s="121" t="s">
        <v>2043</v>
      </c>
      <c r="F1085" s="94"/>
      <c r="G1085" s="98"/>
      <c r="H1085" s="94"/>
      <c r="I1085" s="94"/>
      <c r="J1085" s="87"/>
    </row>
    <row r="1086">
      <c r="A1086" s="85" t="s">
        <v>20</v>
      </c>
      <c r="B1086" s="114" t="s">
        <v>169</v>
      </c>
      <c r="C1086" s="125">
        <v>4.0</v>
      </c>
      <c r="D1086" s="119" t="s">
        <v>2044</v>
      </c>
      <c r="E1086" s="119" t="s">
        <v>1348</v>
      </c>
      <c r="F1086" s="86"/>
      <c r="G1086" s="100"/>
      <c r="H1086" s="86"/>
      <c r="I1086" s="86"/>
      <c r="J1086" s="87"/>
    </row>
    <row r="1087">
      <c r="A1087" s="93" t="s">
        <v>20</v>
      </c>
      <c r="B1087" s="115" t="s">
        <v>169</v>
      </c>
      <c r="C1087" s="124">
        <v>5.0</v>
      </c>
      <c r="D1087" s="121" t="s">
        <v>2045</v>
      </c>
      <c r="E1087" s="121" t="s">
        <v>1342</v>
      </c>
      <c r="F1087" s="94"/>
      <c r="G1087" s="98"/>
      <c r="H1087" s="94"/>
      <c r="I1087" s="94"/>
      <c r="J1087" s="87"/>
    </row>
    <row r="1088">
      <c r="A1088" s="85" t="s">
        <v>20</v>
      </c>
      <c r="B1088" s="114" t="s">
        <v>169</v>
      </c>
      <c r="C1088" s="125">
        <v>6.0</v>
      </c>
      <c r="D1088" s="119" t="s">
        <v>2046</v>
      </c>
      <c r="E1088" s="119" t="s">
        <v>1350</v>
      </c>
      <c r="F1088" s="86"/>
      <c r="G1088" s="100"/>
      <c r="H1088" s="86"/>
      <c r="I1088" s="86"/>
      <c r="J1088" s="87"/>
    </row>
    <row r="1089">
      <c r="A1089" s="93" t="s">
        <v>20</v>
      </c>
      <c r="B1089" s="115" t="s">
        <v>169</v>
      </c>
      <c r="C1089" s="124">
        <v>7.0</v>
      </c>
      <c r="D1089" s="121" t="s">
        <v>2047</v>
      </c>
      <c r="E1089" s="121" t="s">
        <v>2048</v>
      </c>
      <c r="F1089" s="94"/>
      <c r="G1089" s="98"/>
      <c r="H1089" s="94"/>
      <c r="I1089" s="94"/>
      <c r="J1089" s="87"/>
    </row>
    <row r="1090">
      <c r="A1090" s="85" t="s">
        <v>20</v>
      </c>
      <c r="B1090" s="114" t="s">
        <v>169</v>
      </c>
      <c r="C1090" s="125">
        <v>8.0</v>
      </c>
      <c r="D1090" s="119" t="s">
        <v>2049</v>
      </c>
      <c r="E1090" s="119" t="s">
        <v>2050</v>
      </c>
      <c r="F1090" s="86"/>
      <c r="G1090" s="100"/>
      <c r="H1090" s="86"/>
      <c r="I1090" s="86"/>
      <c r="J1090" s="87"/>
    </row>
    <row r="1091">
      <c r="A1091" s="93" t="s">
        <v>20</v>
      </c>
      <c r="B1091" s="115" t="s">
        <v>169</v>
      </c>
      <c r="C1091" s="124">
        <v>9.0</v>
      </c>
      <c r="D1091" s="121" t="s">
        <v>2051</v>
      </c>
      <c r="E1091" s="121" t="s">
        <v>2050</v>
      </c>
      <c r="F1091" s="94"/>
      <c r="G1091" s="98"/>
      <c r="H1091" s="94"/>
      <c r="I1091" s="94"/>
      <c r="J1091" s="87"/>
    </row>
    <row r="1092">
      <c r="A1092" s="85" t="s">
        <v>20</v>
      </c>
      <c r="B1092" s="114" t="s">
        <v>169</v>
      </c>
      <c r="C1092" s="125">
        <v>10.0</v>
      </c>
      <c r="D1092" s="119" t="s">
        <v>2052</v>
      </c>
      <c r="E1092" s="119" t="s">
        <v>2050</v>
      </c>
      <c r="F1092" s="86"/>
      <c r="G1092" s="100"/>
      <c r="H1092" s="86"/>
      <c r="I1092" s="86"/>
      <c r="J1092" s="87"/>
    </row>
    <row r="1093">
      <c r="A1093" s="93" t="s">
        <v>20</v>
      </c>
      <c r="B1093" s="115" t="s">
        <v>169</v>
      </c>
      <c r="C1093" s="124">
        <v>11.0</v>
      </c>
      <c r="D1093" s="121" t="s">
        <v>2053</v>
      </c>
      <c r="E1093" s="121" t="s">
        <v>1190</v>
      </c>
      <c r="F1093" s="94"/>
      <c r="G1093" s="98"/>
      <c r="H1093" s="94"/>
      <c r="I1093" s="94"/>
      <c r="J1093" s="87"/>
    </row>
    <row r="1094">
      <c r="A1094" s="85" t="s">
        <v>20</v>
      </c>
      <c r="B1094" s="114" t="s">
        <v>169</v>
      </c>
      <c r="C1094" s="125">
        <v>12.0</v>
      </c>
      <c r="D1094" s="119" t="s">
        <v>2054</v>
      </c>
      <c r="E1094" s="119" t="s">
        <v>1257</v>
      </c>
      <c r="F1094" s="86"/>
      <c r="G1094" s="100"/>
      <c r="H1094" s="86"/>
      <c r="I1094" s="86"/>
      <c r="J1094" s="87"/>
    </row>
    <row r="1095">
      <c r="A1095" s="93" t="s">
        <v>20</v>
      </c>
      <c r="B1095" s="115" t="s">
        <v>169</v>
      </c>
      <c r="C1095" s="124">
        <v>13.0</v>
      </c>
      <c r="D1095" s="121" t="s">
        <v>2055</v>
      </c>
      <c r="E1095" s="121" t="s">
        <v>1355</v>
      </c>
      <c r="F1095" s="94"/>
      <c r="G1095" s="98"/>
      <c r="H1095" s="94"/>
      <c r="I1095" s="94"/>
      <c r="J1095" s="87"/>
    </row>
    <row r="1096">
      <c r="A1096" s="85" t="s">
        <v>20</v>
      </c>
      <c r="B1096" s="114" t="s">
        <v>169</v>
      </c>
      <c r="C1096" s="125">
        <v>14.0</v>
      </c>
      <c r="D1096" s="119" t="s">
        <v>2056</v>
      </c>
      <c r="E1096" s="119" t="s">
        <v>1357</v>
      </c>
      <c r="F1096" s="86"/>
      <c r="G1096" s="100"/>
      <c r="H1096" s="86"/>
      <c r="I1096" s="86"/>
      <c r="J1096" s="87"/>
    </row>
    <row r="1097">
      <c r="A1097" s="93" t="s">
        <v>20</v>
      </c>
      <c r="B1097" s="115" t="s">
        <v>169</v>
      </c>
      <c r="C1097" s="124">
        <v>15.0</v>
      </c>
      <c r="D1097" s="121" t="s">
        <v>2057</v>
      </c>
      <c r="E1097" s="121" t="s">
        <v>1359</v>
      </c>
      <c r="F1097" s="94"/>
      <c r="G1097" s="98"/>
      <c r="H1097" s="94"/>
      <c r="I1097" s="94"/>
      <c r="J1097" s="87"/>
    </row>
    <row r="1098">
      <c r="A1098" s="85" t="s">
        <v>20</v>
      </c>
      <c r="B1098" s="114" t="s">
        <v>169</v>
      </c>
      <c r="C1098" s="125">
        <v>16.0</v>
      </c>
      <c r="D1098" s="119" t="s">
        <v>2058</v>
      </c>
      <c r="E1098" s="119" t="s">
        <v>1363</v>
      </c>
      <c r="F1098" s="86"/>
      <c r="G1098" s="100"/>
      <c r="H1098" s="86"/>
      <c r="I1098" s="86"/>
      <c r="J1098" s="87"/>
    </row>
    <row r="1099">
      <c r="A1099" s="93" t="s">
        <v>20</v>
      </c>
      <c r="B1099" s="115" t="s">
        <v>169</v>
      </c>
      <c r="C1099" s="124">
        <v>17.0</v>
      </c>
      <c r="D1099" s="121" t="s">
        <v>2059</v>
      </c>
      <c r="E1099" s="121" t="s">
        <v>1363</v>
      </c>
      <c r="F1099" s="94"/>
      <c r="G1099" s="98"/>
      <c r="H1099" s="94"/>
      <c r="I1099" s="94"/>
      <c r="J1099" s="87"/>
    </row>
    <row r="1100">
      <c r="A1100" s="85" t="s">
        <v>20</v>
      </c>
      <c r="B1100" s="114" t="s">
        <v>169</v>
      </c>
      <c r="C1100" s="125">
        <v>18.0</v>
      </c>
      <c r="D1100" s="119" t="s">
        <v>2060</v>
      </c>
      <c r="E1100" s="119" t="s">
        <v>1201</v>
      </c>
      <c r="F1100" s="86"/>
      <c r="G1100" s="100"/>
      <c r="H1100" s="86"/>
      <c r="I1100" s="86"/>
      <c r="J1100" s="87"/>
    </row>
    <row r="1101">
      <c r="A1101" s="93" t="s">
        <v>20</v>
      </c>
      <c r="B1101" s="115" t="s">
        <v>169</v>
      </c>
      <c r="C1101" s="124">
        <v>19.0</v>
      </c>
      <c r="D1101" s="121" t="s">
        <v>2061</v>
      </c>
      <c r="E1101" s="121" t="s">
        <v>1367</v>
      </c>
      <c r="F1101" s="94"/>
      <c r="G1101" s="98"/>
      <c r="H1101" s="94"/>
      <c r="I1101" s="94"/>
      <c r="J1101" s="87"/>
    </row>
    <row r="1102">
      <c r="A1102" s="85" t="s">
        <v>20</v>
      </c>
      <c r="B1102" s="114" t="s">
        <v>169</v>
      </c>
      <c r="C1102" s="125">
        <v>20.0</v>
      </c>
      <c r="D1102" s="119" t="s">
        <v>2062</v>
      </c>
      <c r="E1102" s="119" t="s">
        <v>2063</v>
      </c>
      <c r="F1102" s="86"/>
      <c r="G1102" s="100"/>
      <c r="H1102" s="86"/>
      <c r="I1102" s="86"/>
      <c r="J1102" s="87"/>
    </row>
    <row r="1103">
      <c r="A1103" s="93" t="s">
        <v>20</v>
      </c>
      <c r="B1103" s="115" t="s">
        <v>169</v>
      </c>
      <c r="C1103" s="124">
        <v>21.0</v>
      </c>
      <c r="D1103" s="121" t="s">
        <v>2064</v>
      </c>
      <c r="E1103" s="121" t="s">
        <v>2065</v>
      </c>
      <c r="F1103" s="94"/>
      <c r="G1103" s="98"/>
      <c r="H1103" s="94"/>
      <c r="I1103" s="94"/>
      <c r="J1103" s="87"/>
    </row>
    <row r="1104">
      <c r="A1104" s="85" t="s">
        <v>20</v>
      </c>
      <c r="B1104" s="114" t="s">
        <v>169</v>
      </c>
      <c r="C1104" s="125">
        <v>22.0</v>
      </c>
      <c r="D1104" s="119" t="s">
        <v>2066</v>
      </c>
      <c r="E1104" s="119" t="s">
        <v>1285</v>
      </c>
      <c r="F1104" s="86"/>
      <c r="G1104" s="100"/>
      <c r="H1104" s="86"/>
      <c r="I1104" s="86"/>
      <c r="J1104" s="87"/>
    </row>
    <row r="1105">
      <c r="A1105" s="93" t="s">
        <v>20</v>
      </c>
      <c r="B1105" s="115" t="s">
        <v>169</v>
      </c>
      <c r="C1105" s="124">
        <v>23.0</v>
      </c>
      <c r="D1105" s="121" t="s">
        <v>2067</v>
      </c>
      <c r="E1105" s="121" t="s">
        <v>2068</v>
      </c>
      <c r="F1105" s="94"/>
      <c r="G1105" s="98"/>
      <c r="H1105" s="94"/>
      <c r="I1105" s="94"/>
      <c r="J1105" s="87"/>
    </row>
    <row r="1106">
      <c r="A1106" s="85" t="s">
        <v>20</v>
      </c>
      <c r="B1106" s="114" t="s">
        <v>169</v>
      </c>
      <c r="C1106" s="125">
        <v>24.0</v>
      </c>
      <c r="D1106" s="119" t="s">
        <v>2069</v>
      </c>
      <c r="E1106" s="119" t="s">
        <v>1291</v>
      </c>
      <c r="F1106" s="86"/>
      <c r="G1106" s="100"/>
      <c r="H1106" s="86"/>
      <c r="I1106" s="86"/>
      <c r="J1106" s="87"/>
    </row>
    <row r="1107">
      <c r="A1107" s="93" t="s">
        <v>20</v>
      </c>
      <c r="B1107" s="115" t="s">
        <v>169</v>
      </c>
      <c r="C1107" s="124">
        <v>25.0</v>
      </c>
      <c r="D1107" s="121" t="s">
        <v>2070</v>
      </c>
      <c r="E1107" s="121" t="s">
        <v>1371</v>
      </c>
      <c r="F1107" s="94"/>
      <c r="G1107" s="98"/>
      <c r="H1107" s="94"/>
      <c r="I1107" s="94"/>
      <c r="J1107" s="87"/>
    </row>
    <row r="1108">
      <c r="A1108" s="85" t="s">
        <v>20</v>
      </c>
      <c r="B1108" s="114" t="s">
        <v>169</v>
      </c>
      <c r="C1108" s="125">
        <v>26.0</v>
      </c>
      <c r="D1108" s="119" t="s">
        <v>2071</v>
      </c>
      <c r="E1108" s="119" t="s">
        <v>2072</v>
      </c>
      <c r="F1108" s="86"/>
      <c r="G1108" s="100"/>
      <c r="H1108" s="86"/>
      <c r="I1108" s="86"/>
      <c r="J1108" s="87"/>
    </row>
    <row r="1109">
      <c r="A1109" s="93" t="s">
        <v>20</v>
      </c>
      <c r="B1109" s="115" t="s">
        <v>169</v>
      </c>
      <c r="C1109" s="124">
        <v>27.0</v>
      </c>
      <c r="D1109" s="121" t="s">
        <v>2073</v>
      </c>
      <c r="E1109" s="121" t="s">
        <v>2074</v>
      </c>
      <c r="F1109" s="94"/>
      <c r="G1109" s="98"/>
      <c r="H1109" s="94"/>
      <c r="I1109" s="94"/>
      <c r="J1109" s="87"/>
    </row>
    <row r="1110">
      <c r="A1110" s="85" t="s">
        <v>20</v>
      </c>
      <c r="B1110" s="114" t="s">
        <v>169</v>
      </c>
      <c r="C1110" s="125">
        <v>28.0</v>
      </c>
      <c r="D1110" s="119" t="s">
        <v>2075</v>
      </c>
      <c r="E1110" s="119" t="s">
        <v>2076</v>
      </c>
      <c r="F1110" s="86"/>
      <c r="G1110" s="100"/>
      <c r="H1110" s="86"/>
      <c r="I1110" s="86"/>
      <c r="J1110" s="87"/>
    </row>
    <row r="1111">
      <c r="A1111" s="93" t="s">
        <v>20</v>
      </c>
      <c r="B1111" s="115" t="s">
        <v>169</v>
      </c>
      <c r="C1111" s="124">
        <v>29.0</v>
      </c>
      <c r="D1111" s="121" t="s">
        <v>2077</v>
      </c>
      <c r="E1111" s="121" t="s">
        <v>2078</v>
      </c>
      <c r="F1111" s="94"/>
      <c r="G1111" s="98"/>
      <c r="H1111" s="94"/>
      <c r="I1111" s="94"/>
      <c r="J1111" s="87"/>
    </row>
    <row r="1112">
      <c r="A1112" s="85" t="s">
        <v>20</v>
      </c>
      <c r="B1112" s="114" t="s">
        <v>169</v>
      </c>
      <c r="C1112" s="125">
        <v>30.0</v>
      </c>
      <c r="D1112" s="119" t="s">
        <v>2079</v>
      </c>
      <c r="E1112" s="119" t="s">
        <v>2080</v>
      </c>
      <c r="F1112" s="86"/>
      <c r="G1112" s="100"/>
      <c r="H1112" s="86"/>
      <c r="I1112" s="86"/>
      <c r="J1112" s="87"/>
    </row>
    <row r="1113">
      <c r="A1113" s="93" t="s">
        <v>20</v>
      </c>
      <c r="B1113" s="115" t="s">
        <v>169</v>
      </c>
      <c r="C1113" s="124">
        <v>31.0</v>
      </c>
      <c r="D1113" s="121" t="s">
        <v>2081</v>
      </c>
      <c r="E1113" s="121" t="s">
        <v>1905</v>
      </c>
      <c r="F1113" s="94"/>
      <c r="G1113" s="98"/>
      <c r="H1113" s="94"/>
      <c r="I1113" s="94"/>
      <c r="J1113" s="87"/>
    </row>
    <row r="1114">
      <c r="A1114" s="85" t="s">
        <v>20</v>
      </c>
      <c r="B1114" s="114" t="s">
        <v>2082</v>
      </c>
      <c r="C1114" s="125">
        <v>2.0</v>
      </c>
      <c r="D1114" s="119" t="s">
        <v>2083</v>
      </c>
      <c r="E1114" s="119" t="s">
        <v>2084</v>
      </c>
      <c r="F1114" s="86"/>
      <c r="G1114" s="100"/>
      <c r="H1114" s="86"/>
      <c r="I1114" s="86"/>
      <c r="J1114" s="87"/>
    </row>
    <row r="1115">
      <c r="A1115" s="93" t="s">
        <v>20</v>
      </c>
      <c r="B1115" s="115" t="s">
        <v>2082</v>
      </c>
      <c r="C1115" s="124">
        <v>3.0</v>
      </c>
      <c r="D1115" s="121" t="s">
        <v>2085</v>
      </c>
      <c r="E1115" s="121" t="s">
        <v>2086</v>
      </c>
      <c r="F1115" s="94"/>
      <c r="G1115" s="98"/>
      <c r="H1115" s="94"/>
      <c r="I1115" s="94"/>
      <c r="J1115" s="87"/>
    </row>
    <row r="1116">
      <c r="A1116" s="85" t="s">
        <v>20</v>
      </c>
      <c r="B1116" s="114" t="s">
        <v>2082</v>
      </c>
      <c r="C1116" s="125">
        <v>40.0</v>
      </c>
      <c r="D1116" s="119" t="s">
        <v>2087</v>
      </c>
      <c r="E1116" s="119" t="s">
        <v>1542</v>
      </c>
      <c r="F1116" s="86"/>
      <c r="G1116" s="100"/>
      <c r="H1116" s="86"/>
      <c r="I1116" s="86"/>
      <c r="J1116" s="87"/>
    </row>
    <row r="1117">
      <c r="A1117" s="93" t="s">
        <v>20</v>
      </c>
      <c r="B1117" s="115" t="s">
        <v>2082</v>
      </c>
      <c r="C1117" s="124">
        <v>41.0</v>
      </c>
      <c r="D1117" s="121" t="s">
        <v>2088</v>
      </c>
      <c r="E1117" s="121" t="s">
        <v>2089</v>
      </c>
      <c r="F1117" s="94"/>
      <c r="G1117" s="98"/>
      <c r="H1117" s="94"/>
      <c r="I1117" s="94"/>
      <c r="J1117" s="87"/>
    </row>
    <row r="1118">
      <c r="A1118" s="85" t="s">
        <v>20</v>
      </c>
      <c r="B1118" s="114" t="s">
        <v>2082</v>
      </c>
      <c r="C1118" s="125">
        <v>42.0</v>
      </c>
      <c r="D1118" s="119" t="s">
        <v>2090</v>
      </c>
      <c r="E1118" s="119" t="s">
        <v>1542</v>
      </c>
      <c r="F1118" s="86"/>
      <c r="G1118" s="100"/>
      <c r="H1118" s="86"/>
      <c r="I1118" s="86"/>
      <c r="J1118" s="87"/>
    </row>
    <row r="1119">
      <c r="A1119" s="93" t="s">
        <v>20</v>
      </c>
      <c r="B1119" s="115" t="s">
        <v>2082</v>
      </c>
      <c r="C1119" s="124">
        <v>44.0</v>
      </c>
      <c r="D1119" s="121" t="s">
        <v>2091</v>
      </c>
      <c r="E1119" s="121" t="s">
        <v>1542</v>
      </c>
      <c r="F1119" s="94"/>
      <c r="G1119" s="98"/>
      <c r="H1119" s="94"/>
      <c r="I1119" s="94"/>
      <c r="J1119" s="87"/>
    </row>
    <row r="1120">
      <c r="A1120" s="85" t="s">
        <v>20</v>
      </c>
      <c r="B1120" s="114" t="s">
        <v>2082</v>
      </c>
      <c r="C1120" s="125">
        <v>46.0</v>
      </c>
      <c r="D1120" s="119" t="s">
        <v>2092</v>
      </c>
      <c r="E1120" s="119" t="s">
        <v>1542</v>
      </c>
      <c r="F1120" s="86"/>
      <c r="G1120" s="100"/>
      <c r="H1120" s="86"/>
      <c r="I1120" s="86"/>
      <c r="J1120" s="87"/>
    </row>
    <row r="1121">
      <c r="A1121" s="93" t="s">
        <v>20</v>
      </c>
      <c r="B1121" s="115" t="s">
        <v>2082</v>
      </c>
      <c r="C1121" s="124">
        <v>48.0</v>
      </c>
      <c r="D1121" s="121" t="s">
        <v>2093</v>
      </c>
      <c r="E1121" s="121" t="s">
        <v>1542</v>
      </c>
      <c r="F1121" s="94"/>
      <c r="G1121" s="98"/>
      <c r="H1121" s="94"/>
      <c r="I1121" s="94"/>
      <c r="J1121" s="87"/>
    </row>
    <row r="1122">
      <c r="A1122" s="85" t="s">
        <v>20</v>
      </c>
      <c r="B1122" s="114" t="s">
        <v>2082</v>
      </c>
      <c r="C1122" s="125">
        <v>49.0</v>
      </c>
      <c r="D1122" s="119" t="s">
        <v>2094</v>
      </c>
      <c r="E1122" s="119" t="s">
        <v>1550</v>
      </c>
      <c r="F1122" s="86"/>
      <c r="G1122" s="100"/>
      <c r="H1122" s="86"/>
      <c r="I1122" s="86"/>
      <c r="J1122" s="87"/>
    </row>
    <row r="1123">
      <c r="A1123" s="93" t="s">
        <v>20</v>
      </c>
      <c r="B1123" s="115" t="s">
        <v>2082</v>
      </c>
      <c r="C1123" s="124">
        <v>50.0</v>
      </c>
      <c r="D1123" s="121" t="s">
        <v>2095</v>
      </c>
      <c r="E1123" s="121" t="s">
        <v>1542</v>
      </c>
      <c r="F1123" s="94"/>
      <c r="G1123" s="98"/>
      <c r="H1123" s="94"/>
      <c r="I1123" s="94"/>
      <c r="J1123" s="87"/>
    </row>
    <row r="1124">
      <c r="A1124" s="85" t="s">
        <v>20</v>
      </c>
      <c r="B1124" s="114" t="s">
        <v>2082</v>
      </c>
      <c r="C1124" s="125">
        <v>52.0</v>
      </c>
      <c r="D1124" s="119" t="s">
        <v>2096</v>
      </c>
      <c r="E1124" s="119" t="s">
        <v>1542</v>
      </c>
      <c r="F1124" s="86"/>
      <c r="G1124" s="100"/>
      <c r="H1124" s="86"/>
      <c r="I1124" s="86"/>
      <c r="J1124" s="87"/>
    </row>
    <row r="1125">
      <c r="A1125" s="93" t="s">
        <v>20</v>
      </c>
      <c r="B1125" s="115" t="s">
        <v>2082</v>
      </c>
      <c r="C1125" s="124">
        <v>59.0</v>
      </c>
      <c r="D1125" s="121" t="s">
        <v>2097</v>
      </c>
      <c r="E1125" s="121" t="s">
        <v>1542</v>
      </c>
      <c r="F1125" s="94"/>
      <c r="G1125" s="98"/>
      <c r="H1125" s="94"/>
      <c r="I1125" s="94"/>
      <c r="J1125" s="87"/>
    </row>
    <row r="1126">
      <c r="A1126" s="85" t="s">
        <v>20</v>
      </c>
      <c r="B1126" s="114" t="s">
        <v>2082</v>
      </c>
      <c r="C1126" s="125">
        <v>63.0</v>
      </c>
      <c r="D1126" s="119" t="s">
        <v>2098</v>
      </c>
      <c r="E1126" s="119" t="s">
        <v>1542</v>
      </c>
      <c r="F1126" s="86"/>
      <c r="G1126" s="100"/>
      <c r="H1126" s="86"/>
      <c r="I1126" s="86"/>
      <c r="J1126" s="87"/>
    </row>
    <row r="1127">
      <c r="A1127" s="93" t="s">
        <v>20</v>
      </c>
      <c r="B1127" s="115" t="s">
        <v>178</v>
      </c>
      <c r="C1127" s="124">
        <v>1.0</v>
      </c>
      <c r="D1127" s="121" t="s">
        <v>2099</v>
      </c>
      <c r="E1127" s="121" t="s">
        <v>2100</v>
      </c>
      <c r="F1127" s="94"/>
      <c r="G1127" s="98"/>
      <c r="H1127" s="94"/>
      <c r="I1127" s="94"/>
      <c r="J1127" s="87"/>
    </row>
    <row r="1128">
      <c r="A1128" s="85" t="s">
        <v>20</v>
      </c>
      <c r="B1128" s="114" t="s">
        <v>178</v>
      </c>
      <c r="C1128" s="125">
        <v>2.0</v>
      </c>
      <c r="D1128" s="119" t="s">
        <v>2101</v>
      </c>
      <c r="E1128" s="119" t="s">
        <v>2102</v>
      </c>
      <c r="F1128" s="86"/>
      <c r="G1128" s="100"/>
      <c r="H1128" s="86"/>
      <c r="I1128" s="86"/>
      <c r="J1128" s="87"/>
    </row>
    <row r="1129">
      <c r="A1129" s="93" t="s">
        <v>20</v>
      </c>
      <c r="B1129" s="115" t="s">
        <v>178</v>
      </c>
      <c r="C1129" s="124">
        <v>3.0</v>
      </c>
      <c r="D1129" s="121" t="s">
        <v>2103</v>
      </c>
      <c r="E1129" s="121" t="s">
        <v>2104</v>
      </c>
      <c r="F1129" s="94"/>
      <c r="G1129" s="98"/>
      <c r="H1129" s="94"/>
      <c r="I1129" s="94"/>
      <c r="J1129" s="87"/>
    </row>
    <row r="1130">
      <c r="A1130" s="85" t="s">
        <v>20</v>
      </c>
      <c r="B1130" s="114" t="s">
        <v>178</v>
      </c>
      <c r="C1130" s="125">
        <v>4.0</v>
      </c>
      <c r="D1130" s="119" t="s">
        <v>2105</v>
      </c>
      <c r="E1130" s="119" t="s">
        <v>2106</v>
      </c>
      <c r="F1130" s="86"/>
      <c r="G1130" s="100"/>
      <c r="H1130" s="86"/>
      <c r="I1130" s="86"/>
      <c r="J1130" s="87"/>
    </row>
    <row r="1131">
      <c r="A1131" s="93" t="s">
        <v>20</v>
      </c>
      <c r="B1131" s="115" t="s">
        <v>178</v>
      </c>
      <c r="C1131" s="124">
        <v>5.0</v>
      </c>
      <c r="D1131" s="121" t="s">
        <v>2107</v>
      </c>
      <c r="E1131" s="121" t="s">
        <v>2108</v>
      </c>
      <c r="F1131" s="94"/>
      <c r="G1131" s="98"/>
      <c r="H1131" s="94"/>
      <c r="I1131" s="94"/>
      <c r="J1131" s="87"/>
    </row>
    <row r="1132">
      <c r="A1132" s="85" t="s">
        <v>20</v>
      </c>
      <c r="B1132" s="114" t="s">
        <v>178</v>
      </c>
      <c r="C1132" s="125">
        <v>6.0</v>
      </c>
      <c r="D1132" s="119" t="s">
        <v>2109</v>
      </c>
      <c r="E1132" s="119" t="s">
        <v>2110</v>
      </c>
      <c r="F1132" s="86"/>
      <c r="G1132" s="100"/>
      <c r="H1132" s="86"/>
      <c r="I1132" s="86"/>
      <c r="J1132" s="87"/>
    </row>
    <row r="1133">
      <c r="A1133" s="93" t="s">
        <v>20</v>
      </c>
      <c r="B1133" s="115" t="s">
        <v>178</v>
      </c>
      <c r="C1133" s="124">
        <v>7.0</v>
      </c>
      <c r="D1133" s="121" t="s">
        <v>2111</v>
      </c>
      <c r="E1133" s="121" t="s">
        <v>2112</v>
      </c>
      <c r="F1133" s="94"/>
      <c r="G1133" s="98"/>
      <c r="H1133" s="94"/>
      <c r="I1133" s="94"/>
      <c r="J1133" s="87"/>
    </row>
    <row r="1134">
      <c r="A1134" s="85" t="s">
        <v>20</v>
      </c>
      <c r="B1134" s="114" t="s">
        <v>178</v>
      </c>
      <c r="C1134" s="125">
        <v>8.0</v>
      </c>
      <c r="D1134" s="119" t="s">
        <v>2113</v>
      </c>
      <c r="E1134" s="119" t="s">
        <v>2114</v>
      </c>
      <c r="F1134" s="86"/>
      <c r="G1134" s="100"/>
      <c r="H1134" s="86"/>
      <c r="I1134" s="86"/>
      <c r="J1134" s="87"/>
    </row>
    <row r="1135">
      <c r="A1135" s="93" t="s">
        <v>20</v>
      </c>
      <c r="B1135" s="115" t="s">
        <v>178</v>
      </c>
      <c r="C1135" s="124">
        <v>9.0</v>
      </c>
      <c r="D1135" s="121" t="s">
        <v>2115</v>
      </c>
      <c r="E1135" s="121" t="s">
        <v>2116</v>
      </c>
      <c r="F1135" s="94"/>
      <c r="G1135" s="98"/>
      <c r="H1135" s="94"/>
      <c r="I1135" s="94"/>
      <c r="J1135" s="87"/>
    </row>
    <row r="1136">
      <c r="A1136" s="85" t="s">
        <v>20</v>
      </c>
      <c r="B1136" s="114" t="s">
        <v>178</v>
      </c>
      <c r="C1136" s="125">
        <v>10.0</v>
      </c>
      <c r="D1136" s="119" t="s">
        <v>2117</v>
      </c>
      <c r="E1136" s="119" t="s">
        <v>2118</v>
      </c>
      <c r="F1136" s="86"/>
      <c r="G1136" s="100"/>
      <c r="H1136" s="86"/>
      <c r="I1136" s="86"/>
      <c r="J1136" s="87"/>
    </row>
    <row r="1137">
      <c r="A1137" s="93" t="s">
        <v>20</v>
      </c>
      <c r="B1137" s="115" t="s">
        <v>178</v>
      </c>
      <c r="C1137" s="124">
        <v>12.0</v>
      </c>
      <c r="D1137" s="121" t="s">
        <v>2119</v>
      </c>
      <c r="E1137" s="121" t="s">
        <v>2120</v>
      </c>
      <c r="F1137" s="94"/>
      <c r="G1137" s="98"/>
      <c r="H1137" s="94"/>
      <c r="I1137" s="94"/>
      <c r="J1137" s="87"/>
    </row>
    <row r="1138">
      <c r="A1138" s="85" t="s">
        <v>20</v>
      </c>
      <c r="B1138" s="114" t="s">
        <v>178</v>
      </c>
      <c r="C1138" s="125">
        <v>13.0</v>
      </c>
      <c r="D1138" s="119" t="s">
        <v>2121</v>
      </c>
      <c r="E1138" s="119" t="s">
        <v>2122</v>
      </c>
      <c r="F1138" s="86"/>
      <c r="G1138" s="100"/>
      <c r="H1138" s="86"/>
      <c r="I1138" s="86"/>
      <c r="J1138" s="87"/>
    </row>
    <row r="1139">
      <c r="A1139" s="93" t="s">
        <v>20</v>
      </c>
      <c r="B1139" s="115" t="s">
        <v>178</v>
      </c>
      <c r="C1139" s="124">
        <v>14.0</v>
      </c>
      <c r="D1139" s="121" t="s">
        <v>2123</v>
      </c>
      <c r="E1139" s="121" t="s">
        <v>2124</v>
      </c>
      <c r="F1139" s="94"/>
      <c r="G1139" s="98"/>
      <c r="H1139" s="94"/>
      <c r="I1139" s="94"/>
      <c r="J1139" s="87"/>
    </row>
    <row r="1140">
      <c r="A1140" s="85" t="s">
        <v>20</v>
      </c>
      <c r="B1140" s="114" t="s">
        <v>178</v>
      </c>
      <c r="C1140" s="125">
        <v>15.0</v>
      </c>
      <c r="D1140" s="119" t="s">
        <v>2125</v>
      </c>
      <c r="E1140" s="119" t="s">
        <v>2126</v>
      </c>
      <c r="F1140" s="86"/>
      <c r="G1140" s="100"/>
      <c r="H1140" s="86"/>
      <c r="I1140" s="86"/>
      <c r="J1140" s="87"/>
    </row>
    <row r="1141">
      <c r="A1141" s="93" t="s">
        <v>20</v>
      </c>
      <c r="B1141" s="115" t="s">
        <v>178</v>
      </c>
      <c r="C1141" s="124">
        <v>16.0</v>
      </c>
      <c r="D1141" s="121" t="s">
        <v>2127</v>
      </c>
      <c r="E1141" s="121" t="s">
        <v>2126</v>
      </c>
      <c r="F1141" s="94"/>
      <c r="G1141" s="98"/>
      <c r="H1141" s="94"/>
      <c r="I1141" s="94"/>
      <c r="J1141" s="87"/>
    </row>
    <row r="1142">
      <c r="A1142" s="85" t="s">
        <v>20</v>
      </c>
      <c r="B1142" s="114" t="s">
        <v>178</v>
      </c>
      <c r="C1142" s="125">
        <v>17.0</v>
      </c>
      <c r="D1142" s="119" t="s">
        <v>2128</v>
      </c>
      <c r="E1142" s="119" t="s">
        <v>2129</v>
      </c>
      <c r="F1142" s="86"/>
      <c r="G1142" s="100"/>
      <c r="H1142" s="86"/>
      <c r="I1142" s="86"/>
      <c r="J1142" s="87"/>
    </row>
    <row r="1143">
      <c r="A1143" s="93" t="s">
        <v>20</v>
      </c>
      <c r="B1143" s="115" t="s">
        <v>178</v>
      </c>
      <c r="C1143" s="124">
        <v>18.0</v>
      </c>
      <c r="D1143" s="121" t="s">
        <v>2130</v>
      </c>
      <c r="E1143" s="121" t="s">
        <v>2131</v>
      </c>
      <c r="F1143" s="94"/>
      <c r="G1143" s="98"/>
      <c r="H1143" s="94"/>
      <c r="I1143" s="94"/>
      <c r="J1143" s="87"/>
    </row>
    <row r="1144">
      <c r="A1144" s="85" t="s">
        <v>20</v>
      </c>
      <c r="B1144" s="114" t="s">
        <v>178</v>
      </c>
      <c r="C1144" s="125">
        <v>19.0</v>
      </c>
      <c r="D1144" s="119" t="s">
        <v>2132</v>
      </c>
      <c r="E1144" s="119" t="s">
        <v>2133</v>
      </c>
      <c r="F1144" s="86"/>
      <c r="G1144" s="100"/>
      <c r="H1144" s="86"/>
      <c r="I1144" s="86"/>
      <c r="J1144" s="87"/>
    </row>
    <row r="1145">
      <c r="A1145" s="93" t="s">
        <v>20</v>
      </c>
      <c r="B1145" s="115" t="s">
        <v>178</v>
      </c>
      <c r="C1145" s="124">
        <v>20.0</v>
      </c>
      <c r="D1145" s="121" t="s">
        <v>2134</v>
      </c>
      <c r="E1145" s="121" t="s">
        <v>2135</v>
      </c>
      <c r="F1145" s="94"/>
      <c r="G1145" s="98"/>
      <c r="H1145" s="94"/>
      <c r="I1145" s="94"/>
      <c r="J1145" s="87"/>
    </row>
    <row r="1146">
      <c r="A1146" s="85" t="s">
        <v>20</v>
      </c>
      <c r="B1146" s="114" t="s">
        <v>178</v>
      </c>
      <c r="C1146" s="125">
        <v>21.0</v>
      </c>
      <c r="D1146" s="119" t="s">
        <v>2136</v>
      </c>
      <c r="E1146" s="119" t="s">
        <v>2137</v>
      </c>
      <c r="F1146" s="86"/>
      <c r="G1146" s="100"/>
      <c r="H1146" s="86"/>
      <c r="I1146" s="86"/>
      <c r="J1146" s="87"/>
    </row>
    <row r="1147">
      <c r="A1147" s="93" t="s">
        <v>20</v>
      </c>
      <c r="B1147" s="115" t="s">
        <v>178</v>
      </c>
      <c r="C1147" s="124">
        <v>22.0</v>
      </c>
      <c r="D1147" s="121" t="s">
        <v>2138</v>
      </c>
      <c r="E1147" s="121" t="s">
        <v>2139</v>
      </c>
      <c r="F1147" s="94"/>
      <c r="G1147" s="98"/>
      <c r="H1147" s="94"/>
      <c r="I1147" s="94"/>
      <c r="J1147" s="87"/>
    </row>
    <row r="1148">
      <c r="A1148" s="85" t="s">
        <v>20</v>
      </c>
      <c r="B1148" s="114" t="s">
        <v>178</v>
      </c>
      <c r="C1148" s="125">
        <v>23.0</v>
      </c>
      <c r="D1148" s="119" t="s">
        <v>2140</v>
      </c>
      <c r="E1148" s="119" t="s">
        <v>2141</v>
      </c>
      <c r="F1148" s="86"/>
      <c r="G1148" s="100"/>
      <c r="H1148" s="86"/>
      <c r="I1148" s="86"/>
      <c r="J1148" s="87"/>
    </row>
    <row r="1149">
      <c r="A1149" s="93" t="s">
        <v>20</v>
      </c>
      <c r="B1149" s="115" t="s">
        <v>178</v>
      </c>
      <c r="C1149" s="124">
        <v>24.0</v>
      </c>
      <c r="D1149" s="121" t="s">
        <v>2142</v>
      </c>
      <c r="E1149" s="121" t="s">
        <v>2143</v>
      </c>
      <c r="F1149" s="94"/>
      <c r="G1149" s="98"/>
      <c r="H1149" s="94"/>
      <c r="I1149" s="94"/>
      <c r="J1149" s="87"/>
    </row>
    <row r="1150">
      <c r="A1150" s="85" t="s">
        <v>20</v>
      </c>
      <c r="B1150" s="114" t="s">
        <v>178</v>
      </c>
      <c r="C1150" s="125">
        <v>25.0</v>
      </c>
      <c r="D1150" s="119" t="s">
        <v>2144</v>
      </c>
      <c r="E1150" s="119" t="s">
        <v>2145</v>
      </c>
      <c r="F1150" s="86"/>
      <c r="G1150" s="100"/>
      <c r="H1150" s="86"/>
      <c r="I1150" s="86"/>
      <c r="J1150" s="87"/>
    </row>
    <row r="1151">
      <c r="A1151" s="93" t="s">
        <v>20</v>
      </c>
      <c r="B1151" s="115" t="s">
        <v>178</v>
      </c>
      <c r="C1151" s="124">
        <v>26.0</v>
      </c>
      <c r="D1151" s="121" t="s">
        <v>2146</v>
      </c>
      <c r="E1151" s="121" t="s">
        <v>2147</v>
      </c>
      <c r="F1151" s="94"/>
      <c r="G1151" s="98"/>
      <c r="H1151" s="94"/>
      <c r="I1151" s="94"/>
      <c r="J1151" s="87"/>
    </row>
    <row r="1152">
      <c r="A1152" s="85" t="s">
        <v>20</v>
      </c>
      <c r="B1152" s="114" t="s">
        <v>178</v>
      </c>
      <c r="C1152" s="125">
        <v>27.0</v>
      </c>
      <c r="D1152" s="119" t="s">
        <v>2148</v>
      </c>
      <c r="E1152" s="119" t="s">
        <v>2149</v>
      </c>
      <c r="F1152" s="86"/>
      <c r="G1152" s="100"/>
      <c r="H1152" s="86"/>
      <c r="I1152" s="86"/>
      <c r="J1152" s="87"/>
    </row>
    <row r="1153">
      <c r="A1153" s="93" t="s">
        <v>20</v>
      </c>
      <c r="B1153" s="115" t="s">
        <v>178</v>
      </c>
      <c r="C1153" s="124">
        <v>28.0</v>
      </c>
      <c r="D1153" s="121" t="s">
        <v>2150</v>
      </c>
      <c r="E1153" s="121" t="s">
        <v>2151</v>
      </c>
      <c r="F1153" s="94"/>
      <c r="G1153" s="98"/>
      <c r="H1153" s="94"/>
      <c r="I1153" s="94"/>
      <c r="J1153" s="87"/>
    </row>
    <row r="1154">
      <c r="A1154" s="85" t="s">
        <v>20</v>
      </c>
      <c r="B1154" s="114" t="s">
        <v>178</v>
      </c>
      <c r="C1154" s="125">
        <v>29.0</v>
      </c>
      <c r="D1154" s="119" t="s">
        <v>2152</v>
      </c>
      <c r="E1154" s="119" t="s">
        <v>2153</v>
      </c>
      <c r="F1154" s="86"/>
      <c r="G1154" s="100"/>
      <c r="H1154" s="86"/>
      <c r="I1154" s="86"/>
      <c r="J1154" s="87"/>
    </row>
    <row r="1155">
      <c r="A1155" s="93" t="s">
        <v>20</v>
      </c>
      <c r="B1155" s="115" t="s">
        <v>178</v>
      </c>
      <c r="C1155" s="124">
        <v>30.0</v>
      </c>
      <c r="D1155" s="121" t="s">
        <v>2154</v>
      </c>
      <c r="E1155" s="121" t="s">
        <v>2155</v>
      </c>
      <c r="F1155" s="94"/>
      <c r="G1155" s="98"/>
      <c r="H1155" s="94"/>
      <c r="I1155" s="94"/>
      <c r="J1155" s="87"/>
    </row>
    <row r="1156">
      <c r="A1156" s="85" t="s">
        <v>20</v>
      </c>
      <c r="B1156" s="114" t="s">
        <v>178</v>
      </c>
      <c r="C1156" s="125">
        <v>33.0</v>
      </c>
      <c r="D1156" s="119" t="s">
        <v>2156</v>
      </c>
      <c r="E1156" s="119" t="s">
        <v>2157</v>
      </c>
      <c r="F1156" s="86"/>
      <c r="G1156" s="100"/>
      <c r="H1156" s="86"/>
      <c r="I1156" s="86"/>
      <c r="J1156" s="87"/>
    </row>
    <row r="1157">
      <c r="A1157" s="93" t="s">
        <v>20</v>
      </c>
      <c r="B1157" s="115" t="s">
        <v>178</v>
      </c>
      <c r="C1157" s="124">
        <v>34.0</v>
      </c>
      <c r="D1157" s="121" t="s">
        <v>2128</v>
      </c>
      <c r="E1157" s="121" t="s">
        <v>2129</v>
      </c>
      <c r="F1157" s="94"/>
      <c r="G1157" s="98"/>
      <c r="H1157" s="94"/>
      <c r="I1157" s="94"/>
      <c r="J1157" s="87"/>
    </row>
    <row r="1158">
      <c r="A1158" s="85" t="s">
        <v>20</v>
      </c>
      <c r="B1158" s="114" t="s">
        <v>178</v>
      </c>
      <c r="C1158" s="125">
        <v>35.0</v>
      </c>
      <c r="D1158" s="119" t="s">
        <v>2158</v>
      </c>
      <c r="E1158" s="119" t="s">
        <v>2159</v>
      </c>
      <c r="F1158" s="86"/>
      <c r="G1158" s="100"/>
      <c r="H1158" s="86"/>
      <c r="I1158" s="86"/>
      <c r="J1158" s="87"/>
    </row>
    <row r="1159">
      <c r="A1159" s="93" t="s">
        <v>20</v>
      </c>
      <c r="B1159" s="115" t="s">
        <v>178</v>
      </c>
      <c r="C1159" s="124">
        <v>36.0</v>
      </c>
      <c r="D1159" s="121" t="s">
        <v>2160</v>
      </c>
      <c r="E1159" s="121" t="s">
        <v>2159</v>
      </c>
      <c r="F1159" s="94"/>
      <c r="G1159" s="98"/>
      <c r="H1159" s="94"/>
      <c r="I1159" s="94"/>
      <c r="J1159" s="87"/>
    </row>
    <row r="1160">
      <c r="A1160" s="85" t="s">
        <v>20</v>
      </c>
      <c r="B1160" s="114" t="s">
        <v>178</v>
      </c>
      <c r="C1160" s="125">
        <v>37.0</v>
      </c>
      <c r="D1160" s="119" t="s">
        <v>2161</v>
      </c>
      <c r="E1160" s="119" t="s">
        <v>2159</v>
      </c>
      <c r="F1160" s="86"/>
      <c r="G1160" s="100"/>
      <c r="H1160" s="86"/>
      <c r="I1160" s="86"/>
      <c r="J1160" s="87"/>
    </row>
    <row r="1161">
      <c r="A1161" s="93" t="s">
        <v>20</v>
      </c>
      <c r="B1161" s="115" t="s">
        <v>178</v>
      </c>
      <c r="C1161" s="124">
        <v>38.0</v>
      </c>
      <c r="D1161" s="121" t="s">
        <v>2162</v>
      </c>
      <c r="E1161" s="121" t="s">
        <v>2159</v>
      </c>
      <c r="F1161" s="94"/>
      <c r="G1161" s="98"/>
      <c r="H1161" s="94"/>
      <c r="I1161" s="94"/>
      <c r="J1161" s="87"/>
    </row>
    <row r="1162">
      <c r="A1162" s="85" t="s">
        <v>20</v>
      </c>
      <c r="B1162" s="114" t="s">
        <v>178</v>
      </c>
      <c r="C1162" s="125">
        <v>39.0</v>
      </c>
      <c r="D1162" s="119" t="s">
        <v>2163</v>
      </c>
      <c r="E1162" s="119" t="s">
        <v>2164</v>
      </c>
      <c r="F1162" s="86"/>
      <c r="G1162" s="100"/>
      <c r="H1162" s="86"/>
      <c r="I1162" s="86"/>
      <c r="J1162" s="87"/>
    </row>
    <row r="1163">
      <c r="A1163" s="93" t="s">
        <v>20</v>
      </c>
      <c r="B1163" s="115" t="s">
        <v>186</v>
      </c>
      <c r="C1163" s="124">
        <v>2.0</v>
      </c>
      <c r="D1163" s="121" t="s">
        <v>2165</v>
      </c>
      <c r="E1163" s="121" t="s">
        <v>2166</v>
      </c>
      <c r="F1163" s="94"/>
      <c r="G1163" s="98"/>
      <c r="H1163" s="94"/>
      <c r="I1163" s="94"/>
      <c r="J1163" s="87"/>
    </row>
    <row r="1164">
      <c r="A1164" s="85" t="s">
        <v>20</v>
      </c>
      <c r="B1164" s="114" t="s">
        <v>186</v>
      </c>
      <c r="C1164" s="125">
        <v>3.0</v>
      </c>
      <c r="D1164" s="119" t="s">
        <v>2167</v>
      </c>
      <c r="E1164" s="119" t="s">
        <v>2043</v>
      </c>
      <c r="F1164" s="86"/>
      <c r="G1164" s="100"/>
      <c r="H1164" s="86"/>
      <c r="I1164" s="86"/>
      <c r="J1164" s="87"/>
    </row>
    <row r="1165">
      <c r="A1165" s="93" t="s">
        <v>20</v>
      </c>
      <c r="B1165" s="115" t="s">
        <v>186</v>
      </c>
      <c r="C1165" s="124">
        <v>4.0</v>
      </c>
      <c r="D1165" s="121" t="s">
        <v>2168</v>
      </c>
      <c r="E1165" s="121" t="s">
        <v>2169</v>
      </c>
      <c r="F1165" s="94"/>
      <c r="G1165" s="98"/>
      <c r="H1165" s="94"/>
      <c r="I1165" s="94"/>
      <c r="J1165" s="87"/>
    </row>
    <row r="1166">
      <c r="A1166" s="85" t="s">
        <v>20</v>
      </c>
      <c r="B1166" s="114" t="s">
        <v>186</v>
      </c>
      <c r="C1166" s="125">
        <v>5.0</v>
      </c>
      <c r="D1166" s="119" t="s">
        <v>2170</v>
      </c>
      <c r="E1166" s="119" t="s">
        <v>1966</v>
      </c>
      <c r="F1166" s="86"/>
      <c r="G1166" s="100"/>
      <c r="H1166" s="86"/>
      <c r="I1166" s="86"/>
      <c r="J1166" s="87"/>
    </row>
    <row r="1167">
      <c r="A1167" s="93" t="s">
        <v>20</v>
      </c>
      <c r="B1167" s="115" t="s">
        <v>186</v>
      </c>
      <c r="C1167" s="124">
        <v>6.0</v>
      </c>
      <c r="D1167" s="121" t="s">
        <v>2171</v>
      </c>
      <c r="E1167" s="121" t="s">
        <v>1350</v>
      </c>
      <c r="F1167" s="94"/>
      <c r="G1167" s="98"/>
      <c r="H1167" s="94"/>
      <c r="I1167" s="94"/>
      <c r="J1167" s="87"/>
    </row>
    <row r="1168">
      <c r="A1168" s="85" t="s">
        <v>20</v>
      </c>
      <c r="B1168" s="114" t="s">
        <v>186</v>
      </c>
      <c r="C1168" s="125">
        <v>7.0</v>
      </c>
      <c r="D1168" s="119" t="s">
        <v>2172</v>
      </c>
      <c r="E1168" s="119" t="s">
        <v>2169</v>
      </c>
      <c r="F1168" s="86"/>
      <c r="G1168" s="100"/>
      <c r="H1168" s="86"/>
      <c r="I1168" s="86"/>
      <c r="J1168" s="87"/>
    </row>
    <row r="1169">
      <c r="A1169" s="93" t="s">
        <v>20</v>
      </c>
      <c r="B1169" s="115" t="s">
        <v>186</v>
      </c>
      <c r="C1169" s="124">
        <v>8.0</v>
      </c>
      <c r="D1169" s="121" t="s">
        <v>2173</v>
      </c>
      <c r="E1169" s="121" t="s">
        <v>2174</v>
      </c>
      <c r="F1169" s="94"/>
      <c r="G1169" s="98"/>
      <c r="H1169" s="94"/>
      <c r="I1169" s="94"/>
      <c r="J1169" s="87"/>
    </row>
    <row r="1170">
      <c r="A1170" s="85" t="s">
        <v>20</v>
      </c>
      <c r="B1170" s="114" t="s">
        <v>186</v>
      </c>
      <c r="C1170" s="125">
        <v>9.0</v>
      </c>
      <c r="D1170" s="119" t="s">
        <v>2175</v>
      </c>
      <c r="E1170" s="119" t="s">
        <v>2176</v>
      </c>
      <c r="F1170" s="86"/>
      <c r="G1170" s="100"/>
      <c r="H1170" s="86"/>
      <c r="I1170" s="86"/>
      <c r="J1170" s="87"/>
    </row>
    <row r="1171">
      <c r="A1171" s="93" t="s">
        <v>20</v>
      </c>
      <c r="B1171" s="115" t="s">
        <v>186</v>
      </c>
      <c r="C1171" s="124">
        <v>10.0</v>
      </c>
      <c r="D1171" s="121" t="s">
        <v>2177</v>
      </c>
      <c r="E1171" s="121" t="s">
        <v>2178</v>
      </c>
      <c r="F1171" s="94"/>
      <c r="G1171" s="98"/>
      <c r="H1171" s="94"/>
      <c r="I1171" s="94"/>
      <c r="J1171" s="87"/>
    </row>
    <row r="1172">
      <c r="A1172" s="85" t="s">
        <v>20</v>
      </c>
      <c r="B1172" s="114" t="s">
        <v>186</v>
      </c>
      <c r="C1172" s="125">
        <v>12.0</v>
      </c>
      <c r="D1172" s="119" t="s">
        <v>2179</v>
      </c>
      <c r="E1172" s="119" t="s">
        <v>2180</v>
      </c>
      <c r="F1172" s="86"/>
      <c r="G1172" s="100"/>
      <c r="H1172" s="86"/>
      <c r="I1172" s="86"/>
      <c r="J1172" s="87"/>
    </row>
    <row r="1173">
      <c r="A1173" s="93" t="s">
        <v>20</v>
      </c>
      <c r="B1173" s="115" t="s">
        <v>186</v>
      </c>
      <c r="C1173" s="124">
        <v>13.0</v>
      </c>
      <c r="D1173" s="121" t="s">
        <v>2181</v>
      </c>
      <c r="E1173" s="121" t="s">
        <v>2180</v>
      </c>
      <c r="F1173" s="94"/>
      <c r="G1173" s="98"/>
      <c r="H1173" s="94"/>
      <c r="I1173" s="94"/>
      <c r="J1173" s="87"/>
    </row>
    <row r="1174">
      <c r="A1174" s="85" t="s">
        <v>20</v>
      </c>
      <c r="B1174" s="114" t="s">
        <v>186</v>
      </c>
      <c r="C1174" s="125">
        <v>14.0</v>
      </c>
      <c r="D1174" s="119" t="s">
        <v>2182</v>
      </c>
      <c r="E1174" s="119" t="s">
        <v>2169</v>
      </c>
      <c r="F1174" s="86"/>
      <c r="G1174" s="100"/>
      <c r="H1174" s="86"/>
      <c r="I1174" s="86"/>
      <c r="J1174" s="87"/>
    </row>
    <row r="1175">
      <c r="A1175" s="93" t="s">
        <v>20</v>
      </c>
      <c r="B1175" s="115" t="s">
        <v>186</v>
      </c>
      <c r="C1175" s="124">
        <v>15.0</v>
      </c>
      <c r="D1175" s="121" t="s">
        <v>2183</v>
      </c>
      <c r="E1175" s="121" t="s">
        <v>2169</v>
      </c>
      <c r="F1175" s="94"/>
      <c r="G1175" s="98"/>
      <c r="H1175" s="94"/>
      <c r="I1175" s="94"/>
      <c r="J1175" s="87"/>
    </row>
    <row r="1176">
      <c r="A1176" s="85" t="s">
        <v>20</v>
      </c>
      <c r="B1176" s="114" t="s">
        <v>186</v>
      </c>
      <c r="C1176" s="125">
        <v>16.0</v>
      </c>
      <c r="D1176" s="119" t="s">
        <v>2184</v>
      </c>
      <c r="E1176" s="119" t="s">
        <v>2185</v>
      </c>
      <c r="F1176" s="86"/>
      <c r="G1176" s="100"/>
      <c r="H1176" s="86"/>
      <c r="I1176" s="86"/>
      <c r="J1176" s="87"/>
    </row>
    <row r="1177">
      <c r="A1177" s="93" t="s">
        <v>20</v>
      </c>
      <c r="B1177" s="115" t="s">
        <v>186</v>
      </c>
      <c r="C1177" s="124">
        <v>18.0</v>
      </c>
      <c r="D1177" s="121" t="s">
        <v>2186</v>
      </c>
      <c r="E1177" s="121" t="s">
        <v>2176</v>
      </c>
      <c r="F1177" s="94"/>
      <c r="G1177" s="98"/>
      <c r="H1177" s="94"/>
      <c r="I1177" s="94"/>
      <c r="J1177" s="87"/>
    </row>
    <row r="1178">
      <c r="A1178" s="85" t="s">
        <v>20</v>
      </c>
      <c r="B1178" s="114" t="s">
        <v>186</v>
      </c>
      <c r="C1178" s="125">
        <v>19.0</v>
      </c>
      <c r="D1178" s="119" t="s">
        <v>2187</v>
      </c>
      <c r="E1178" s="119" t="s">
        <v>2188</v>
      </c>
      <c r="F1178" s="86"/>
      <c r="G1178" s="100"/>
      <c r="H1178" s="86"/>
      <c r="I1178" s="86"/>
      <c r="J1178" s="87"/>
    </row>
    <row r="1179">
      <c r="A1179" s="93" t="s">
        <v>20</v>
      </c>
      <c r="B1179" s="115" t="s">
        <v>186</v>
      </c>
      <c r="C1179" s="124">
        <v>20.0</v>
      </c>
      <c r="D1179" s="121" t="s">
        <v>2189</v>
      </c>
      <c r="E1179" s="121" t="s">
        <v>2190</v>
      </c>
      <c r="F1179" s="94"/>
      <c r="G1179" s="98"/>
      <c r="H1179" s="94"/>
      <c r="I1179" s="94"/>
      <c r="J1179" s="87"/>
    </row>
    <row r="1180">
      <c r="A1180" s="85" t="s">
        <v>20</v>
      </c>
      <c r="B1180" s="114" t="s">
        <v>186</v>
      </c>
      <c r="C1180" s="125">
        <v>21.0</v>
      </c>
      <c r="D1180" s="119" t="s">
        <v>2191</v>
      </c>
      <c r="E1180" s="119" t="s">
        <v>2192</v>
      </c>
      <c r="F1180" s="86"/>
      <c r="G1180" s="100"/>
      <c r="H1180" s="86"/>
      <c r="I1180" s="86"/>
      <c r="J1180" s="87"/>
    </row>
    <row r="1181">
      <c r="A1181" s="93" t="s">
        <v>20</v>
      </c>
      <c r="B1181" s="115" t="s">
        <v>186</v>
      </c>
      <c r="C1181" s="124">
        <v>22.0</v>
      </c>
      <c r="D1181" s="121" t="s">
        <v>2193</v>
      </c>
      <c r="E1181" s="121" t="s">
        <v>2194</v>
      </c>
      <c r="F1181" s="94"/>
      <c r="G1181" s="98"/>
      <c r="H1181" s="94"/>
      <c r="I1181" s="94"/>
      <c r="J1181" s="87"/>
    </row>
    <row r="1182">
      <c r="A1182" s="85" t="s">
        <v>20</v>
      </c>
      <c r="B1182" s="114" t="s">
        <v>186</v>
      </c>
      <c r="C1182" s="125">
        <v>65.0</v>
      </c>
      <c r="D1182" s="119" t="s">
        <v>2195</v>
      </c>
      <c r="E1182" s="119" t="s">
        <v>1176</v>
      </c>
      <c r="F1182" s="86"/>
      <c r="G1182" s="100"/>
      <c r="H1182" s="86"/>
      <c r="I1182" s="86"/>
      <c r="J1182" s="87"/>
    </row>
    <row r="1183">
      <c r="A1183" s="93" t="s">
        <v>20</v>
      </c>
      <c r="B1183" s="115" t="s">
        <v>186</v>
      </c>
      <c r="C1183" s="124">
        <v>66.0</v>
      </c>
      <c r="D1183" s="121" t="s">
        <v>2041</v>
      </c>
      <c r="E1183" s="121" t="s">
        <v>1178</v>
      </c>
      <c r="F1183" s="94"/>
      <c r="G1183" s="98"/>
      <c r="H1183" s="94"/>
      <c r="I1183" s="94"/>
      <c r="J1183" s="87"/>
    </row>
    <row r="1184">
      <c r="A1184" s="85" t="s">
        <v>20</v>
      </c>
      <c r="B1184" s="114" t="s">
        <v>186</v>
      </c>
      <c r="C1184" s="125">
        <v>67.0</v>
      </c>
      <c r="D1184" s="119" t="s">
        <v>2196</v>
      </c>
      <c r="E1184" s="119"/>
      <c r="F1184" s="86"/>
      <c r="G1184" s="100"/>
      <c r="H1184" s="86"/>
      <c r="I1184" s="86"/>
      <c r="J1184" s="87"/>
    </row>
    <row r="1185">
      <c r="A1185" s="93" t="s">
        <v>20</v>
      </c>
      <c r="B1185" s="115" t="s">
        <v>188</v>
      </c>
      <c r="C1185" s="124">
        <v>28.0</v>
      </c>
      <c r="D1185" s="121" t="s">
        <v>2197</v>
      </c>
      <c r="E1185" s="121" t="s">
        <v>2198</v>
      </c>
      <c r="F1185" s="94"/>
      <c r="G1185" s="98"/>
      <c r="H1185" s="94"/>
      <c r="I1185" s="94"/>
      <c r="J1185" s="87"/>
    </row>
    <row r="1186">
      <c r="A1186" s="85" t="s">
        <v>20</v>
      </c>
      <c r="B1186" s="114" t="s">
        <v>188</v>
      </c>
      <c r="C1186" s="129" t="s">
        <v>1141</v>
      </c>
      <c r="D1186" s="119" t="s">
        <v>2199</v>
      </c>
      <c r="E1186" s="119" t="s">
        <v>2200</v>
      </c>
      <c r="F1186" s="86"/>
      <c r="G1186" s="100"/>
      <c r="H1186" s="86"/>
      <c r="I1186" s="86"/>
      <c r="J1186" s="87"/>
    </row>
    <row r="1187">
      <c r="A1187" s="93" t="s">
        <v>20</v>
      </c>
      <c r="B1187" s="115" t="s">
        <v>188</v>
      </c>
      <c r="C1187" s="130" t="s">
        <v>1144</v>
      </c>
      <c r="D1187" s="121" t="s">
        <v>2201</v>
      </c>
      <c r="E1187" s="121" t="s">
        <v>2202</v>
      </c>
      <c r="F1187" s="94"/>
      <c r="G1187" s="98"/>
      <c r="H1187" s="94"/>
      <c r="I1187" s="94"/>
      <c r="J1187" s="87"/>
    </row>
    <row r="1188">
      <c r="A1188" s="85" t="s">
        <v>20</v>
      </c>
      <c r="B1188" s="114" t="s">
        <v>188</v>
      </c>
      <c r="C1188" s="129" t="s">
        <v>1147</v>
      </c>
      <c r="D1188" s="119" t="s">
        <v>2203</v>
      </c>
      <c r="E1188" s="119" t="s">
        <v>2204</v>
      </c>
      <c r="F1188" s="86"/>
      <c r="G1188" s="100"/>
      <c r="H1188" s="86"/>
      <c r="I1188" s="86"/>
      <c r="J1188" s="87"/>
    </row>
    <row r="1189">
      <c r="A1189" s="93" t="s">
        <v>20</v>
      </c>
      <c r="B1189" s="115" t="s">
        <v>188</v>
      </c>
      <c r="C1189" s="130" t="s">
        <v>1150</v>
      </c>
      <c r="D1189" s="121" t="s">
        <v>2205</v>
      </c>
      <c r="E1189" s="121" t="s">
        <v>2206</v>
      </c>
      <c r="F1189" s="94"/>
      <c r="G1189" s="98"/>
      <c r="H1189" s="94"/>
      <c r="I1189" s="94"/>
      <c r="J1189" s="87"/>
    </row>
    <row r="1190">
      <c r="A1190" s="85" t="s">
        <v>20</v>
      </c>
      <c r="B1190" s="114" t="s">
        <v>188</v>
      </c>
      <c r="C1190" s="129" t="s">
        <v>1156</v>
      </c>
      <c r="D1190" s="119" t="s">
        <v>2207</v>
      </c>
      <c r="E1190" s="119" t="s">
        <v>2208</v>
      </c>
      <c r="F1190" s="86"/>
      <c r="G1190" s="100"/>
      <c r="H1190" s="86"/>
      <c r="I1190" s="86"/>
      <c r="J1190" s="87"/>
    </row>
    <row r="1191">
      <c r="A1191" s="93" t="s">
        <v>20</v>
      </c>
      <c r="B1191" s="115" t="s">
        <v>188</v>
      </c>
      <c r="C1191" s="130" t="s">
        <v>1165</v>
      </c>
      <c r="D1191" s="121" t="s">
        <v>2209</v>
      </c>
      <c r="E1191" s="121" t="s">
        <v>2210</v>
      </c>
      <c r="F1191" s="94"/>
      <c r="G1191" s="98"/>
      <c r="H1191" s="94"/>
      <c r="I1191" s="94"/>
      <c r="J1191" s="87"/>
    </row>
    <row r="1192">
      <c r="A1192" s="85" t="s">
        <v>20</v>
      </c>
      <c r="B1192" s="114" t="s">
        <v>188</v>
      </c>
      <c r="C1192" s="125">
        <v>10.0</v>
      </c>
      <c r="D1192" s="119" t="s">
        <v>2211</v>
      </c>
      <c r="E1192" s="119" t="s">
        <v>2210</v>
      </c>
      <c r="F1192" s="86"/>
      <c r="G1192" s="100"/>
      <c r="H1192" s="86"/>
      <c r="I1192" s="86"/>
      <c r="J1192" s="87"/>
    </row>
    <row r="1193">
      <c r="A1193" s="93" t="s">
        <v>20</v>
      </c>
      <c r="B1193" s="115" t="s">
        <v>188</v>
      </c>
      <c r="C1193" s="124">
        <v>13.0</v>
      </c>
      <c r="D1193" s="121" t="s">
        <v>2212</v>
      </c>
      <c r="E1193" s="121" t="s">
        <v>2204</v>
      </c>
      <c r="F1193" s="94"/>
      <c r="G1193" s="98"/>
      <c r="H1193" s="94"/>
      <c r="I1193" s="94"/>
      <c r="J1193" s="87"/>
    </row>
    <row r="1194">
      <c r="A1194" s="85" t="s">
        <v>20</v>
      </c>
      <c r="B1194" s="114" t="s">
        <v>188</v>
      </c>
      <c r="C1194" s="125">
        <v>14.0</v>
      </c>
      <c r="D1194" s="119" t="s">
        <v>2213</v>
      </c>
      <c r="E1194" s="119" t="s">
        <v>2214</v>
      </c>
      <c r="F1194" s="86"/>
      <c r="G1194" s="100"/>
      <c r="H1194" s="86"/>
      <c r="I1194" s="86"/>
      <c r="J1194" s="87"/>
    </row>
    <row r="1195">
      <c r="A1195" s="93" t="s">
        <v>20</v>
      </c>
      <c r="B1195" s="115" t="s">
        <v>188</v>
      </c>
      <c r="C1195" s="124">
        <v>15.0</v>
      </c>
      <c r="D1195" s="121" t="s">
        <v>2215</v>
      </c>
      <c r="E1195" s="121" t="s">
        <v>2206</v>
      </c>
      <c r="F1195" s="94"/>
      <c r="G1195" s="98"/>
      <c r="H1195" s="94"/>
      <c r="I1195" s="94"/>
      <c r="J1195" s="87"/>
    </row>
    <row r="1196">
      <c r="A1196" s="85" t="s">
        <v>20</v>
      </c>
      <c r="B1196" s="114" t="s">
        <v>188</v>
      </c>
      <c r="C1196" s="125">
        <v>16.0</v>
      </c>
      <c r="D1196" s="119" t="s">
        <v>2216</v>
      </c>
      <c r="E1196" s="119" t="s">
        <v>2217</v>
      </c>
      <c r="F1196" s="86"/>
      <c r="G1196" s="100"/>
      <c r="H1196" s="86"/>
      <c r="I1196" s="86"/>
      <c r="J1196" s="87"/>
    </row>
    <row r="1197">
      <c r="A1197" s="93" t="s">
        <v>20</v>
      </c>
      <c r="B1197" s="115" t="s">
        <v>188</v>
      </c>
      <c r="C1197" s="124">
        <v>17.0</v>
      </c>
      <c r="D1197" s="121" t="s">
        <v>2218</v>
      </c>
      <c r="E1197" s="121" t="s">
        <v>2219</v>
      </c>
      <c r="F1197" s="94"/>
      <c r="G1197" s="98"/>
      <c r="H1197" s="94"/>
      <c r="I1197" s="94"/>
      <c r="J1197" s="87"/>
    </row>
    <row r="1198">
      <c r="A1198" s="85" t="s">
        <v>20</v>
      </c>
      <c r="B1198" s="114" t="s">
        <v>188</v>
      </c>
      <c r="C1198" s="125">
        <v>18.0</v>
      </c>
      <c r="D1198" s="119" t="s">
        <v>2220</v>
      </c>
      <c r="E1198" s="119" t="s">
        <v>2221</v>
      </c>
      <c r="F1198" s="86"/>
      <c r="G1198" s="100"/>
      <c r="H1198" s="86"/>
      <c r="I1198" s="86"/>
      <c r="J1198" s="87"/>
    </row>
    <row r="1199">
      <c r="A1199" s="93" t="s">
        <v>20</v>
      </c>
      <c r="B1199" s="115" t="s">
        <v>188</v>
      </c>
      <c r="C1199" s="124">
        <v>19.0</v>
      </c>
      <c r="D1199" s="121" t="s">
        <v>2222</v>
      </c>
      <c r="E1199" s="121" t="s">
        <v>2223</v>
      </c>
      <c r="F1199" s="94"/>
      <c r="G1199" s="98"/>
      <c r="H1199" s="94"/>
      <c r="I1199" s="94"/>
      <c r="J1199" s="87"/>
    </row>
    <row r="1200">
      <c r="A1200" s="85" t="s">
        <v>20</v>
      </c>
      <c r="B1200" s="114" t="s">
        <v>188</v>
      </c>
      <c r="C1200" s="125">
        <v>21.0</v>
      </c>
      <c r="D1200" s="119" t="s">
        <v>2224</v>
      </c>
      <c r="E1200" s="119" t="s">
        <v>2225</v>
      </c>
      <c r="F1200" s="86"/>
      <c r="G1200" s="100"/>
      <c r="H1200" s="86"/>
      <c r="I1200" s="86"/>
      <c r="J1200" s="87"/>
    </row>
    <row r="1201">
      <c r="A1201" s="93" t="s">
        <v>20</v>
      </c>
      <c r="B1201" s="115" t="s">
        <v>188</v>
      </c>
      <c r="C1201" s="124">
        <v>25.0</v>
      </c>
      <c r="D1201" s="121" t="s">
        <v>2226</v>
      </c>
      <c r="E1201" s="121" t="s">
        <v>1205</v>
      </c>
      <c r="F1201" s="94"/>
      <c r="G1201" s="98"/>
      <c r="H1201" s="94"/>
      <c r="I1201" s="94"/>
      <c r="J1201" s="87"/>
    </row>
    <row r="1202">
      <c r="A1202" s="86" t="s">
        <v>20</v>
      </c>
      <c r="B1202" s="131" t="s">
        <v>191</v>
      </c>
      <c r="C1202" s="126" t="s">
        <v>1141</v>
      </c>
      <c r="D1202" s="107" t="s">
        <v>2227</v>
      </c>
      <c r="E1202" s="107" t="s">
        <v>1176</v>
      </c>
      <c r="F1202" s="86"/>
      <c r="G1202" s="100"/>
      <c r="H1202" s="86"/>
      <c r="I1202" s="86"/>
      <c r="J1202" s="87"/>
    </row>
    <row r="1203">
      <c r="A1203" s="94" t="s">
        <v>20</v>
      </c>
      <c r="B1203" s="132" t="s">
        <v>191</v>
      </c>
      <c r="C1203" s="127" t="s">
        <v>1144</v>
      </c>
      <c r="D1203" s="104" t="s">
        <v>2228</v>
      </c>
      <c r="E1203" s="104" t="s">
        <v>1243</v>
      </c>
      <c r="F1203" s="94"/>
      <c r="G1203" s="98"/>
      <c r="H1203" s="94"/>
      <c r="I1203" s="94"/>
      <c r="J1203" s="87"/>
    </row>
    <row r="1204">
      <c r="A1204" s="86" t="s">
        <v>20</v>
      </c>
      <c r="B1204" s="131" t="s">
        <v>191</v>
      </c>
      <c r="C1204" s="126" t="s">
        <v>1147</v>
      </c>
      <c r="D1204" s="107" t="s">
        <v>2229</v>
      </c>
      <c r="E1204" s="107" t="s">
        <v>1245</v>
      </c>
      <c r="F1204" s="86"/>
      <c r="G1204" s="100"/>
      <c r="H1204" s="86"/>
      <c r="I1204" s="86"/>
      <c r="J1204" s="87"/>
    </row>
    <row r="1205">
      <c r="A1205" s="94" t="s">
        <v>20</v>
      </c>
      <c r="B1205" s="132" t="s">
        <v>191</v>
      </c>
      <c r="C1205" s="127" t="s">
        <v>1150</v>
      </c>
      <c r="D1205" s="104" t="s">
        <v>2230</v>
      </c>
      <c r="E1205" s="104" t="s">
        <v>1247</v>
      </c>
      <c r="F1205" s="94"/>
      <c r="G1205" s="98"/>
      <c r="H1205" s="94"/>
      <c r="I1205" s="94"/>
      <c r="J1205" s="87"/>
    </row>
    <row r="1206">
      <c r="A1206" s="86" t="s">
        <v>20</v>
      </c>
      <c r="B1206" s="131" t="s">
        <v>191</v>
      </c>
      <c r="C1206" s="126" t="s">
        <v>1159</v>
      </c>
      <c r="D1206" s="107" t="s">
        <v>2231</v>
      </c>
      <c r="E1206" s="107" t="s">
        <v>1184</v>
      </c>
      <c r="F1206" s="86"/>
      <c r="G1206" s="100"/>
      <c r="H1206" s="86"/>
      <c r="I1206" s="86"/>
      <c r="J1206" s="87"/>
    </row>
    <row r="1207">
      <c r="A1207" s="94" t="s">
        <v>20</v>
      </c>
      <c r="B1207" s="132" t="s">
        <v>191</v>
      </c>
      <c r="C1207" s="127" t="s">
        <v>1162</v>
      </c>
      <c r="D1207" s="104" t="s">
        <v>2232</v>
      </c>
      <c r="E1207" s="104" t="s">
        <v>1186</v>
      </c>
      <c r="F1207" s="94"/>
      <c r="G1207" s="98"/>
      <c r="H1207" s="94"/>
      <c r="I1207" s="94"/>
      <c r="J1207" s="87"/>
    </row>
    <row r="1208">
      <c r="A1208" s="86" t="s">
        <v>20</v>
      </c>
      <c r="B1208" s="131" t="s">
        <v>191</v>
      </c>
      <c r="C1208" s="126" t="s">
        <v>1165</v>
      </c>
      <c r="D1208" s="107" t="s">
        <v>2233</v>
      </c>
      <c r="E1208" s="107" t="s">
        <v>1186</v>
      </c>
      <c r="F1208" s="86"/>
      <c r="G1208" s="100"/>
      <c r="H1208" s="86"/>
      <c r="I1208" s="86"/>
      <c r="J1208" s="87"/>
    </row>
    <row r="1209">
      <c r="A1209" s="94" t="s">
        <v>20</v>
      </c>
      <c r="B1209" s="132" t="s">
        <v>191</v>
      </c>
      <c r="C1209" s="127" t="s">
        <v>1251</v>
      </c>
      <c r="D1209" s="104" t="s">
        <v>2234</v>
      </c>
      <c r="E1209" s="104" t="s">
        <v>1186</v>
      </c>
      <c r="F1209" s="94"/>
      <c r="G1209" s="98"/>
      <c r="H1209" s="94"/>
      <c r="I1209" s="94"/>
      <c r="J1209" s="87"/>
    </row>
    <row r="1210">
      <c r="A1210" s="86" t="s">
        <v>20</v>
      </c>
      <c r="B1210" s="131" t="s">
        <v>191</v>
      </c>
      <c r="C1210" s="126" t="s">
        <v>1253</v>
      </c>
      <c r="D1210" s="107" t="s">
        <v>2235</v>
      </c>
      <c r="E1210" s="107" t="s">
        <v>1190</v>
      </c>
      <c r="F1210" s="86"/>
      <c r="G1210" s="100"/>
      <c r="H1210" s="86"/>
      <c r="I1210" s="86"/>
      <c r="J1210" s="87"/>
    </row>
    <row r="1211">
      <c r="A1211" s="94" t="s">
        <v>20</v>
      </c>
      <c r="B1211" s="132" t="s">
        <v>191</v>
      </c>
      <c r="C1211" s="127" t="s">
        <v>1255</v>
      </c>
      <c r="D1211" s="104" t="s">
        <v>2236</v>
      </c>
      <c r="E1211" s="104" t="s">
        <v>1257</v>
      </c>
      <c r="F1211" s="94"/>
      <c r="G1211" s="98"/>
      <c r="H1211" s="94"/>
      <c r="I1211" s="94"/>
      <c r="J1211" s="87"/>
    </row>
    <row r="1212">
      <c r="A1212" s="86" t="s">
        <v>20</v>
      </c>
      <c r="B1212" s="131" t="s">
        <v>191</v>
      </c>
      <c r="C1212" s="126" t="s">
        <v>1258</v>
      </c>
      <c r="D1212" s="107" t="s">
        <v>2237</v>
      </c>
      <c r="E1212" s="107" t="s">
        <v>1260</v>
      </c>
      <c r="F1212" s="86"/>
      <c r="G1212" s="100"/>
      <c r="H1212" s="86"/>
      <c r="I1212" s="86"/>
      <c r="J1212" s="87"/>
    </row>
    <row r="1213">
      <c r="A1213" s="94" t="s">
        <v>20</v>
      </c>
      <c r="B1213" s="132" t="s">
        <v>191</v>
      </c>
      <c r="C1213" s="127" t="s">
        <v>1261</v>
      </c>
      <c r="D1213" s="104" t="s">
        <v>2238</v>
      </c>
      <c r="E1213" s="104" t="s">
        <v>1263</v>
      </c>
      <c r="F1213" s="94"/>
      <c r="G1213" s="98"/>
      <c r="H1213" s="94"/>
      <c r="I1213" s="94"/>
      <c r="J1213" s="87"/>
    </row>
    <row r="1214">
      <c r="A1214" s="86" t="s">
        <v>20</v>
      </c>
      <c r="B1214" s="131" t="s">
        <v>191</v>
      </c>
      <c r="C1214" s="126" t="s">
        <v>1264</v>
      </c>
      <c r="D1214" s="107" t="s">
        <v>2239</v>
      </c>
      <c r="E1214" s="107" t="s">
        <v>1266</v>
      </c>
      <c r="F1214" s="86"/>
      <c r="G1214" s="100"/>
      <c r="H1214" s="86"/>
      <c r="I1214" s="86"/>
      <c r="J1214" s="87"/>
    </row>
    <row r="1215">
      <c r="A1215" s="94" t="s">
        <v>20</v>
      </c>
      <c r="B1215" s="132" t="s">
        <v>191</v>
      </c>
      <c r="C1215" s="127" t="s">
        <v>1267</v>
      </c>
      <c r="D1215" s="104" t="s">
        <v>2240</v>
      </c>
      <c r="E1215" s="104" t="s">
        <v>1269</v>
      </c>
      <c r="F1215" s="94"/>
      <c r="G1215" s="98"/>
      <c r="H1215" s="94"/>
      <c r="I1215" s="94"/>
      <c r="J1215" s="87"/>
    </row>
    <row r="1216">
      <c r="A1216" s="86" t="s">
        <v>20</v>
      </c>
      <c r="B1216" s="131" t="s">
        <v>191</v>
      </c>
      <c r="C1216" s="126" t="s">
        <v>1270</v>
      </c>
      <c r="D1216" s="107" t="s">
        <v>2241</v>
      </c>
      <c r="E1216" s="107" t="s">
        <v>1269</v>
      </c>
      <c r="F1216" s="86"/>
      <c r="G1216" s="100"/>
      <c r="H1216" s="86"/>
      <c r="I1216" s="86"/>
      <c r="J1216" s="87"/>
    </row>
    <row r="1217">
      <c r="A1217" s="94" t="s">
        <v>20</v>
      </c>
      <c r="B1217" s="132" t="s">
        <v>191</v>
      </c>
      <c r="C1217" s="127" t="s">
        <v>1272</v>
      </c>
      <c r="D1217" s="104" t="s">
        <v>2242</v>
      </c>
      <c r="E1217" s="104" t="s">
        <v>1201</v>
      </c>
      <c r="F1217" s="94"/>
      <c r="G1217" s="98"/>
      <c r="H1217" s="94"/>
      <c r="I1217" s="94"/>
      <c r="J1217" s="87"/>
    </row>
    <row r="1218">
      <c r="A1218" s="86" t="s">
        <v>20</v>
      </c>
      <c r="B1218" s="131" t="s">
        <v>191</v>
      </c>
      <c r="C1218" s="126" t="s">
        <v>1274</v>
      </c>
      <c r="D1218" s="107" t="s">
        <v>2243</v>
      </c>
      <c r="E1218" s="107" t="s">
        <v>1276</v>
      </c>
      <c r="F1218" s="86"/>
      <c r="G1218" s="100"/>
      <c r="H1218" s="86"/>
      <c r="I1218" s="86"/>
      <c r="J1218" s="87"/>
    </row>
    <row r="1219">
      <c r="A1219" s="94" t="s">
        <v>20</v>
      </c>
      <c r="B1219" s="132" t="s">
        <v>191</v>
      </c>
      <c r="C1219" s="127" t="s">
        <v>1277</v>
      </c>
      <c r="D1219" s="104" t="s">
        <v>2244</v>
      </c>
      <c r="E1219" s="104" t="s">
        <v>1279</v>
      </c>
      <c r="F1219" s="94"/>
      <c r="G1219" s="98"/>
      <c r="H1219" s="94"/>
      <c r="I1219" s="94"/>
      <c r="J1219" s="87"/>
    </row>
    <row r="1220">
      <c r="A1220" s="86" t="s">
        <v>20</v>
      </c>
      <c r="B1220" s="131" t="s">
        <v>191</v>
      </c>
      <c r="C1220" s="126" t="s">
        <v>1280</v>
      </c>
      <c r="D1220" s="107" t="s">
        <v>2245</v>
      </c>
      <c r="E1220" s="107" t="s">
        <v>1282</v>
      </c>
      <c r="F1220" s="86"/>
      <c r="G1220" s="100"/>
      <c r="H1220" s="86"/>
      <c r="I1220" s="86"/>
      <c r="J1220" s="87"/>
    </row>
    <row r="1221">
      <c r="A1221" s="94" t="s">
        <v>20</v>
      </c>
      <c r="B1221" s="132" t="s">
        <v>191</v>
      </c>
      <c r="C1221" s="127" t="s">
        <v>1283</v>
      </c>
      <c r="D1221" s="104" t="s">
        <v>2246</v>
      </c>
      <c r="E1221" s="104" t="s">
        <v>1285</v>
      </c>
      <c r="F1221" s="94"/>
      <c r="G1221" s="98"/>
      <c r="H1221" s="94"/>
      <c r="I1221" s="94"/>
      <c r="J1221" s="87"/>
    </row>
    <row r="1222">
      <c r="A1222" s="86" t="s">
        <v>20</v>
      </c>
      <c r="B1222" s="131" t="s">
        <v>191</v>
      </c>
      <c r="C1222" s="126" t="s">
        <v>1286</v>
      </c>
      <c r="D1222" s="107" t="s">
        <v>2247</v>
      </c>
      <c r="E1222" s="107" t="s">
        <v>1288</v>
      </c>
      <c r="F1222" s="86"/>
      <c r="G1222" s="100"/>
      <c r="H1222" s="86"/>
      <c r="I1222" s="86"/>
      <c r="J1222" s="87"/>
    </row>
    <row r="1223">
      <c r="A1223" s="94" t="s">
        <v>20</v>
      </c>
      <c r="B1223" s="132" t="s">
        <v>191</v>
      </c>
      <c r="C1223" s="127" t="s">
        <v>1289</v>
      </c>
      <c r="D1223" s="104" t="s">
        <v>2248</v>
      </c>
      <c r="E1223" s="104" t="s">
        <v>1291</v>
      </c>
      <c r="F1223" s="94"/>
      <c r="G1223" s="98"/>
      <c r="H1223" s="94"/>
      <c r="I1223" s="94"/>
      <c r="J1223" s="87"/>
    </row>
    <row r="1224">
      <c r="A1224" s="86" t="s">
        <v>20</v>
      </c>
      <c r="B1224" s="131" t="s">
        <v>191</v>
      </c>
      <c r="C1224" s="126" t="s">
        <v>1292</v>
      </c>
      <c r="D1224" s="107" t="s">
        <v>2249</v>
      </c>
      <c r="E1224" s="107" t="s">
        <v>1294</v>
      </c>
      <c r="F1224" s="86"/>
      <c r="G1224" s="100"/>
      <c r="H1224" s="86"/>
      <c r="I1224" s="86"/>
      <c r="J1224" s="87"/>
    </row>
    <row r="1225">
      <c r="A1225" s="94" t="s">
        <v>20</v>
      </c>
      <c r="B1225" s="132" t="s">
        <v>191</v>
      </c>
      <c r="C1225" s="127" t="s">
        <v>1295</v>
      </c>
      <c r="D1225" s="104" t="s">
        <v>2250</v>
      </c>
      <c r="E1225" s="104" t="s">
        <v>1297</v>
      </c>
      <c r="F1225" s="94"/>
      <c r="G1225" s="98"/>
      <c r="H1225" s="94"/>
      <c r="I1225" s="94"/>
      <c r="J1225" s="87"/>
    </row>
    <row r="1226">
      <c r="A1226" s="84" t="s">
        <v>20</v>
      </c>
      <c r="B1226" s="117" t="s">
        <v>193</v>
      </c>
      <c r="C1226" s="123">
        <v>1.0</v>
      </c>
      <c r="D1226" s="119" t="s">
        <v>2251</v>
      </c>
      <c r="E1226" s="119" t="s">
        <v>1176</v>
      </c>
      <c r="F1226" s="86"/>
      <c r="G1226" s="100"/>
      <c r="H1226" s="86"/>
      <c r="I1226" s="86"/>
      <c r="J1226" s="87"/>
    </row>
    <row r="1227">
      <c r="A1227" s="92" t="s">
        <v>20</v>
      </c>
      <c r="B1227" s="116" t="s">
        <v>193</v>
      </c>
      <c r="C1227" s="122">
        <v>2.0</v>
      </c>
      <c r="D1227" s="121" t="s">
        <v>2252</v>
      </c>
      <c r="E1227" s="121" t="s">
        <v>2253</v>
      </c>
      <c r="F1227" s="94"/>
      <c r="G1227" s="98"/>
      <c r="H1227" s="94"/>
      <c r="I1227" s="94"/>
      <c r="J1227" s="87"/>
    </row>
    <row r="1228">
      <c r="A1228" s="84" t="s">
        <v>20</v>
      </c>
      <c r="B1228" s="117" t="s">
        <v>193</v>
      </c>
      <c r="C1228" s="123">
        <v>3.0</v>
      </c>
      <c r="D1228" s="119" t="s">
        <v>2254</v>
      </c>
      <c r="E1228" s="119" t="s">
        <v>1535</v>
      </c>
      <c r="F1228" s="86"/>
      <c r="G1228" s="100"/>
      <c r="H1228" s="86"/>
      <c r="I1228" s="86"/>
      <c r="J1228" s="87"/>
    </row>
    <row r="1229">
      <c r="A1229" s="92" t="s">
        <v>20</v>
      </c>
      <c r="B1229" s="116" t="s">
        <v>193</v>
      </c>
      <c r="C1229" s="122">
        <v>5.0</v>
      </c>
      <c r="D1229" s="121" t="s">
        <v>2255</v>
      </c>
      <c r="E1229" s="121" t="s">
        <v>1537</v>
      </c>
      <c r="F1229" s="94"/>
      <c r="G1229" s="98"/>
      <c r="H1229" s="94"/>
      <c r="I1229" s="94"/>
      <c r="J1229" s="87"/>
    </row>
    <row r="1230">
      <c r="A1230" s="84" t="s">
        <v>20</v>
      </c>
      <c r="B1230" s="117" t="s">
        <v>193</v>
      </c>
      <c r="C1230" s="123">
        <v>6.0</v>
      </c>
      <c r="D1230" s="119" t="s">
        <v>2256</v>
      </c>
      <c r="E1230" s="119" t="s">
        <v>1350</v>
      </c>
      <c r="F1230" s="86"/>
      <c r="G1230" s="100"/>
      <c r="H1230" s="86"/>
      <c r="I1230" s="86"/>
      <c r="J1230" s="87"/>
    </row>
    <row r="1231">
      <c r="A1231" s="92" t="s">
        <v>20</v>
      </c>
      <c r="B1231" s="116" t="s">
        <v>193</v>
      </c>
      <c r="C1231" s="122">
        <v>32.0</v>
      </c>
      <c r="D1231" s="121" t="s">
        <v>2257</v>
      </c>
      <c r="E1231" s="121" t="s">
        <v>1540</v>
      </c>
      <c r="F1231" s="94"/>
      <c r="G1231" s="98"/>
      <c r="H1231" s="94"/>
      <c r="I1231" s="94"/>
      <c r="J1231" s="87"/>
    </row>
    <row r="1232">
      <c r="A1232" s="84" t="s">
        <v>20</v>
      </c>
      <c r="B1232" s="117" t="s">
        <v>193</v>
      </c>
      <c r="C1232" s="123">
        <v>40.0</v>
      </c>
      <c r="D1232" s="119" t="s">
        <v>2258</v>
      </c>
      <c r="E1232" s="119" t="s">
        <v>1542</v>
      </c>
      <c r="F1232" s="86"/>
      <c r="G1232" s="100"/>
      <c r="H1232" s="86"/>
      <c r="I1232" s="86"/>
      <c r="J1232" s="87"/>
    </row>
    <row r="1233">
      <c r="A1233" s="92" t="s">
        <v>20</v>
      </c>
      <c r="B1233" s="116" t="s">
        <v>193</v>
      </c>
      <c r="C1233" s="122">
        <v>41.0</v>
      </c>
      <c r="D1233" s="121" t="s">
        <v>2259</v>
      </c>
      <c r="E1233" s="121" t="s">
        <v>2260</v>
      </c>
      <c r="F1233" s="94"/>
      <c r="G1233" s="98"/>
      <c r="H1233" s="94"/>
      <c r="I1233" s="94"/>
      <c r="J1233" s="87"/>
    </row>
    <row r="1234">
      <c r="A1234" s="84" t="s">
        <v>20</v>
      </c>
      <c r="B1234" s="117" t="s">
        <v>193</v>
      </c>
      <c r="C1234" s="123">
        <v>42.0</v>
      </c>
      <c r="D1234" s="119" t="s">
        <v>2261</v>
      </c>
      <c r="E1234" s="119" t="s">
        <v>1542</v>
      </c>
      <c r="F1234" s="86"/>
      <c r="G1234" s="100"/>
      <c r="H1234" s="86"/>
      <c r="I1234" s="86"/>
      <c r="J1234" s="87"/>
    </row>
    <row r="1235">
      <c r="A1235" s="92" t="s">
        <v>20</v>
      </c>
      <c r="B1235" s="116" t="s">
        <v>193</v>
      </c>
      <c r="C1235" s="122">
        <v>44.0</v>
      </c>
      <c r="D1235" s="121" t="s">
        <v>2262</v>
      </c>
      <c r="E1235" s="121" t="s">
        <v>1542</v>
      </c>
      <c r="F1235" s="94"/>
      <c r="G1235" s="98"/>
      <c r="H1235" s="94"/>
      <c r="I1235" s="94"/>
      <c r="J1235" s="87"/>
    </row>
    <row r="1236">
      <c r="A1236" s="84" t="s">
        <v>20</v>
      </c>
      <c r="B1236" s="117" t="s">
        <v>193</v>
      </c>
      <c r="C1236" s="123">
        <v>46.0</v>
      </c>
      <c r="D1236" s="119" t="s">
        <v>2263</v>
      </c>
      <c r="E1236" s="119" t="s">
        <v>1542</v>
      </c>
      <c r="F1236" s="86"/>
      <c r="G1236" s="100"/>
      <c r="H1236" s="86"/>
      <c r="I1236" s="86"/>
      <c r="J1236" s="87"/>
    </row>
    <row r="1237">
      <c r="A1237" s="92" t="s">
        <v>20</v>
      </c>
      <c r="B1237" s="116" t="s">
        <v>193</v>
      </c>
      <c r="C1237" s="122">
        <v>48.0</v>
      </c>
      <c r="D1237" s="121" t="s">
        <v>2264</v>
      </c>
      <c r="E1237" s="121" t="s">
        <v>1542</v>
      </c>
      <c r="F1237" s="94"/>
      <c r="G1237" s="98"/>
      <c r="H1237" s="94"/>
      <c r="I1237" s="94"/>
      <c r="J1237" s="87"/>
    </row>
    <row r="1238">
      <c r="A1238" s="84" t="s">
        <v>20</v>
      </c>
      <c r="B1238" s="117" t="s">
        <v>193</v>
      </c>
      <c r="C1238" s="123">
        <v>49.0</v>
      </c>
      <c r="D1238" s="119" t="s">
        <v>2265</v>
      </c>
      <c r="E1238" s="119" t="s">
        <v>1550</v>
      </c>
      <c r="F1238" s="86"/>
      <c r="G1238" s="100"/>
      <c r="H1238" s="86"/>
      <c r="I1238" s="86"/>
      <c r="J1238" s="87"/>
    </row>
    <row r="1239">
      <c r="A1239" s="92" t="s">
        <v>20</v>
      </c>
      <c r="B1239" s="116" t="s">
        <v>193</v>
      </c>
      <c r="C1239" s="122">
        <v>50.0</v>
      </c>
      <c r="D1239" s="121" t="s">
        <v>2266</v>
      </c>
      <c r="E1239" s="121" t="s">
        <v>1542</v>
      </c>
      <c r="F1239" s="94"/>
      <c r="G1239" s="98"/>
      <c r="H1239" s="94"/>
      <c r="I1239" s="94"/>
      <c r="J1239" s="87"/>
    </row>
    <row r="1240">
      <c r="A1240" s="84" t="s">
        <v>20</v>
      </c>
      <c r="B1240" s="117" t="s">
        <v>193</v>
      </c>
      <c r="C1240" s="123">
        <v>59.0</v>
      </c>
      <c r="D1240" s="119" t="s">
        <v>2267</v>
      </c>
      <c r="E1240" s="119" t="s">
        <v>1542</v>
      </c>
      <c r="F1240" s="86"/>
      <c r="G1240" s="100"/>
      <c r="H1240" s="86"/>
      <c r="I1240" s="86"/>
      <c r="J1240" s="87"/>
    </row>
    <row r="1241">
      <c r="A1241" s="92" t="s">
        <v>20</v>
      </c>
      <c r="B1241" s="116" t="s">
        <v>193</v>
      </c>
      <c r="C1241" s="122">
        <v>63.0</v>
      </c>
      <c r="D1241" s="121" t="s">
        <v>2268</v>
      </c>
      <c r="E1241" s="121" t="s">
        <v>1542</v>
      </c>
      <c r="F1241" s="94"/>
      <c r="G1241" s="98"/>
      <c r="H1241" s="94"/>
      <c r="I1241" s="94"/>
      <c r="J1241" s="87"/>
    </row>
    <row r="1242">
      <c r="A1242" s="84" t="s">
        <v>20</v>
      </c>
      <c r="B1242" s="117" t="s">
        <v>193</v>
      </c>
      <c r="C1242" s="123">
        <v>65.0</v>
      </c>
      <c r="D1242" s="119" t="s">
        <v>2269</v>
      </c>
      <c r="E1242" s="119" t="s">
        <v>2270</v>
      </c>
      <c r="F1242" s="86"/>
      <c r="G1242" s="100"/>
      <c r="H1242" s="86"/>
      <c r="I1242" s="86"/>
      <c r="J1242" s="87"/>
    </row>
    <row r="1243">
      <c r="A1243" s="92" t="s">
        <v>20</v>
      </c>
      <c r="B1243" s="116" t="s">
        <v>193</v>
      </c>
      <c r="C1243" s="122">
        <v>66.0</v>
      </c>
      <c r="D1243" s="121" t="s">
        <v>2271</v>
      </c>
      <c r="E1243" s="121" t="s">
        <v>2270</v>
      </c>
      <c r="F1243" s="94"/>
      <c r="G1243" s="98"/>
      <c r="H1243" s="94"/>
      <c r="I1243" s="94"/>
      <c r="J1243" s="87"/>
    </row>
    <row r="1244">
      <c r="A1244" s="84" t="s">
        <v>20</v>
      </c>
      <c r="B1244" s="117" t="s">
        <v>193</v>
      </c>
      <c r="C1244" s="123">
        <v>68.0</v>
      </c>
      <c r="D1244" s="119" t="s">
        <v>2272</v>
      </c>
      <c r="E1244" s="119" t="s">
        <v>1542</v>
      </c>
      <c r="F1244" s="86"/>
      <c r="G1244" s="100"/>
      <c r="H1244" s="86"/>
      <c r="I1244" s="86"/>
      <c r="J1244" s="87"/>
    </row>
    <row r="1245">
      <c r="A1245" s="92" t="s">
        <v>20</v>
      </c>
      <c r="B1245" s="116" t="s">
        <v>193</v>
      </c>
      <c r="C1245" s="122">
        <v>69.0</v>
      </c>
      <c r="D1245" s="121" t="s">
        <v>2273</v>
      </c>
      <c r="E1245" s="121" t="s">
        <v>1556</v>
      </c>
      <c r="F1245" s="94"/>
      <c r="G1245" s="98"/>
      <c r="H1245" s="94"/>
      <c r="I1245" s="94"/>
      <c r="J1245" s="87"/>
    </row>
    <row r="1246">
      <c r="A1246" s="84" t="s">
        <v>20</v>
      </c>
      <c r="B1246" s="117" t="s">
        <v>193</v>
      </c>
      <c r="C1246" s="123">
        <v>70.0</v>
      </c>
      <c r="D1246" s="119" t="s">
        <v>2274</v>
      </c>
      <c r="E1246" s="119" t="s">
        <v>1556</v>
      </c>
      <c r="F1246" s="86"/>
      <c r="G1246" s="100"/>
      <c r="H1246" s="86"/>
      <c r="I1246" s="86"/>
      <c r="J1246" s="87"/>
    </row>
    <row r="1247">
      <c r="A1247" s="92" t="s">
        <v>20</v>
      </c>
      <c r="B1247" s="116" t="s">
        <v>193</v>
      </c>
      <c r="C1247" s="122">
        <v>71.0</v>
      </c>
      <c r="D1247" s="121" t="s">
        <v>2275</v>
      </c>
      <c r="E1247" s="121" t="s">
        <v>1556</v>
      </c>
      <c r="F1247" s="94"/>
      <c r="G1247" s="98"/>
      <c r="H1247" s="94"/>
      <c r="I1247" s="94"/>
      <c r="J1247" s="87"/>
    </row>
    <row r="1248">
      <c r="A1248" s="84" t="s">
        <v>20</v>
      </c>
      <c r="B1248" s="117" t="s">
        <v>193</v>
      </c>
      <c r="C1248" s="123">
        <v>72.0</v>
      </c>
      <c r="D1248" s="119" t="s">
        <v>2276</v>
      </c>
      <c r="E1248" s="119" t="s">
        <v>1852</v>
      </c>
      <c r="F1248" s="86"/>
      <c r="G1248" s="100"/>
      <c r="H1248" s="86"/>
      <c r="I1248" s="86"/>
      <c r="J1248" s="87"/>
    </row>
    <row r="1249">
      <c r="A1249" s="92" t="s">
        <v>20</v>
      </c>
      <c r="B1249" s="116" t="s">
        <v>193</v>
      </c>
      <c r="C1249" s="122">
        <v>73.0</v>
      </c>
      <c r="D1249" s="121" t="s">
        <v>2277</v>
      </c>
      <c r="E1249" s="121" t="s">
        <v>1562</v>
      </c>
      <c r="F1249" s="94"/>
      <c r="G1249" s="98"/>
      <c r="H1249" s="94"/>
      <c r="I1249" s="94"/>
      <c r="J1249" s="87"/>
    </row>
    <row r="1250">
      <c r="A1250" s="84" t="s">
        <v>20</v>
      </c>
      <c r="B1250" s="117" t="s">
        <v>193</v>
      </c>
      <c r="C1250" s="123">
        <v>74.0</v>
      </c>
      <c r="D1250" s="119" t="s">
        <v>2278</v>
      </c>
      <c r="E1250" s="119" t="s">
        <v>1564</v>
      </c>
      <c r="F1250" s="86"/>
      <c r="G1250" s="100"/>
      <c r="H1250" s="86"/>
      <c r="I1250" s="86"/>
      <c r="J1250" s="87"/>
    </row>
    <row r="1251">
      <c r="A1251" s="92" t="s">
        <v>20</v>
      </c>
      <c r="B1251" s="116" t="s">
        <v>193</v>
      </c>
      <c r="C1251" s="122" t="s">
        <v>2279</v>
      </c>
      <c r="D1251" s="121" t="s">
        <v>2280</v>
      </c>
      <c r="E1251" s="121" t="s">
        <v>2281</v>
      </c>
      <c r="F1251" s="94"/>
      <c r="G1251" s="98"/>
      <c r="H1251" s="94"/>
      <c r="I1251" s="94"/>
      <c r="J1251" s="87"/>
    </row>
    <row r="1252">
      <c r="A1252" s="84" t="s">
        <v>20</v>
      </c>
      <c r="B1252" s="117" t="s">
        <v>193</v>
      </c>
      <c r="C1252" s="123" t="s">
        <v>2282</v>
      </c>
      <c r="D1252" s="119" t="s">
        <v>2283</v>
      </c>
      <c r="E1252" s="119" t="s">
        <v>2281</v>
      </c>
      <c r="F1252" s="86"/>
      <c r="G1252" s="100"/>
      <c r="H1252" s="86"/>
      <c r="I1252" s="86"/>
      <c r="J1252" s="87"/>
    </row>
    <row r="1253">
      <c r="A1253" s="92" t="s">
        <v>20</v>
      </c>
      <c r="B1253" s="116" t="s">
        <v>199</v>
      </c>
      <c r="C1253" s="122">
        <v>1.0</v>
      </c>
      <c r="D1253" s="121" t="s">
        <v>2284</v>
      </c>
      <c r="E1253" s="121" t="s">
        <v>2285</v>
      </c>
      <c r="F1253" s="94"/>
      <c r="G1253" s="98"/>
      <c r="H1253" s="94"/>
      <c r="I1253" s="94"/>
      <c r="J1253" s="87"/>
    </row>
    <row r="1254">
      <c r="A1254" s="84" t="s">
        <v>20</v>
      </c>
      <c r="B1254" s="117" t="s">
        <v>199</v>
      </c>
      <c r="C1254" s="123">
        <v>2.0</v>
      </c>
      <c r="D1254" s="119" t="s">
        <v>2286</v>
      </c>
      <c r="E1254" s="119" t="s">
        <v>2287</v>
      </c>
      <c r="F1254" s="86"/>
      <c r="G1254" s="100"/>
      <c r="H1254" s="86"/>
      <c r="I1254" s="86"/>
      <c r="J1254" s="87"/>
    </row>
    <row r="1255">
      <c r="A1255" s="92" t="s">
        <v>20</v>
      </c>
      <c r="B1255" s="116" t="s">
        <v>199</v>
      </c>
      <c r="C1255" s="122">
        <v>3.0</v>
      </c>
      <c r="D1255" s="121" t="s">
        <v>2288</v>
      </c>
      <c r="E1255" s="121" t="s">
        <v>2289</v>
      </c>
      <c r="F1255" s="94"/>
      <c r="G1255" s="98"/>
      <c r="H1255" s="94"/>
      <c r="I1255" s="94"/>
      <c r="J1255" s="87"/>
    </row>
    <row r="1256">
      <c r="A1256" s="84" t="s">
        <v>20</v>
      </c>
      <c r="B1256" s="117" t="s">
        <v>199</v>
      </c>
      <c r="C1256" s="123">
        <v>4.0</v>
      </c>
      <c r="D1256" s="119" t="s">
        <v>2290</v>
      </c>
      <c r="E1256" s="119" t="s">
        <v>2291</v>
      </c>
      <c r="F1256" s="86"/>
      <c r="G1256" s="100"/>
      <c r="H1256" s="86"/>
      <c r="I1256" s="86"/>
      <c r="J1256" s="87"/>
    </row>
    <row r="1257">
      <c r="A1257" s="92" t="s">
        <v>20</v>
      </c>
      <c r="B1257" s="116" t="s">
        <v>199</v>
      </c>
      <c r="C1257" s="122">
        <v>9.0</v>
      </c>
      <c r="D1257" s="121" t="s">
        <v>2292</v>
      </c>
      <c r="E1257" s="121" t="s">
        <v>2293</v>
      </c>
      <c r="F1257" s="94"/>
      <c r="G1257" s="98"/>
      <c r="H1257" s="94"/>
      <c r="I1257" s="94"/>
      <c r="J1257" s="87"/>
    </row>
    <row r="1258">
      <c r="A1258" s="84" t="s">
        <v>20</v>
      </c>
      <c r="B1258" s="117" t="s">
        <v>199</v>
      </c>
      <c r="C1258" s="123">
        <v>10.0</v>
      </c>
      <c r="D1258" s="119" t="s">
        <v>2294</v>
      </c>
      <c r="E1258" s="119" t="s">
        <v>2293</v>
      </c>
      <c r="F1258" s="86"/>
      <c r="G1258" s="100"/>
      <c r="H1258" s="86"/>
      <c r="I1258" s="86"/>
      <c r="J1258" s="87"/>
    </row>
    <row r="1259">
      <c r="A1259" s="92" t="s">
        <v>20</v>
      </c>
      <c r="B1259" s="116" t="s">
        <v>199</v>
      </c>
      <c r="C1259" s="122">
        <v>13.0</v>
      </c>
      <c r="D1259" s="121" t="s">
        <v>2288</v>
      </c>
      <c r="E1259" s="121" t="s">
        <v>2289</v>
      </c>
      <c r="F1259" s="94"/>
      <c r="G1259" s="98"/>
      <c r="H1259" s="94"/>
      <c r="I1259" s="94"/>
      <c r="J1259" s="87"/>
    </row>
    <row r="1260">
      <c r="A1260" s="84" t="s">
        <v>20</v>
      </c>
      <c r="B1260" s="117" t="s">
        <v>199</v>
      </c>
      <c r="C1260" s="123">
        <v>14.0</v>
      </c>
      <c r="D1260" s="119" t="s">
        <v>2295</v>
      </c>
      <c r="E1260" s="119" t="s">
        <v>2296</v>
      </c>
      <c r="F1260" s="86"/>
      <c r="G1260" s="100"/>
      <c r="H1260" s="86"/>
      <c r="I1260" s="86"/>
      <c r="J1260" s="87"/>
    </row>
    <row r="1261">
      <c r="A1261" s="92" t="s">
        <v>20</v>
      </c>
      <c r="B1261" s="116" t="s">
        <v>199</v>
      </c>
      <c r="C1261" s="122">
        <v>15.0</v>
      </c>
      <c r="D1261" s="121" t="s">
        <v>2290</v>
      </c>
      <c r="E1261" s="121" t="s">
        <v>2291</v>
      </c>
      <c r="F1261" s="94"/>
      <c r="G1261" s="98"/>
      <c r="H1261" s="94"/>
      <c r="I1261" s="94"/>
      <c r="J1261" s="87"/>
    </row>
    <row r="1262">
      <c r="A1262" s="84" t="s">
        <v>20</v>
      </c>
      <c r="B1262" s="117" t="s">
        <v>199</v>
      </c>
      <c r="C1262" s="123">
        <v>16.0</v>
      </c>
      <c r="D1262" s="119" t="s">
        <v>2297</v>
      </c>
      <c r="E1262" s="119" t="s">
        <v>2298</v>
      </c>
      <c r="F1262" s="86"/>
      <c r="G1262" s="100"/>
      <c r="H1262" s="86"/>
      <c r="I1262" s="86"/>
      <c r="J1262" s="87"/>
    </row>
    <row r="1263">
      <c r="A1263" s="92" t="s">
        <v>20</v>
      </c>
      <c r="B1263" s="116" t="s">
        <v>199</v>
      </c>
      <c r="C1263" s="122">
        <v>17.0</v>
      </c>
      <c r="D1263" s="121" t="s">
        <v>2299</v>
      </c>
      <c r="E1263" s="121" t="s">
        <v>2300</v>
      </c>
      <c r="F1263" s="94"/>
      <c r="G1263" s="98"/>
      <c r="H1263" s="94"/>
      <c r="I1263" s="94"/>
      <c r="J1263" s="87"/>
    </row>
    <row r="1264">
      <c r="A1264" s="84" t="s">
        <v>20</v>
      </c>
      <c r="B1264" s="117" t="s">
        <v>199</v>
      </c>
      <c r="C1264" s="123">
        <v>18.0</v>
      </c>
      <c r="D1264" s="119" t="s">
        <v>2301</v>
      </c>
      <c r="E1264" s="119" t="s">
        <v>2302</v>
      </c>
      <c r="F1264" s="86"/>
      <c r="G1264" s="100"/>
      <c r="H1264" s="86"/>
      <c r="I1264" s="86"/>
      <c r="J1264" s="87"/>
    </row>
    <row r="1265">
      <c r="A1265" s="92" t="s">
        <v>20</v>
      </c>
      <c r="B1265" s="116" t="s">
        <v>199</v>
      </c>
      <c r="C1265" s="122">
        <v>19.0</v>
      </c>
      <c r="D1265" s="121" t="s">
        <v>2303</v>
      </c>
      <c r="E1265" s="121" t="s">
        <v>2304</v>
      </c>
      <c r="F1265" s="94"/>
      <c r="G1265" s="98"/>
      <c r="H1265" s="94"/>
      <c r="I1265" s="94"/>
      <c r="J1265" s="87"/>
    </row>
    <row r="1266">
      <c r="A1266" s="84" t="s">
        <v>20</v>
      </c>
      <c r="B1266" s="117" t="s">
        <v>199</v>
      </c>
      <c r="C1266" s="123">
        <v>21.0</v>
      </c>
      <c r="D1266" s="119" t="s">
        <v>2305</v>
      </c>
      <c r="E1266" s="119" t="s">
        <v>2306</v>
      </c>
      <c r="F1266" s="86"/>
      <c r="G1266" s="100"/>
      <c r="H1266" s="86"/>
      <c r="I1266" s="86"/>
      <c r="J1266" s="87"/>
    </row>
    <row r="1267">
      <c r="A1267" s="92" t="s">
        <v>20</v>
      </c>
      <c r="B1267" s="116" t="s">
        <v>199</v>
      </c>
      <c r="C1267" s="122">
        <v>25.0</v>
      </c>
      <c r="D1267" s="121" t="s">
        <v>2307</v>
      </c>
      <c r="E1267" s="121" t="s">
        <v>2308</v>
      </c>
      <c r="F1267" s="94"/>
      <c r="G1267" s="98"/>
      <c r="H1267" s="94"/>
      <c r="I1267" s="94"/>
      <c r="J1267" s="87"/>
    </row>
    <row r="1268">
      <c r="A1268" s="84" t="s">
        <v>20</v>
      </c>
      <c r="B1268" s="117" t="s">
        <v>204</v>
      </c>
      <c r="C1268" s="123">
        <v>1.0</v>
      </c>
      <c r="D1268" s="119" t="s">
        <v>1753</v>
      </c>
      <c r="E1268" s="119" t="s">
        <v>1754</v>
      </c>
      <c r="F1268" s="86"/>
      <c r="G1268" s="100"/>
      <c r="H1268" s="86"/>
      <c r="I1268" s="86"/>
      <c r="J1268" s="87"/>
    </row>
    <row r="1269">
      <c r="A1269" s="92" t="s">
        <v>20</v>
      </c>
      <c r="B1269" s="116" t="s">
        <v>204</v>
      </c>
      <c r="C1269" s="122">
        <v>2.0</v>
      </c>
      <c r="D1269" s="121" t="s">
        <v>1755</v>
      </c>
      <c r="E1269" s="121" t="s">
        <v>1756</v>
      </c>
      <c r="F1269" s="94"/>
      <c r="G1269" s="98"/>
      <c r="H1269" s="94"/>
      <c r="I1269" s="94"/>
      <c r="J1269" s="87"/>
    </row>
    <row r="1270">
      <c r="A1270" s="84" t="s">
        <v>20</v>
      </c>
      <c r="B1270" s="117" t="s">
        <v>204</v>
      </c>
      <c r="C1270" s="123">
        <v>3.0</v>
      </c>
      <c r="D1270" s="119" t="s">
        <v>1757</v>
      </c>
      <c r="E1270" s="119" t="s">
        <v>1758</v>
      </c>
      <c r="F1270" s="86"/>
      <c r="G1270" s="100"/>
      <c r="H1270" s="86"/>
      <c r="I1270" s="86"/>
      <c r="J1270" s="87"/>
    </row>
    <row r="1271">
      <c r="A1271" s="92" t="s">
        <v>20</v>
      </c>
      <c r="B1271" s="116" t="s">
        <v>204</v>
      </c>
      <c r="C1271" s="122">
        <v>4.0</v>
      </c>
      <c r="D1271" s="121" t="s">
        <v>1759</v>
      </c>
      <c r="E1271" s="121" t="s">
        <v>1760</v>
      </c>
      <c r="F1271" s="94"/>
      <c r="G1271" s="98"/>
      <c r="H1271" s="94"/>
      <c r="I1271" s="94"/>
      <c r="J1271" s="87"/>
    </row>
    <row r="1272">
      <c r="A1272" s="84" t="s">
        <v>20</v>
      </c>
      <c r="B1272" s="117" t="s">
        <v>204</v>
      </c>
      <c r="C1272" s="123">
        <v>5.0</v>
      </c>
      <c r="D1272" s="119" t="s">
        <v>1761</v>
      </c>
      <c r="E1272" s="119" t="s">
        <v>1762</v>
      </c>
      <c r="F1272" s="86"/>
      <c r="G1272" s="100"/>
      <c r="H1272" s="86"/>
      <c r="I1272" s="86"/>
      <c r="J1272" s="87"/>
    </row>
    <row r="1273">
      <c r="A1273" s="92" t="s">
        <v>20</v>
      </c>
      <c r="B1273" s="116" t="s">
        <v>204</v>
      </c>
      <c r="C1273" s="122">
        <v>6.0</v>
      </c>
      <c r="D1273" s="121" t="s">
        <v>1763</v>
      </c>
      <c r="E1273" s="121" t="s">
        <v>1764</v>
      </c>
      <c r="F1273" s="94"/>
      <c r="G1273" s="98"/>
      <c r="H1273" s="94"/>
      <c r="I1273" s="94"/>
      <c r="J1273" s="87"/>
    </row>
    <row r="1274">
      <c r="A1274" s="84" t="s">
        <v>20</v>
      </c>
      <c r="B1274" s="117" t="s">
        <v>204</v>
      </c>
      <c r="C1274" s="123">
        <v>7.0</v>
      </c>
      <c r="D1274" s="119" t="s">
        <v>1765</v>
      </c>
      <c r="E1274" s="119" t="s">
        <v>1766</v>
      </c>
      <c r="F1274" s="86"/>
      <c r="G1274" s="100"/>
      <c r="H1274" s="86"/>
      <c r="I1274" s="86"/>
      <c r="J1274" s="87"/>
    </row>
    <row r="1275">
      <c r="A1275" s="92" t="s">
        <v>20</v>
      </c>
      <c r="B1275" s="116" t="s">
        <v>204</v>
      </c>
      <c r="C1275" s="122">
        <v>8.0</v>
      </c>
      <c r="D1275" s="121" t="s">
        <v>1767</v>
      </c>
      <c r="E1275" s="121" t="s">
        <v>1766</v>
      </c>
      <c r="F1275" s="94"/>
      <c r="G1275" s="98"/>
      <c r="H1275" s="94"/>
      <c r="I1275" s="94"/>
      <c r="J1275" s="87"/>
    </row>
    <row r="1276">
      <c r="A1276" s="84" t="s">
        <v>20</v>
      </c>
      <c r="B1276" s="117" t="s">
        <v>204</v>
      </c>
      <c r="C1276" s="123">
        <v>11.0</v>
      </c>
      <c r="D1276" s="119" t="s">
        <v>1768</v>
      </c>
      <c r="E1276" s="119" t="s">
        <v>1769</v>
      </c>
      <c r="F1276" s="86"/>
      <c r="G1276" s="100"/>
      <c r="H1276" s="86"/>
      <c r="I1276" s="86"/>
      <c r="J1276" s="87"/>
    </row>
    <row r="1277">
      <c r="A1277" s="92" t="s">
        <v>20</v>
      </c>
      <c r="B1277" s="116" t="s">
        <v>204</v>
      </c>
      <c r="C1277" s="122">
        <v>12.0</v>
      </c>
      <c r="D1277" s="121" t="s">
        <v>1770</v>
      </c>
      <c r="E1277" s="121" t="s">
        <v>1771</v>
      </c>
      <c r="F1277" s="94"/>
      <c r="G1277" s="98"/>
      <c r="H1277" s="94"/>
      <c r="I1277" s="94"/>
      <c r="J1277" s="87"/>
    </row>
    <row r="1278">
      <c r="A1278" s="84" t="s">
        <v>20</v>
      </c>
      <c r="B1278" s="117" t="s">
        <v>204</v>
      </c>
      <c r="C1278" s="123">
        <v>14.0</v>
      </c>
      <c r="D1278" s="119" t="s">
        <v>1772</v>
      </c>
      <c r="E1278" s="119" t="s">
        <v>1769</v>
      </c>
      <c r="F1278" s="86"/>
      <c r="G1278" s="100"/>
      <c r="H1278" s="86"/>
      <c r="I1278" s="86"/>
      <c r="J1278" s="87"/>
    </row>
    <row r="1279">
      <c r="A1279" s="92" t="s">
        <v>20</v>
      </c>
      <c r="B1279" s="116" t="s">
        <v>204</v>
      </c>
      <c r="C1279" s="122">
        <v>15.0</v>
      </c>
      <c r="D1279" s="121" t="s">
        <v>1773</v>
      </c>
      <c r="E1279" s="121" t="s">
        <v>1771</v>
      </c>
      <c r="F1279" s="94"/>
      <c r="G1279" s="98"/>
      <c r="H1279" s="94"/>
      <c r="I1279" s="94"/>
      <c r="J1279" s="87"/>
    </row>
    <row r="1280">
      <c r="A1280" s="84" t="s">
        <v>20</v>
      </c>
      <c r="B1280" s="117" t="s">
        <v>204</v>
      </c>
      <c r="C1280" s="123">
        <v>17.0</v>
      </c>
      <c r="D1280" s="119" t="s">
        <v>1774</v>
      </c>
      <c r="E1280" s="119" t="s">
        <v>1775</v>
      </c>
      <c r="F1280" s="86"/>
      <c r="G1280" s="100"/>
      <c r="H1280" s="86"/>
      <c r="I1280" s="86"/>
      <c r="J1280" s="87"/>
    </row>
    <row r="1281">
      <c r="A1281" s="92" t="s">
        <v>20</v>
      </c>
      <c r="B1281" s="116" t="s">
        <v>204</v>
      </c>
      <c r="C1281" s="122">
        <v>18.0</v>
      </c>
      <c r="D1281" s="121" t="s">
        <v>1776</v>
      </c>
      <c r="E1281" s="121" t="s">
        <v>1777</v>
      </c>
      <c r="F1281" s="94"/>
      <c r="G1281" s="98"/>
      <c r="H1281" s="94"/>
      <c r="I1281" s="94"/>
      <c r="J1281" s="87"/>
    </row>
    <row r="1282">
      <c r="A1282" s="84" t="s">
        <v>20</v>
      </c>
      <c r="B1282" s="117" t="s">
        <v>204</v>
      </c>
      <c r="C1282" s="123">
        <v>20.0</v>
      </c>
      <c r="D1282" s="119" t="s">
        <v>1778</v>
      </c>
      <c r="E1282" s="119" t="s">
        <v>1775</v>
      </c>
      <c r="F1282" s="86"/>
      <c r="G1282" s="100"/>
      <c r="H1282" s="86"/>
      <c r="I1282" s="86"/>
      <c r="J1282" s="87"/>
    </row>
    <row r="1283">
      <c r="A1283" s="92" t="s">
        <v>20</v>
      </c>
      <c r="B1283" s="116" t="s">
        <v>204</v>
      </c>
      <c r="C1283" s="122">
        <v>21.0</v>
      </c>
      <c r="D1283" s="121" t="s">
        <v>1779</v>
      </c>
      <c r="E1283" s="121" t="s">
        <v>1777</v>
      </c>
      <c r="F1283" s="94"/>
      <c r="G1283" s="98"/>
      <c r="H1283" s="94"/>
      <c r="I1283" s="94"/>
      <c r="J1283" s="87"/>
    </row>
    <row r="1284">
      <c r="A1284" s="84" t="s">
        <v>20</v>
      </c>
      <c r="B1284" s="117" t="s">
        <v>204</v>
      </c>
      <c r="C1284" s="123">
        <v>23.0</v>
      </c>
      <c r="D1284" s="119" t="s">
        <v>1780</v>
      </c>
      <c r="E1284" s="119" t="s">
        <v>1781</v>
      </c>
      <c r="F1284" s="86"/>
      <c r="G1284" s="100"/>
      <c r="H1284" s="86"/>
      <c r="I1284" s="86"/>
      <c r="J1284" s="87"/>
    </row>
    <row r="1285">
      <c r="A1285" s="92" t="s">
        <v>20</v>
      </c>
      <c r="B1285" s="116" t="s">
        <v>204</v>
      </c>
      <c r="C1285" s="122">
        <v>24.0</v>
      </c>
      <c r="D1285" s="121" t="s">
        <v>1782</v>
      </c>
      <c r="E1285" s="121" t="s">
        <v>1781</v>
      </c>
      <c r="F1285" s="94"/>
      <c r="G1285" s="98"/>
      <c r="H1285" s="94"/>
      <c r="I1285" s="94"/>
      <c r="J1285" s="87"/>
    </row>
    <row r="1286">
      <c r="A1286" s="84" t="s">
        <v>20</v>
      </c>
      <c r="B1286" s="117" t="s">
        <v>204</v>
      </c>
      <c r="C1286" s="123">
        <v>32.0</v>
      </c>
      <c r="D1286" s="119" t="s">
        <v>1783</v>
      </c>
      <c r="E1286" s="119" t="s">
        <v>1784</v>
      </c>
      <c r="F1286" s="86"/>
      <c r="G1286" s="100"/>
      <c r="H1286" s="86"/>
      <c r="I1286" s="86"/>
      <c r="J1286" s="87"/>
    </row>
    <row r="1287">
      <c r="A1287" s="92" t="s">
        <v>20</v>
      </c>
      <c r="B1287" s="116" t="s">
        <v>204</v>
      </c>
      <c r="C1287" s="122">
        <v>34.0</v>
      </c>
      <c r="D1287" s="121" t="s">
        <v>1785</v>
      </c>
      <c r="E1287" s="121" t="s">
        <v>1786</v>
      </c>
      <c r="F1287" s="94"/>
      <c r="G1287" s="98"/>
      <c r="H1287" s="94"/>
      <c r="I1287" s="94"/>
      <c r="J1287" s="87"/>
    </row>
    <row r="1288">
      <c r="A1288" s="84" t="s">
        <v>20</v>
      </c>
      <c r="B1288" s="117" t="s">
        <v>204</v>
      </c>
      <c r="C1288" s="123">
        <v>37.0</v>
      </c>
      <c r="D1288" s="119" t="s">
        <v>1787</v>
      </c>
      <c r="E1288" s="119" t="s">
        <v>1788</v>
      </c>
      <c r="F1288" s="86"/>
      <c r="G1288" s="100"/>
      <c r="H1288" s="86"/>
      <c r="I1288" s="86"/>
      <c r="J1288" s="87"/>
    </row>
    <row r="1289">
      <c r="A1289" s="92" t="s">
        <v>20</v>
      </c>
      <c r="B1289" s="116" t="s">
        <v>204</v>
      </c>
      <c r="C1289" s="122">
        <v>38.0</v>
      </c>
      <c r="D1289" s="121" t="s">
        <v>1789</v>
      </c>
      <c r="E1289" s="121" t="s">
        <v>1790</v>
      </c>
      <c r="F1289" s="94"/>
      <c r="G1289" s="98"/>
      <c r="H1289" s="94"/>
      <c r="I1289" s="94"/>
      <c r="J1289" s="87"/>
    </row>
    <row r="1290">
      <c r="A1290" s="84" t="s">
        <v>20</v>
      </c>
      <c r="B1290" s="117" t="s">
        <v>204</v>
      </c>
      <c r="C1290" s="123">
        <v>41.0</v>
      </c>
      <c r="D1290" s="119" t="s">
        <v>1791</v>
      </c>
      <c r="E1290" s="119" t="s">
        <v>1792</v>
      </c>
      <c r="F1290" s="86"/>
      <c r="G1290" s="100"/>
      <c r="H1290" s="86"/>
      <c r="I1290" s="86"/>
      <c r="J1290" s="87"/>
    </row>
    <row r="1291">
      <c r="A1291" s="92" t="s">
        <v>20</v>
      </c>
      <c r="B1291" s="116" t="s">
        <v>204</v>
      </c>
      <c r="C1291" s="122">
        <v>42.0</v>
      </c>
      <c r="D1291" s="121" t="s">
        <v>1793</v>
      </c>
      <c r="E1291" s="121" t="s">
        <v>1794</v>
      </c>
      <c r="F1291" s="94"/>
      <c r="G1291" s="98"/>
      <c r="H1291" s="94"/>
      <c r="I1291" s="94"/>
      <c r="J1291" s="87"/>
    </row>
    <row r="1292">
      <c r="A1292" s="84" t="s">
        <v>20</v>
      </c>
      <c r="B1292" s="117" t="s">
        <v>204</v>
      </c>
      <c r="C1292" s="123">
        <v>44.0</v>
      </c>
      <c r="D1292" s="119" t="s">
        <v>1795</v>
      </c>
      <c r="E1292" s="119" t="s">
        <v>1794</v>
      </c>
      <c r="F1292" s="86"/>
      <c r="G1292" s="100"/>
      <c r="H1292" s="86"/>
      <c r="I1292" s="86"/>
      <c r="J1292" s="87"/>
    </row>
    <row r="1293">
      <c r="A1293" s="92" t="s">
        <v>20</v>
      </c>
      <c r="B1293" s="116" t="s">
        <v>204</v>
      </c>
      <c r="C1293" s="122">
        <v>46.0</v>
      </c>
      <c r="D1293" s="121" t="s">
        <v>1796</v>
      </c>
      <c r="E1293" s="121" t="s">
        <v>1794</v>
      </c>
      <c r="F1293" s="94"/>
      <c r="G1293" s="98"/>
      <c r="H1293" s="94"/>
      <c r="I1293" s="94"/>
      <c r="J1293" s="87"/>
    </row>
    <row r="1294">
      <c r="A1294" s="84" t="s">
        <v>20</v>
      </c>
      <c r="B1294" s="117" t="s">
        <v>204</v>
      </c>
      <c r="C1294" s="123">
        <v>59.0</v>
      </c>
      <c r="D1294" s="119" t="s">
        <v>1797</v>
      </c>
      <c r="E1294" s="119" t="s">
        <v>1798</v>
      </c>
      <c r="F1294" s="86"/>
      <c r="G1294" s="100"/>
      <c r="H1294" s="86"/>
      <c r="I1294" s="86"/>
      <c r="J1294" s="87"/>
    </row>
    <row r="1295">
      <c r="A1295" s="92" t="s">
        <v>20</v>
      </c>
      <c r="B1295" s="116" t="s">
        <v>204</v>
      </c>
      <c r="C1295" s="122">
        <v>63.0</v>
      </c>
      <c r="D1295" s="121" t="s">
        <v>1799</v>
      </c>
      <c r="E1295" s="121" t="s">
        <v>1798</v>
      </c>
      <c r="F1295" s="94"/>
      <c r="G1295" s="98"/>
      <c r="H1295" s="94"/>
      <c r="I1295" s="94"/>
      <c r="J1295" s="87"/>
    </row>
    <row r="1296">
      <c r="A1296" s="84" t="s">
        <v>20</v>
      </c>
      <c r="B1296" s="117" t="s">
        <v>204</v>
      </c>
      <c r="C1296" s="123">
        <v>68.0</v>
      </c>
      <c r="D1296" s="119" t="s">
        <v>1800</v>
      </c>
      <c r="E1296" s="119" t="s">
        <v>1798</v>
      </c>
      <c r="F1296" s="86"/>
      <c r="G1296" s="100"/>
      <c r="H1296" s="86"/>
      <c r="I1296" s="86"/>
      <c r="J1296" s="87"/>
    </row>
    <row r="1297">
      <c r="A1297" s="92" t="s">
        <v>20</v>
      </c>
      <c r="B1297" s="116" t="s">
        <v>209</v>
      </c>
      <c r="C1297" s="122">
        <v>1.0</v>
      </c>
      <c r="D1297" s="121" t="s">
        <v>2309</v>
      </c>
      <c r="E1297" s="121" t="s">
        <v>2310</v>
      </c>
      <c r="F1297" s="94"/>
      <c r="G1297" s="98"/>
      <c r="H1297" s="94"/>
      <c r="I1297" s="94"/>
      <c r="J1297" s="87"/>
    </row>
    <row r="1298">
      <c r="A1298" s="84" t="s">
        <v>20</v>
      </c>
      <c r="B1298" s="117" t="s">
        <v>209</v>
      </c>
      <c r="C1298" s="123">
        <v>2.0</v>
      </c>
      <c r="D1298" s="119" t="s">
        <v>2311</v>
      </c>
      <c r="E1298" s="119" t="s">
        <v>2312</v>
      </c>
      <c r="F1298" s="86"/>
      <c r="G1298" s="100"/>
      <c r="H1298" s="86"/>
      <c r="I1298" s="86"/>
      <c r="J1298" s="87"/>
    </row>
    <row r="1299">
      <c r="A1299" s="92" t="s">
        <v>20</v>
      </c>
      <c r="B1299" s="116" t="s">
        <v>209</v>
      </c>
      <c r="C1299" s="122">
        <v>3.0</v>
      </c>
      <c r="D1299" s="121" t="s">
        <v>2313</v>
      </c>
      <c r="E1299" s="121" t="s">
        <v>2314</v>
      </c>
      <c r="F1299" s="94"/>
      <c r="G1299" s="98"/>
      <c r="H1299" s="94"/>
      <c r="I1299" s="94"/>
      <c r="J1299" s="87"/>
    </row>
    <row r="1300">
      <c r="A1300" s="84" t="s">
        <v>20</v>
      </c>
      <c r="B1300" s="117" t="s">
        <v>209</v>
      </c>
      <c r="C1300" s="123">
        <v>4.0</v>
      </c>
      <c r="D1300" s="119" t="s">
        <v>2315</v>
      </c>
      <c r="E1300" s="119" t="s">
        <v>2316</v>
      </c>
      <c r="F1300" s="86"/>
      <c r="G1300" s="100"/>
      <c r="H1300" s="86"/>
      <c r="I1300" s="86"/>
      <c r="J1300" s="87"/>
    </row>
    <row r="1301">
      <c r="A1301" s="92" t="s">
        <v>20</v>
      </c>
      <c r="B1301" s="116" t="s">
        <v>209</v>
      </c>
      <c r="C1301" s="122">
        <v>6.0</v>
      </c>
      <c r="D1301" s="121" t="s">
        <v>2317</v>
      </c>
      <c r="E1301" s="121" t="s">
        <v>2318</v>
      </c>
      <c r="F1301" s="94"/>
      <c r="G1301" s="98"/>
      <c r="H1301" s="94"/>
      <c r="I1301" s="94"/>
      <c r="J1301" s="87"/>
    </row>
    <row r="1302">
      <c r="A1302" s="84" t="s">
        <v>20</v>
      </c>
      <c r="B1302" s="117" t="s">
        <v>209</v>
      </c>
      <c r="C1302" s="123">
        <v>7.0</v>
      </c>
      <c r="D1302" s="119" t="s">
        <v>2319</v>
      </c>
      <c r="E1302" s="119" t="s">
        <v>2320</v>
      </c>
      <c r="F1302" s="86"/>
      <c r="G1302" s="100"/>
      <c r="H1302" s="86"/>
      <c r="I1302" s="86"/>
      <c r="J1302" s="87"/>
    </row>
    <row r="1303">
      <c r="A1303" s="92" t="s">
        <v>20</v>
      </c>
      <c r="B1303" s="116" t="s">
        <v>209</v>
      </c>
      <c r="C1303" s="122">
        <v>9.0</v>
      </c>
      <c r="D1303" s="121" t="s">
        <v>2321</v>
      </c>
      <c r="E1303" s="121" t="s">
        <v>2322</v>
      </c>
      <c r="F1303" s="94"/>
      <c r="G1303" s="98"/>
      <c r="H1303" s="94"/>
      <c r="I1303" s="94"/>
      <c r="J1303" s="87"/>
    </row>
    <row r="1304">
      <c r="A1304" s="84" t="s">
        <v>20</v>
      </c>
      <c r="B1304" s="117" t="s">
        <v>209</v>
      </c>
      <c r="C1304" s="123">
        <v>10.0</v>
      </c>
      <c r="D1304" s="119" t="s">
        <v>2323</v>
      </c>
      <c r="E1304" s="119" t="s">
        <v>2322</v>
      </c>
      <c r="F1304" s="86"/>
      <c r="G1304" s="100"/>
      <c r="H1304" s="86"/>
      <c r="I1304" s="86"/>
      <c r="J1304" s="87"/>
    </row>
    <row r="1305">
      <c r="A1305" s="92" t="s">
        <v>20</v>
      </c>
      <c r="B1305" s="116" t="s">
        <v>209</v>
      </c>
      <c r="C1305" s="122">
        <v>13.0</v>
      </c>
      <c r="D1305" s="121" t="s">
        <v>2324</v>
      </c>
      <c r="E1305" s="121" t="s">
        <v>2314</v>
      </c>
      <c r="F1305" s="94"/>
      <c r="G1305" s="98"/>
      <c r="H1305" s="94"/>
      <c r="I1305" s="94"/>
      <c r="J1305" s="87"/>
    </row>
    <row r="1306">
      <c r="A1306" s="84" t="s">
        <v>20</v>
      </c>
      <c r="B1306" s="117" t="s">
        <v>209</v>
      </c>
      <c r="C1306" s="123">
        <v>14.0</v>
      </c>
      <c r="D1306" s="119" t="s">
        <v>2325</v>
      </c>
      <c r="E1306" s="119" t="s">
        <v>2326</v>
      </c>
      <c r="F1306" s="86"/>
      <c r="G1306" s="100"/>
      <c r="H1306" s="86"/>
      <c r="I1306" s="86"/>
      <c r="J1306" s="87"/>
    </row>
    <row r="1307">
      <c r="A1307" s="92" t="s">
        <v>20</v>
      </c>
      <c r="B1307" s="116" t="s">
        <v>209</v>
      </c>
      <c r="C1307" s="122">
        <v>15.0</v>
      </c>
      <c r="D1307" s="121" t="s">
        <v>2327</v>
      </c>
      <c r="E1307" s="121" t="s">
        <v>2316</v>
      </c>
      <c r="F1307" s="94"/>
      <c r="G1307" s="98"/>
      <c r="H1307" s="94"/>
      <c r="I1307" s="94"/>
      <c r="J1307" s="87"/>
    </row>
    <row r="1308">
      <c r="A1308" s="84" t="s">
        <v>20</v>
      </c>
      <c r="B1308" s="117" t="s">
        <v>209</v>
      </c>
      <c r="C1308" s="123">
        <v>16.0</v>
      </c>
      <c r="D1308" s="119" t="s">
        <v>2328</v>
      </c>
      <c r="E1308" s="119" t="s">
        <v>2329</v>
      </c>
      <c r="F1308" s="86"/>
      <c r="G1308" s="100"/>
      <c r="H1308" s="86"/>
      <c r="I1308" s="86"/>
      <c r="J1308" s="87"/>
    </row>
    <row r="1309">
      <c r="A1309" s="92" t="s">
        <v>20</v>
      </c>
      <c r="B1309" s="116" t="s">
        <v>209</v>
      </c>
      <c r="C1309" s="122">
        <v>17.0</v>
      </c>
      <c r="D1309" s="121" t="s">
        <v>2330</v>
      </c>
      <c r="E1309" s="121" t="s">
        <v>2331</v>
      </c>
      <c r="F1309" s="94"/>
      <c r="G1309" s="98"/>
      <c r="H1309" s="94"/>
      <c r="I1309" s="94"/>
      <c r="J1309" s="87"/>
    </row>
    <row r="1310">
      <c r="A1310" s="84" t="s">
        <v>20</v>
      </c>
      <c r="B1310" s="117" t="s">
        <v>209</v>
      </c>
      <c r="C1310" s="123">
        <v>18.0</v>
      </c>
      <c r="D1310" s="119" t="s">
        <v>2332</v>
      </c>
      <c r="E1310" s="119" t="s">
        <v>2333</v>
      </c>
      <c r="F1310" s="86"/>
      <c r="G1310" s="100"/>
      <c r="H1310" s="86"/>
      <c r="I1310" s="86"/>
      <c r="J1310" s="87"/>
    </row>
    <row r="1311">
      <c r="A1311" s="92" t="s">
        <v>20</v>
      </c>
      <c r="B1311" s="116" t="s">
        <v>209</v>
      </c>
      <c r="C1311" s="122">
        <v>19.0</v>
      </c>
      <c r="D1311" s="121" t="s">
        <v>2334</v>
      </c>
      <c r="E1311" s="121" t="s">
        <v>2335</v>
      </c>
      <c r="F1311" s="94"/>
      <c r="G1311" s="98"/>
      <c r="H1311" s="94"/>
      <c r="I1311" s="94"/>
      <c r="J1311" s="87"/>
    </row>
    <row r="1312">
      <c r="A1312" s="84" t="s">
        <v>20</v>
      </c>
      <c r="B1312" s="117" t="s">
        <v>209</v>
      </c>
      <c r="C1312" s="123">
        <v>20.0</v>
      </c>
      <c r="D1312" s="119" t="s">
        <v>2336</v>
      </c>
      <c r="E1312" s="119" t="s">
        <v>2337</v>
      </c>
      <c r="F1312" s="86"/>
      <c r="G1312" s="100"/>
      <c r="H1312" s="86"/>
      <c r="I1312" s="86"/>
      <c r="J1312" s="87"/>
    </row>
    <row r="1313">
      <c r="A1313" s="92" t="s">
        <v>20</v>
      </c>
      <c r="B1313" s="116" t="s">
        <v>209</v>
      </c>
      <c r="C1313" s="122">
        <v>21.0</v>
      </c>
      <c r="D1313" s="121" t="s">
        <v>2338</v>
      </c>
      <c r="E1313" s="121" t="s">
        <v>2339</v>
      </c>
      <c r="F1313" s="94"/>
      <c r="G1313" s="98"/>
      <c r="H1313" s="94"/>
      <c r="I1313" s="94"/>
      <c r="J1313" s="87"/>
    </row>
    <row r="1314">
      <c r="A1314" s="84" t="s">
        <v>20</v>
      </c>
      <c r="B1314" s="117" t="s">
        <v>209</v>
      </c>
      <c r="C1314" s="123">
        <v>25.0</v>
      </c>
      <c r="D1314" s="119" t="s">
        <v>2340</v>
      </c>
      <c r="E1314" s="119" t="s">
        <v>2341</v>
      </c>
      <c r="F1314" s="86"/>
      <c r="G1314" s="100"/>
      <c r="H1314" s="86"/>
      <c r="I1314" s="86"/>
      <c r="J1314" s="87"/>
    </row>
    <row r="1315">
      <c r="A1315" s="92" t="s">
        <v>20</v>
      </c>
      <c r="B1315" s="116" t="s">
        <v>128</v>
      </c>
      <c r="C1315" s="122">
        <v>1.0</v>
      </c>
      <c r="D1315" s="133" t="s">
        <v>2342</v>
      </c>
      <c r="E1315" s="133" t="s">
        <v>2343</v>
      </c>
      <c r="F1315" s="94"/>
      <c r="G1315" s="98"/>
      <c r="H1315" s="94"/>
      <c r="I1315" s="94"/>
      <c r="J1315" s="87"/>
    </row>
    <row r="1316">
      <c r="A1316" s="84" t="s">
        <v>20</v>
      </c>
      <c r="B1316" s="117" t="s">
        <v>128</v>
      </c>
      <c r="C1316" s="123">
        <v>2.0</v>
      </c>
      <c r="D1316" s="134" t="s">
        <v>2344</v>
      </c>
      <c r="E1316" s="134" t="s">
        <v>2253</v>
      </c>
      <c r="F1316" s="86"/>
      <c r="G1316" s="100"/>
      <c r="H1316" s="86"/>
      <c r="I1316" s="86"/>
      <c r="J1316" s="87"/>
    </row>
    <row r="1317">
      <c r="A1317" s="92" t="s">
        <v>20</v>
      </c>
      <c r="B1317" s="116" t="s">
        <v>128</v>
      </c>
      <c r="C1317" s="122">
        <v>3.0</v>
      </c>
      <c r="D1317" s="133" t="s">
        <v>2345</v>
      </c>
      <c r="E1317" s="133" t="s">
        <v>2346</v>
      </c>
      <c r="F1317" s="94"/>
      <c r="G1317" s="98"/>
      <c r="H1317" s="94"/>
      <c r="I1317" s="94"/>
      <c r="J1317" s="87"/>
    </row>
    <row r="1318">
      <c r="A1318" s="84" t="s">
        <v>20</v>
      </c>
      <c r="B1318" s="117" t="s">
        <v>128</v>
      </c>
      <c r="C1318" s="123">
        <v>4.0</v>
      </c>
      <c r="D1318" s="134" t="s">
        <v>2347</v>
      </c>
      <c r="E1318" s="134" t="s">
        <v>2348</v>
      </c>
      <c r="F1318" s="86"/>
      <c r="G1318" s="100"/>
      <c r="H1318" s="86"/>
      <c r="I1318" s="86"/>
      <c r="J1318" s="87"/>
    </row>
    <row r="1319">
      <c r="A1319" s="92" t="s">
        <v>20</v>
      </c>
      <c r="B1319" s="116" t="s">
        <v>128</v>
      </c>
      <c r="C1319" s="122">
        <v>7.0</v>
      </c>
      <c r="D1319" s="133" t="s">
        <v>2349</v>
      </c>
      <c r="E1319" s="133" t="s">
        <v>2350</v>
      </c>
      <c r="F1319" s="94"/>
      <c r="G1319" s="98"/>
      <c r="H1319" s="94"/>
      <c r="I1319" s="94"/>
      <c r="J1319" s="87"/>
    </row>
    <row r="1320">
      <c r="A1320" s="84" t="s">
        <v>20</v>
      </c>
      <c r="B1320" s="117" t="s">
        <v>128</v>
      </c>
      <c r="C1320" s="123">
        <v>8.0</v>
      </c>
      <c r="D1320" s="134" t="s">
        <v>2351</v>
      </c>
      <c r="E1320" s="134" t="s">
        <v>2352</v>
      </c>
      <c r="F1320" s="86"/>
      <c r="G1320" s="100"/>
      <c r="H1320" s="86"/>
      <c r="I1320" s="86"/>
      <c r="J1320" s="87"/>
    </row>
    <row r="1321">
      <c r="A1321" s="92" t="s">
        <v>20</v>
      </c>
      <c r="B1321" s="116" t="s">
        <v>128</v>
      </c>
      <c r="C1321" s="122">
        <v>9.0</v>
      </c>
      <c r="D1321" s="133" t="s">
        <v>2353</v>
      </c>
      <c r="E1321" s="133" t="s">
        <v>2352</v>
      </c>
      <c r="F1321" s="94"/>
      <c r="G1321" s="98"/>
      <c r="H1321" s="94"/>
      <c r="I1321" s="94"/>
      <c r="J1321" s="87"/>
    </row>
    <row r="1322">
      <c r="A1322" s="84" t="s">
        <v>20</v>
      </c>
      <c r="B1322" s="117" t="s">
        <v>128</v>
      </c>
      <c r="C1322" s="123">
        <v>10.0</v>
      </c>
      <c r="D1322" s="134" t="s">
        <v>2354</v>
      </c>
      <c r="E1322" s="134" t="s">
        <v>2352</v>
      </c>
      <c r="F1322" s="86"/>
      <c r="G1322" s="100"/>
      <c r="H1322" s="86"/>
      <c r="I1322" s="86"/>
      <c r="J1322" s="87"/>
    </row>
    <row r="1323">
      <c r="A1323" s="92" t="s">
        <v>20</v>
      </c>
      <c r="B1323" s="116" t="s">
        <v>128</v>
      </c>
      <c r="C1323" s="122">
        <v>12.0</v>
      </c>
      <c r="D1323" s="133" t="s">
        <v>2355</v>
      </c>
      <c r="E1323" s="133" t="s">
        <v>2356</v>
      </c>
      <c r="F1323" s="94"/>
      <c r="G1323" s="98"/>
      <c r="H1323" s="94"/>
      <c r="I1323" s="94"/>
      <c r="J1323" s="87"/>
    </row>
    <row r="1324">
      <c r="A1324" s="84" t="s">
        <v>20</v>
      </c>
      <c r="B1324" s="117" t="s">
        <v>128</v>
      </c>
      <c r="C1324" s="123">
        <v>13.0</v>
      </c>
      <c r="D1324" s="134" t="s">
        <v>2357</v>
      </c>
      <c r="E1324" s="134" t="s">
        <v>2358</v>
      </c>
      <c r="F1324" s="86"/>
      <c r="G1324" s="100"/>
      <c r="H1324" s="86"/>
      <c r="I1324" s="86"/>
      <c r="J1324" s="87"/>
    </row>
    <row r="1325">
      <c r="A1325" s="92" t="s">
        <v>20</v>
      </c>
      <c r="B1325" s="116" t="s">
        <v>128</v>
      </c>
      <c r="C1325" s="122">
        <v>14.0</v>
      </c>
      <c r="D1325" s="133" t="s">
        <v>2359</v>
      </c>
      <c r="E1325" s="133" t="s">
        <v>2360</v>
      </c>
      <c r="F1325" s="94"/>
      <c r="G1325" s="98"/>
      <c r="H1325" s="94"/>
      <c r="I1325" s="94"/>
      <c r="J1325" s="87"/>
    </row>
    <row r="1326">
      <c r="A1326" s="84" t="s">
        <v>20</v>
      </c>
      <c r="B1326" s="117" t="s">
        <v>128</v>
      </c>
      <c r="C1326" s="123">
        <v>15.0</v>
      </c>
      <c r="D1326" s="134" t="s">
        <v>2361</v>
      </c>
      <c r="E1326" s="134" t="s">
        <v>2362</v>
      </c>
      <c r="F1326" s="86"/>
      <c r="G1326" s="100"/>
      <c r="H1326" s="86"/>
      <c r="I1326" s="86"/>
      <c r="J1326" s="87"/>
    </row>
    <row r="1327">
      <c r="A1327" s="92" t="s">
        <v>20</v>
      </c>
      <c r="B1327" s="116" t="s">
        <v>128</v>
      </c>
      <c r="C1327" s="122">
        <v>16.0</v>
      </c>
      <c r="D1327" s="133" t="s">
        <v>2363</v>
      </c>
      <c r="E1327" s="133" t="s">
        <v>2364</v>
      </c>
      <c r="F1327" s="94"/>
      <c r="G1327" s="98"/>
      <c r="H1327" s="94"/>
      <c r="I1327" s="94"/>
      <c r="J1327" s="87"/>
    </row>
    <row r="1328">
      <c r="A1328" s="84" t="s">
        <v>20</v>
      </c>
      <c r="B1328" s="117" t="s">
        <v>128</v>
      </c>
      <c r="C1328" s="123">
        <v>17.0</v>
      </c>
      <c r="D1328" s="134" t="s">
        <v>2365</v>
      </c>
      <c r="E1328" s="134" t="s">
        <v>2364</v>
      </c>
      <c r="F1328" s="86"/>
      <c r="G1328" s="100"/>
      <c r="H1328" s="86"/>
      <c r="I1328" s="86"/>
      <c r="J1328" s="87"/>
    </row>
    <row r="1329">
      <c r="A1329" s="92" t="s">
        <v>20</v>
      </c>
      <c r="B1329" s="116" t="s">
        <v>128</v>
      </c>
      <c r="C1329" s="122">
        <v>18.0</v>
      </c>
      <c r="D1329" s="133" t="s">
        <v>2366</v>
      </c>
      <c r="E1329" s="133" t="s">
        <v>2367</v>
      </c>
      <c r="F1329" s="94"/>
      <c r="G1329" s="98"/>
      <c r="H1329" s="94"/>
      <c r="I1329" s="94"/>
      <c r="J1329" s="87"/>
    </row>
    <row r="1330">
      <c r="A1330" s="84" t="s">
        <v>20</v>
      </c>
      <c r="B1330" s="117" t="s">
        <v>128</v>
      </c>
      <c r="C1330" s="123">
        <v>19.0</v>
      </c>
      <c r="D1330" s="134" t="s">
        <v>2368</v>
      </c>
      <c r="E1330" s="134" t="s">
        <v>2369</v>
      </c>
      <c r="F1330" s="86"/>
      <c r="G1330" s="100"/>
      <c r="H1330" s="86"/>
      <c r="I1330" s="86"/>
      <c r="J1330" s="87"/>
    </row>
    <row r="1331">
      <c r="A1331" s="92" t="s">
        <v>20</v>
      </c>
      <c r="B1331" s="116" t="s">
        <v>128</v>
      </c>
      <c r="C1331" s="122">
        <v>25.0</v>
      </c>
      <c r="D1331" s="133" t="s">
        <v>2370</v>
      </c>
      <c r="E1331" s="133" t="s">
        <v>2371</v>
      </c>
      <c r="F1331" s="94"/>
      <c r="G1331" s="98"/>
      <c r="H1331" s="94"/>
      <c r="I1331" s="94"/>
      <c r="J1331" s="87"/>
    </row>
    <row r="1332">
      <c r="A1332" s="84" t="s">
        <v>20</v>
      </c>
      <c r="B1332" s="117" t="s">
        <v>196</v>
      </c>
      <c r="C1332" s="123">
        <v>1.0</v>
      </c>
      <c r="D1332" s="134" t="s">
        <v>2372</v>
      </c>
      <c r="E1332" s="134" t="s">
        <v>2343</v>
      </c>
      <c r="F1332" s="86"/>
      <c r="G1332" s="100"/>
      <c r="H1332" s="86"/>
      <c r="I1332" s="86"/>
      <c r="J1332" s="87"/>
    </row>
    <row r="1333">
      <c r="A1333" s="92" t="s">
        <v>20</v>
      </c>
      <c r="B1333" s="116" t="s">
        <v>196</v>
      </c>
      <c r="C1333" s="122">
        <v>2.0</v>
      </c>
      <c r="D1333" s="133" t="s">
        <v>2373</v>
      </c>
      <c r="E1333" s="133" t="s">
        <v>2374</v>
      </c>
      <c r="F1333" s="94"/>
      <c r="G1333" s="98"/>
      <c r="H1333" s="94"/>
      <c r="I1333" s="94"/>
      <c r="J1333" s="87"/>
    </row>
    <row r="1334">
      <c r="A1334" s="84" t="s">
        <v>20</v>
      </c>
      <c r="B1334" s="117" t="s">
        <v>196</v>
      </c>
      <c r="C1334" s="123">
        <v>3.0</v>
      </c>
      <c r="D1334" s="134" t="s">
        <v>2375</v>
      </c>
      <c r="E1334" s="134" t="s">
        <v>2376</v>
      </c>
      <c r="F1334" s="86"/>
      <c r="G1334" s="100"/>
      <c r="H1334" s="86"/>
      <c r="I1334" s="86"/>
      <c r="J1334" s="87"/>
    </row>
    <row r="1335">
      <c r="A1335" s="92" t="s">
        <v>20</v>
      </c>
      <c r="B1335" s="116" t="s">
        <v>196</v>
      </c>
      <c r="C1335" s="122">
        <v>4.0</v>
      </c>
      <c r="D1335" s="133" t="s">
        <v>2377</v>
      </c>
      <c r="E1335" s="133" t="s">
        <v>2378</v>
      </c>
      <c r="F1335" s="94"/>
      <c r="G1335" s="98"/>
      <c r="H1335" s="94"/>
      <c r="I1335" s="94"/>
      <c r="J1335" s="87"/>
    </row>
    <row r="1336">
      <c r="A1336" s="84" t="s">
        <v>20</v>
      </c>
      <c r="B1336" s="117" t="s">
        <v>196</v>
      </c>
      <c r="C1336" s="123">
        <v>9.0</v>
      </c>
      <c r="D1336" s="134" t="s">
        <v>2379</v>
      </c>
      <c r="E1336" s="134" t="s">
        <v>2352</v>
      </c>
      <c r="F1336" s="86"/>
      <c r="G1336" s="100"/>
      <c r="H1336" s="86"/>
      <c r="I1336" s="86"/>
      <c r="J1336" s="87"/>
    </row>
    <row r="1337">
      <c r="A1337" s="92" t="s">
        <v>20</v>
      </c>
      <c r="B1337" s="116" t="s">
        <v>196</v>
      </c>
      <c r="C1337" s="122">
        <v>10.0</v>
      </c>
      <c r="D1337" s="133" t="s">
        <v>2354</v>
      </c>
      <c r="E1337" s="133" t="s">
        <v>2380</v>
      </c>
      <c r="F1337" s="94"/>
      <c r="G1337" s="98"/>
      <c r="H1337" s="94"/>
      <c r="I1337" s="94"/>
      <c r="J1337" s="87"/>
    </row>
    <row r="1338">
      <c r="A1338" s="84" t="s">
        <v>20</v>
      </c>
      <c r="B1338" s="117" t="s">
        <v>196</v>
      </c>
      <c r="C1338" s="123">
        <v>13.0</v>
      </c>
      <c r="D1338" s="134" t="s">
        <v>2381</v>
      </c>
      <c r="E1338" s="134" t="s">
        <v>2382</v>
      </c>
      <c r="F1338" s="86"/>
      <c r="G1338" s="100"/>
      <c r="H1338" s="86"/>
      <c r="I1338" s="86"/>
      <c r="J1338" s="87"/>
    </row>
    <row r="1339">
      <c r="A1339" s="92" t="s">
        <v>20</v>
      </c>
      <c r="B1339" s="116" t="s">
        <v>196</v>
      </c>
      <c r="C1339" s="122">
        <v>14.0</v>
      </c>
      <c r="D1339" s="133" t="s">
        <v>2383</v>
      </c>
      <c r="E1339" s="133" t="s">
        <v>2384</v>
      </c>
      <c r="F1339" s="94"/>
      <c r="G1339" s="98"/>
      <c r="H1339" s="94"/>
      <c r="I1339" s="94"/>
      <c r="J1339" s="87"/>
    </row>
    <row r="1340">
      <c r="A1340" s="84" t="s">
        <v>20</v>
      </c>
      <c r="B1340" s="117" t="s">
        <v>196</v>
      </c>
      <c r="C1340" s="123">
        <v>15.0</v>
      </c>
      <c r="D1340" s="134" t="s">
        <v>2385</v>
      </c>
      <c r="E1340" s="134" t="s">
        <v>2386</v>
      </c>
      <c r="F1340" s="86"/>
      <c r="G1340" s="100"/>
      <c r="H1340" s="86"/>
      <c r="I1340" s="86"/>
      <c r="J1340" s="87"/>
    </row>
    <row r="1341">
      <c r="A1341" s="92" t="s">
        <v>20</v>
      </c>
      <c r="B1341" s="116" t="s">
        <v>196</v>
      </c>
      <c r="C1341" s="122">
        <v>16.0</v>
      </c>
      <c r="D1341" s="133" t="s">
        <v>2363</v>
      </c>
      <c r="E1341" s="133" t="s">
        <v>2364</v>
      </c>
      <c r="F1341" s="94"/>
      <c r="G1341" s="98"/>
      <c r="H1341" s="94"/>
      <c r="I1341" s="94"/>
      <c r="J1341" s="87"/>
    </row>
    <row r="1342">
      <c r="A1342" s="84" t="s">
        <v>20</v>
      </c>
      <c r="B1342" s="117" t="s">
        <v>196</v>
      </c>
      <c r="C1342" s="123">
        <v>17.0</v>
      </c>
      <c r="D1342" s="134" t="s">
        <v>2387</v>
      </c>
      <c r="E1342" s="134" t="s">
        <v>2364</v>
      </c>
      <c r="F1342" s="86"/>
      <c r="G1342" s="100"/>
      <c r="H1342" s="86"/>
      <c r="I1342" s="86"/>
      <c r="J1342" s="87"/>
    </row>
    <row r="1343">
      <c r="A1343" s="92" t="s">
        <v>20</v>
      </c>
      <c r="B1343" s="116" t="s">
        <v>196</v>
      </c>
      <c r="C1343" s="122">
        <v>18.0</v>
      </c>
      <c r="D1343" s="133" t="s">
        <v>2366</v>
      </c>
      <c r="E1343" s="133" t="s">
        <v>2367</v>
      </c>
      <c r="F1343" s="94"/>
      <c r="G1343" s="98"/>
      <c r="H1343" s="94"/>
      <c r="I1343" s="94"/>
      <c r="J1343" s="87"/>
    </row>
    <row r="1344">
      <c r="A1344" s="84" t="s">
        <v>20</v>
      </c>
      <c r="B1344" s="117" t="s">
        <v>196</v>
      </c>
      <c r="C1344" s="123">
        <v>25.0</v>
      </c>
      <c r="D1344" s="134" t="s">
        <v>2388</v>
      </c>
      <c r="E1344" s="134" t="s">
        <v>2389</v>
      </c>
      <c r="F1344" s="86"/>
      <c r="G1344" s="100"/>
      <c r="H1344" s="86"/>
      <c r="I1344" s="86"/>
      <c r="J1344" s="87"/>
    </row>
    <row r="1345">
      <c r="A1345" s="92" t="s">
        <v>58</v>
      </c>
      <c r="B1345" s="116" t="s">
        <v>448</v>
      </c>
      <c r="C1345" s="122">
        <v>1.0</v>
      </c>
      <c r="D1345" s="121" t="s">
        <v>2390</v>
      </c>
      <c r="E1345" s="121" t="s">
        <v>2391</v>
      </c>
      <c r="F1345" s="94"/>
      <c r="G1345" s="98"/>
      <c r="H1345" s="94"/>
      <c r="I1345" s="94"/>
      <c r="J1345" s="87"/>
    </row>
    <row r="1346">
      <c r="A1346" s="84" t="s">
        <v>58</v>
      </c>
      <c r="B1346" s="117" t="s">
        <v>448</v>
      </c>
      <c r="C1346" s="123">
        <v>2.0</v>
      </c>
      <c r="D1346" s="119" t="s">
        <v>2392</v>
      </c>
      <c r="E1346" s="119" t="s">
        <v>2393</v>
      </c>
      <c r="F1346" s="86"/>
      <c r="G1346" s="100"/>
      <c r="H1346" s="86"/>
      <c r="I1346" s="86"/>
      <c r="J1346" s="87"/>
    </row>
    <row r="1347">
      <c r="A1347" s="92" t="s">
        <v>58</v>
      </c>
      <c r="B1347" s="116" t="s">
        <v>442</v>
      </c>
      <c r="C1347" s="122">
        <v>1.0</v>
      </c>
      <c r="D1347" s="121" t="s">
        <v>2390</v>
      </c>
      <c r="E1347" s="121" t="s">
        <v>2391</v>
      </c>
      <c r="F1347" s="94"/>
      <c r="G1347" s="98"/>
      <c r="H1347" s="94"/>
      <c r="I1347" s="94"/>
      <c r="J1347" s="87"/>
    </row>
    <row r="1348">
      <c r="A1348" s="84" t="s">
        <v>58</v>
      </c>
      <c r="B1348" s="117" t="s">
        <v>442</v>
      </c>
      <c r="C1348" s="123">
        <v>2.0</v>
      </c>
      <c r="D1348" s="119" t="s">
        <v>2392</v>
      </c>
      <c r="E1348" s="119" t="s">
        <v>2393</v>
      </c>
      <c r="F1348" s="86"/>
      <c r="G1348" s="100"/>
      <c r="H1348" s="86"/>
      <c r="I1348" s="86"/>
      <c r="J1348" s="87"/>
    </row>
    <row r="1349">
      <c r="A1349" s="92" t="s">
        <v>58</v>
      </c>
      <c r="B1349" s="116" t="s">
        <v>449</v>
      </c>
      <c r="C1349" s="122">
        <v>1.0</v>
      </c>
      <c r="D1349" s="121" t="s">
        <v>2394</v>
      </c>
      <c r="E1349" s="121" t="s">
        <v>2391</v>
      </c>
      <c r="F1349" s="94"/>
      <c r="G1349" s="98"/>
      <c r="H1349" s="94"/>
      <c r="I1349" s="94"/>
      <c r="J1349" s="87"/>
    </row>
    <row r="1350">
      <c r="A1350" s="84" t="s">
        <v>58</v>
      </c>
      <c r="B1350" s="117" t="s">
        <v>449</v>
      </c>
      <c r="C1350" s="123">
        <v>2.0</v>
      </c>
      <c r="D1350" s="119" t="s">
        <v>2395</v>
      </c>
      <c r="E1350" s="119" t="s">
        <v>2393</v>
      </c>
      <c r="F1350" s="86"/>
      <c r="G1350" s="100"/>
      <c r="H1350" s="86"/>
      <c r="I1350" s="86"/>
      <c r="J1350" s="87"/>
    </row>
    <row r="1351">
      <c r="A1351" s="92" t="s">
        <v>49</v>
      </c>
      <c r="B1351" s="116" t="s">
        <v>378</v>
      </c>
      <c r="C1351" s="122" t="s">
        <v>579</v>
      </c>
      <c r="D1351" s="121" t="s">
        <v>2396</v>
      </c>
      <c r="E1351" s="121" t="s">
        <v>1076</v>
      </c>
      <c r="F1351" s="94"/>
      <c r="G1351" s="98"/>
      <c r="H1351" s="94"/>
      <c r="I1351" s="94"/>
      <c r="J1351" s="87"/>
    </row>
    <row r="1352">
      <c r="A1352" s="84" t="s">
        <v>49</v>
      </c>
      <c r="B1352" s="117" t="s">
        <v>378</v>
      </c>
      <c r="C1352" s="123" t="s">
        <v>1077</v>
      </c>
      <c r="D1352" s="119" t="s">
        <v>2397</v>
      </c>
      <c r="E1352" s="119" t="s">
        <v>1079</v>
      </c>
      <c r="F1352" s="86"/>
      <c r="G1352" s="100"/>
      <c r="H1352" s="86"/>
      <c r="I1352" s="86"/>
      <c r="J1352" s="87"/>
    </row>
    <row r="1353">
      <c r="A1353" s="92" t="s">
        <v>49</v>
      </c>
      <c r="B1353" s="116" t="s">
        <v>378</v>
      </c>
      <c r="C1353" s="122" t="s">
        <v>598</v>
      </c>
      <c r="D1353" s="121" t="s">
        <v>2398</v>
      </c>
      <c r="E1353" s="121" t="s">
        <v>1081</v>
      </c>
      <c r="F1353" s="94"/>
      <c r="G1353" s="98"/>
      <c r="H1353" s="94"/>
      <c r="I1353" s="94"/>
      <c r="J1353" s="87"/>
    </row>
    <row r="1354">
      <c r="A1354" s="84" t="s">
        <v>49</v>
      </c>
      <c r="B1354" s="117" t="s">
        <v>378</v>
      </c>
      <c r="C1354" s="123" t="s">
        <v>601</v>
      </c>
      <c r="D1354" s="119" t="s">
        <v>2399</v>
      </c>
      <c r="E1354" s="119" t="s">
        <v>1083</v>
      </c>
      <c r="F1354" s="86"/>
      <c r="G1354" s="100"/>
      <c r="H1354" s="86"/>
      <c r="I1354" s="86"/>
      <c r="J1354" s="87"/>
    </row>
    <row r="1355">
      <c r="A1355" s="92" t="s">
        <v>49</v>
      </c>
      <c r="B1355" s="116" t="s">
        <v>378</v>
      </c>
      <c r="C1355" s="122" t="s">
        <v>1084</v>
      </c>
      <c r="D1355" s="121" t="s">
        <v>2400</v>
      </c>
      <c r="E1355" s="121" t="s">
        <v>1086</v>
      </c>
      <c r="F1355" s="94"/>
      <c r="G1355" s="98"/>
      <c r="H1355" s="94"/>
      <c r="I1355" s="94"/>
      <c r="J1355" s="87"/>
    </row>
    <row r="1356">
      <c r="A1356" s="84" t="s">
        <v>49</v>
      </c>
      <c r="B1356" s="117" t="s">
        <v>378</v>
      </c>
      <c r="C1356" s="123" t="s">
        <v>546</v>
      </c>
      <c r="D1356" s="119" t="s">
        <v>2401</v>
      </c>
      <c r="E1356" s="119" t="s">
        <v>1088</v>
      </c>
      <c r="F1356" s="86"/>
      <c r="G1356" s="100"/>
      <c r="H1356" s="86"/>
      <c r="I1356" s="86"/>
      <c r="J1356" s="87"/>
    </row>
    <row r="1357">
      <c r="A1357" s="92" t="s">
        <v>49</v>
      </c>
      <c r="B1357" s="116" t="s">
        <v>378</v>
      </c>
      <c r="C1357" s="122" t="s">
        <v>1089</v>
      </c>
      <c r="D1357" s="121" t="s">
        <v>2402</v>
      </c>
      <c r="E1357" s="121" t="s">
        <v>1091</v>
      </c>
      <c r="F1357" s="94"/>
      <c r="G1357" s="98"/>
      <c r="H1357" s="94"/>
      <c r="I1357" s="94"/>
      <c r="J1357" s="87"/>
    </row>
    <row r="1358">
      <c r="A1358" s="84" t="s">
        <v>49</v>
      </c>
      <c r="B1358" s="117" t="s">
        <v>378</v>
      </c>
      <c r="C1358" s="123" t="s">
        <v>1092</v>
      </c>
      <c r="D1358" s="119" t="s">
        <v>2403</v>
      </c>
      <c r="E1358" s="119" t="s">
        <v>1094</v>
      </c>
      <c r="F1358" s="86"/>
      <c r="G1358" s="100"/>
      <c r="H1358" s="86"/>
      <c r="I1358" s="86"/>
      <c r="J1358" s="87"/>
    </row>
    <row r="1359">
      <c r="A1359" s="92" t="s">
        <v>49</v>
      </c>
      <c r="B1359" s="116" t="s">
        <v>378</v>
      </c>
      <c r="C1359" s="122" t="s">
        <v>1095</v>
      </c>
      <c r="D1359" s="121" t="s">
        <v>2404</v>
      </c>
      <c r="E1359" s="121" t="s">
        <v>1097</v>
      </c>
      <c r="F1359" s="94"/>
      <c r="G1359" s="98"/>
      <c r="H1359" s="94"/>
      <c r="I1359" s="94"/>
      <c r="J1359" s="87"/>
    </row>
    <row r="1360">
      <c r="A1360" s="84" t="s">
        <v>49</v>
      </c>
      <c r="B1360" s="117" t="s">
        <v>378</v>
      </c>
      <c r="C1360" s="123" t="s">
        <v>1098</v>
      </c>
      <c r="D1360" s="119" t="s">
        <v>2405</v>
      </c>
      <c r="E1360" s="119" t="s">
        <v>1100</v>
      </c>
      <c r="F1360" s="86"/>
      <c r="G1360" s="100"/>
      <c r="H1360" s="86"/>
      <c r="I1360" s="86"/>
      <c r="J1360" s="87"/>
    </row>
    <row r="1361">
      <c r="A1361" s="92" t="s">
        <v>49</v>
      </c>
      <c r="B1361" s="116" t="s">
        <v>378</v>
      </c>
      <c r="C1361" s="122" t="s">
        <v>535</v>
      </c>
      <c r="D1361" s="121" t="s">
        <v>2406</v>
      </c>
      <c r="E1361" s="121" t="s">
        <v>1102</v>
      </c>
      <c r="F1361" s="94"/>
      <c r="G1361" s="98"/>
      <c r="H1361" s="94"/>
      <c r="I1361" s="94"/>
      <c r="J1361" s="87"/>
    </row>
    <row r="1362">
      <c r="A1362" s="84" t="s">
        <v>49</v>
      </c>
      <c r="B1362" s="117" t="s">
        <v>378</v>
      </c>
      <c r="C1362" s="123" t="s">
        <v>1103</v>
      </c>
      <c r="D1362" s="119" t="s">
        <v>2407</v>
      </c>
      <c r="E1362" s="119" t="s">
        <v>1105</v>
      </c>
      <c r="F1362" s="86"/>
      <c r="G1362" s="100"/>
      <c r="H1362" s="86"/>
      <c r="I1362" s="86"/>
      <c r="J1362" s="87"/>
    </row>
    <row r="1363">
      <c r="A1363" s="92" t="s">
        <v>49</v>
      </c>
      <c r="B1363" s="116" t="s">
        <v>378</v>
      </c>
      <c r="C1363" s="122" t="s">
        <v>652</v>
      </c>
      <c r="D1363" s="121" t="s">
        <v>2408</v>
      </c>
      <c r="E1363" s="121" t="s">
        <v>1107</v>
      </c>
      <c r="F1363" s="94"/>
      <c r="G1363" s="98"/>
      <c r="H1363" s="94"/>
      <c r="I1363" s="94"/>
      <c r="J1363" s="87"/>
    </row>
    <row r="1364">
      <c r="A1364" s="84" t="s">
        <v>49</v>
      </c>
      <c r="B1364" s="117" t="s">
        <v>378</v>
      </c>
      <c r="C1364" s="123" t="s">
        <v>1108</v>
      </c>
      <c r="D1364" s="119" t="s">
        <v>2409</v>
      </c>
      <c r="E1364" s="119" t="s">
        <v>1102</v>
      </c>
      <c r="F1364" s="86"/>
      <c r="G1364" s="100"/>
      <c r="H1364" s="86"/>
      <c r="I1364" s="86"/>
      <c r="J1364" s="87"/>
    </row>
    <row r="1365">
      <c r="A1365" s="92" t="s">
        <v>49</v>
      </c>
      <c r="B1365" s="116" t="s">
        <v>378</v>
      </c>
      <c r="C1365" s="122" t="s">
        <v>661</v>
      </c>
      <c r="D1365" s="121" t="s">
        <v>2410</v>
      </c>
      <c r="E1365" s="121" t="s">
        <v>1111</v>
      </c>
      <c r="F1365" s="94"/>
      <c r="G1365" s="98"/>
      <c r="H1365" s="94"/>
      <c r="I1365" s="94"/>
      <c r="J1365" s="87"/>
    </row>
    <row r="1366">
      <c r="A1366" s="84" t="s">
        <v>8</v>
      </c>
      <c r="B1366" s="117" t="s">
        <v>9</v>
      </c>
      <c r="C1366" s="123">
        <v>1.0</v>
      </c>
      <c r="D1366" s="119" t="s">
        <v>2411</v>
      </c>
      <c r="E1366" s="119" t="s">
        <v>2412</v>
      </c>
      <c r="F1366" s="86"/>
      <c r="G1366" s="100"/>
      <c r="H1366" s="86"/>
      <c r="I1366" s="86"/>
      <c r="J1366" s="87"/>
    </row>
    <row r="1367">
      <c r="A1367" s="92" t="s">
        <v>8</v>
      </c>
      <c r="B1367" s="116" t="s">
        <v>9</v>
      </c>
      <c r="C1367" s="122">
        <v>2.0</v>
      </c>
      <c r="D1367" s="121" t="s">
        <v>2413</v>
      </c>
      <c r="E1367" s="121" t="s">
        <v>2414</v>
      </c>
      <c r="F1367" s="94"/>
      <c r="G1367" s="98"/>
      <c r="H1367" s="94"/>
      <c r="I1367" s="94"/>
      <c r="J1367" s="87"/>
    </row>
    <row r="1368">
      <c r="A1368" s="84" t="s">
        <v>8</v>
      </c>
      <c r="B1368" s="117" t="s">
        <v>9</v>
      </c>
      <c r="C1368" s="123">
        <v>3.0</v>
      </c>
      <c r="D1368" s="119" t="s">
        <v>2415</v>
      </c>
      <c r="E1368" s="119" t="s">
        <v>2416</v>
      </c>
      <c r="F1368" s="86"/>
      <c r="G1368" s="100"/>
      <c r="H1368" s="86"/>
      <c r="I1368" s="86"/>
      <c r="J1368" s="87"/>
    </row>
    <row r="1369">
      <c r="A1369" s="92" t="s">
        <v>8</v>
      </c>
      <c r="B1369" s="116" t="s">
        <v>9</v>
      </c>
      <c r="C1369" s="122">
        <v>4.0</v>
      </c>
      <c r="D1369" s="121" t="s">
        <v>2417</v>
      </c>
      <c r="E1369" s="121" t="s">
        <v>2418</v>
      </c>
      <c r="F1369" s="94"/>
      <c r="G1369" s="98"/>
      <c r="H1369" s="94"/>
      <c r="I1369" s="94"/>
      <c r="J1369" s="87"/>
    </row>
    <row r="1370">
      <c r="A1370" s="84" t="s">
        <v>8</v>
      </c>
      <c r="B1370" s="117" t="s">
        <v>9</v>
      </c>
      <c r="C1370" s="123">
        <v>5.0</v>
      </c>
      <c r="D1370" s="119" t="s">
        <v>2419</v>
      </c>
      <c r="E1370" s="119" t="s">
        <v>2420</v>
      </c>
      <c r="F1370" s="86"/>
      <c r="G1370" s="100"/>
      <c r="H1370" s="86"/>
      <c r="I1370" s="86"/>
      <c r="J1370" s="87"/>
    </row>
    <row r="1371">
      <c r="A1371" s="92" t="s">
        <v>8</v>
      </c>
      <c r="B1371" s="116" t="s">
        <v>9</v>
      </c>
      <c r="C1371" s="122">
        <v>6.0</v>
      </c>
      <c r="D1371" s="121" t="s">
        <v>2421</v>
      </c>
      <c r="E1371" s="121" t="s">
        <v>2422</v>
      </c>
      <c r="F1371" s="94"/>
      <c r="G1371" s="98"/>
      <c r="H1371" s="94"/>
      <c r="I1371" s="94"/>
      <c r="J1371" s="87"/>
    </row>
    <row r="1372">
      <c r="A1372" s="84" t="s">
        <v>14</v>
      </c>
      <c r="B1372" s="117" t="s">
        <v>21</v>
      </c>
      <c r="C1372" s="123">
        <v>1.0</v>
      </c>
      <c r="D1372" s="119" t="s">
        <v>2423</v>
      </c>
      <c r="E1372" s="119" t="s">
        <v>2424</v>
      </c>
      <c r="F1372" s="86"/>
      <c r="G1372" s="100"/>
      <c r="H1372" s="86"/>
      <c r="I1372" s="86"/>
      <c r="J1372" s="87"/>
    </row>
    <row r="1373">
      <c r="A1373" s="92" t="s">
        <v>14</v>
      </c>
      <c r="B1373" s="116" t="s">
        <v>21</v>
      </c>
      <c r="C1373" s="122">
        <v>2.0</v>
      </c>
      <c r="D1373" s="121" t="s">
        <v>2425</v>
      </c>
      <c r="E1373" s="121" t="s">
        <v>2426</v>
      </c>
      <c r="F1373" s="94"/>
      <c r="G1373" s="98"/>
      <c r="H1373" s="94"/>
      <c r="I1373" s="94"/>
      <c r="J1373" s="87"/>
    </row>
    <row r="1374">
      <c r="A1374" s="84" t="s">
        <v>14</v>
      </c>
      <c r="B1374" s="117" t="s">
        <v>21</v>
      </c>
      <c r="C1374" s="123">
        <v>3.0</v>
      </c>
      <c r="D1374" s="119" t="s">
        <v>2427</v>
      </c>
      <c r="E1374" s="119" t="s">
        <v>2424</v>
      </c>
      <c r="F1374" s="86"/>
      <c r="G1374" s="100"/>
      <c r="H1374" s="86"/>
      <c r="I1374" s="86"/>
      <c r="J1374" s="87"/>
    </row>
    <row r="1375">
      <c r="A1375" s="92" t="s">
        <v>14</v>
      </c>
      <c r="B1375" s="116" t="s">
        <v>21</v>
      </c>
      <c r="C1375" s="122">
        <v>4.0</v>
      </c>
      <c r="D1375" s="121" t="s">
        <v>2428</v>
      </c>
      <c r="E1375" s="121" t="s">
        <v>2426</v>
      </c>
      <c r="F1375" s="94"/>
      <c r="G1375" s="98"/>
      <c r="H1375" s="94"/>
      <c r="I1375" s="94"/>
      <c r="J1375" s="87"/>
    </row>
    <row r="1376">
      <c r="A1376" s="84" t="s">
        <v>14</v>
      </c>
      <c r="B1376" s="117" t="s">
        <v>21</v>
      </c>
      <c r="C1376" s="123">
        <v>5.0</v>
      </c>
      <c r="D1376" s="119" t="s">
        <v>2429</v>
      </c>
      <c r="E1376" s="119" t="s">
        <v>2426</v>
      </c>
      <c r="F1376" s="86"/>
      <c r="G1376" s="100"/>
      <c r="H1376" s="86"/>
      <c r="I1376" s="86"/>
      <c r="J1376" s="87"/>
    </row>
    <row r="1377">
      <c r="A1377" s="92" t="s">
        <v>14</v>
      </c>
      <c r="B1377" s="116" t="s">
        <v>21</v>
      </c>
      <c r="C1377" s="122">
        <v>6.0</v>
      </c>
      <c r="D1377" s="121" t="s">
        <v>2430</v>
      </c>
      <c r="E1377" s="121" t="s">
        <v>2426</v>
      </c>
      <c r="F1377" s="94"/>
      <c r="G1377" s="98"/>
      <c r="H1377" s="94"/>
      <c r="I1377" s="94"/>
      <c r="J1377" s="87"/>
    </row>
    <row r="1378">
      <c r="A1378" s="84" t="s">
        <v>14</v>
      </c>
      <c r="B1378" s="117" t="s">
        <v>21</v>
      </c>
      <c r="C1378" s="123">
        <v>7.0</v>
      </c>
      <c r="D1378" s="119" t="s">
        <v>2431</v>
      </c>
      <c r="E1378" s="119" t="s">
        <v>2432</v>
      </c>
      <c r="F1378" s="86"/>
      <c r="G1378" s="100"/>
      <c r="H1378" s="86"/>
      <c r="I1378" s="86"/>
      <c r="J1378" s="87"/>
    </row>
    <row r="1379">
      <c r="A1379" s="92" t="s">
        <v>14</v>
      </c>
      <c r="B1379" s="116" t="s">
        <v>21</v>
      </c>
      <c r="C1379" s="122">
        <v>8.0</v>
      </c>
      <c r="D1379" s="121" t="s">
        <v>2433</v>
      </c>
      <c r="E1379" s="121" t="s">
        <v>2432</v>
      </c>
      <c r="F1379" s="94"/>
      <c r="G1379" s="98"/>
      <c r="H1379" s="94"/>
      <c r="I1379" s="94"/>
      <c r="J1379" s="87"/>
    </row>
    <row r="1380">
      <c r="A1380" s="84" t="s">
        <v>14</v>
      </c>
      <c r="B1380" s="117" t="s">
        <v>21</v>
      </c>
      <c r="C1380" s="123">
        <v>9.0</v>
      </c>
      <c r="D1380" s="119" t="s">
        <v>2434</v>
      </c>
      <c r="E1380" s="119" t="s">
        <v>2426</v>
      </c>
      <c r="F1380" s="86"/>
      <c r="G1380" s="100"/>
      <c r="H1380" s="86"/>
      <c r="I1380" s="86"/>
      <c r="J1380" s="87"/>
    </row>
    <row r="1381">
      <c r="A1381" s="92" t="s">
        <v>14</v>
      </c>
      <c r="B1381" s="116" t="s">
        <v>21</v>
      </c>
      <c r="C1381" s="122">
        <v>10.0</v>
      </c>
      <c r="D1381" s="121" t="s">
        <v>2435</v>
      </c>
      <c r="E1381" s="121" t="s">
        <v>2436</v>
      </c>
      <c r="F1381" s="94"/>
      <c r="G1381" s="98"/>
      <c r="H1381" s="94"/>
      <c r="I1381" s="94"/>
      <c r="J1381" s="87"/>
    </row>
    <row r="1382">
      <c r="A1382" s="84" t="s">
        <v>14</v>
      </c>
      <c r="B1382" s="117" t="s">
        <v>21</v>
      </c>
      <c r="C1382" s="123">
        <v>11.0</v>
      </c>
      <c r="D1382" s="119" t="s">
        <v>2437</v>
      </c>
      <c r="E1382" s="119" t="s">
        <v>2438</v>
      </c>
      <c r="F1382" s="86"/>
      <c r="G1382" s="100"/>
      <c r="H1382" s="86"/>
      <c r="I1382" s="86"/>
      <c r="J1382" s="87"/>
    </row>
    <row r="1383">
      <c r="A1383" s="92" t="s">
        <v>14</v>
      </c>
      <c r="B1383" s="116" t="s">
        <v>21</v>
      </c>
      <c r="C1383" s="122">
        <v>12.0</v>
      </c>
      <c r="D1383" s="121" t="s">
        <v>2439</v>
      </c>
      <c r="E1383" s="121" t="s">
        <v>2438</v>
      </c>
      <c r="F1383" s="94"/>
      <c r="G1383" s="98"/>
      <c r="H1383" s="94"/>
      <c r="I1383" s="94"/>
      <c r="J1383" s="87"/>
    </row>
    <row r="1384">
      <c r="A1384" s="84" t="s">
        <v>14</v>
      </c>
      <c r="B1384" s="117" t="s">
        <v>21</v>
      </c>
      <c r="C1384" s="123">
        <v>13.0</v>
      </c>
      <c r="D1384" s="119" t="s">
        <v>2440</v>
      </c>
      <c r="E1384" s="119" t="s">
        <v>2438</v>
      </c>
      <c r="F1384" s="86"/>
      <c r="G1384" s="100"/>
      <c r="H1384" s="86"/>
      <c r="I1384" s="86"/>
      <c r="J1384" s="87"/>
    </row>
    <row r="1385">
      <c r="A1385" s="92" t="s">
        <v>14</v>
      </c>
      <c r="B1385" s="116" t="s">
        <v>21</v>
      </c>
      <c r="C1385" s="122">
        <v>14.0</v>
      </c>
      <c r="D1385" s="121" t="s">
        <v>2441</v>
      </c>
      <c r="E1385" s="121" t="s">
        <v>2442</v>
      </c>
      <c r="F1385" s="94"/>
      <c r="G1385" s="98"/>
      <c r="H1385" s="94"/>
      <c r="I1385" s="94"/>
      <c r="J1385" s="87"/>
    </row>
    <row r="1386">
      <c r="A1386" s="84" t="s">
        <v>14</v>
      </c>
      <c r="B1386" s="117" t="s">
        <v>21</v>
      </c>
      <c r="C1386" s="123">
        <v>15.0</v>
      </c>
      <c r="D1386" s="119" t="s">
        <v>2443</v>
      </c>
      <c r="E1386" s="119" t="s">
        <v>2444</v>
      </c>
      <c r="F1386" s="86"/>
      <c r="G1386" s="100"/>
      <c r="H1386" s="86"/>
      <c r="I1386" s="86"/>
      <c r="J1386" s="87"/>
    </row>
    <row r="1387">
      <c r="A1387" s="92" t="s">
        <v>14</v>
      </c>
      <c r="B1387" s="116" t="s">
        <v>21</v>
      </c>
      <c r="C1387" s="122">
        <v>16.0</v>
      </c>
      <c r="D1387" s="121" t="s">
        <v>2445</v>
      </c>
      <c r="E1387" s="121" t="s">
        <v>2436</v>
      </c>
      <c r="F1387" s="94"/>
      <c r="G1387" s="98"/>
      <c r="H1387" s="94"/>
      <c r="I1387" s="94"/>
      <c r="J1387" s="87"/>
    </row>
    <row r="1388">
      <c r="A1388" s="84" t="s">
        <v>14</v>
      </c>
      <c r="B1388" s="117" t="s">
        <v>21</v>
      </c>
      <c r="C1388" s="123">
        <v>17.0</v>
      </c>
      <c r="D1388" s="119" t="s">
        <v>2446</v>
      </c>
      <c r="E1388" s="119" t="s">
        <v>2447</v>
      </c>
      <c r="F1388" s="86"/>
      <c r="G1388" s="100"/>
      <c r="H1388" s="86"/>
      <c r="I1388" s="86"/>
      <c r="J1388" s="87"/>
    </row>
    <row r="1389">
      <c r="A1389" s="92" t="s">
        <v>14</v>
      </c>
      <c r="B1389" s="116" t="s">
        <v>21</v>
      </c>
      <c r="C1389" s="122">
        <v>18.0</v>
      </c>
      <c r="D1389" s="121" t="s">
        <v>2448</v>
      </c>
      <c r="E1389" s="121" t="s">
        <v>2447</v>
      </c>
      <c r="F1389" s="94"/>
      <c r="G1389" s="98"/>
      <c r="H1389" s="94"/>
      <c r="I1389" s="94"/>
      <c r="J1389" s="87"/>
    </row>
    <row r="1390">
      <c r="A1390" s="84" t="s">
        <v>14</v>
      </c>
      <c r="B1390" s="117" t="s">
        <v>21</v>
      </c>
      <c r="C1390" s="123">
        <v>19.0</v>
      </c>
      <c r="D1390" s="119" t="s">
        <v>2449</v>
      </c>
      <c r="E1390" s="119" t="s">
        <v>2442</v>
      </c>
      <c r="F1390" s="86"/>
      <c r="G1390" s="100"/>
      <c r="H1390" s="86"/>
      <c r="I1390" s="86"/>
      <c r="J1390" s="87"/>
    </row>
    <row r="1391">
      <c r="A1391" s="92" t="s">
        <v>14</v>
      </c>
      <c r="B1391" s="116" t="s">
        <v>21</v>
      </c>
      <c r="C1391" s="122">
        <v>20.0</v>
      </c>
      <c r="D1391" s="121" t="s">
        <v>2450</v>
      </c>
      <c r="E1391" s="121" t="s">
        <v>2444</v>
      </c>
      <c r="F1391" s="94"/>
      <c r="G1391" s="98"/>
      <c r="H1391" s="94"/>
      <c r="I1391" s="94"/>
      <c r="J1391" s="87"/>
    </row>
    <row r="1392">
      <c r="A1392" s="84" t="s">
        <v>14</v>
      </c>
      <c r="B1392" s="117" t="s">
        <v>21</v>
      </c>
      <c r="C1392" s="123">
        <v>21.0</v>
      </c>
      <c r="D1392" s="119" t="s">
        <v>2451</v>
      </c>
      <c r="E1392" s="119" t="s">
        <v>2436</v>
      </c>
      <c r="F1392" s="86"/>
      <c r="G1392" s="100"/>
      <c r="H1392" s="86"/>
      <c r="I1392" s="86"/>
      <c r="J1392" s="87"/>
    </row>
    <row r="1393">
      <c r="A1393" s="92" t="s">
        <v>14</v>
      </c>
      <c r="B1393" s="116" t="s">
        <v>21</v>
      </c>
      <c r="C1393" s="122">
        <v>22.0</v>
      </c>
      <c r="D1393" s="121" t="s">
        <v>2452</v>
      </c>
      <c r="E1393" s="121" t="s">
        <v>2447</v>
      </c>
      <c r="F1393" s="94"/>
      <c r="G1393" s="98"/>
      <c r="H1393" s="94"/>
      <c r="I1393" s="94"/>
      <c r="J1393" s="87"/>
    </row>
    <row r="1394">
      <c r="A1394" s="84" t="s">
        <v>14</v>
      </c>
      <c r="B1394" s="117" t="s">
        <v>21</v>
      </c>
      <c r="C1394" s="123">
        <v>23.0</v>
      </c>
      <c r="D1394" s="119" t="s">
        <v>2453</v>
      </c>
      <c r="E1394" s="119" t="s">
        <v>2447</v>
      </c>
      <c r="F1394" s="86"/>
      <c r="G1394" s="100"/>
      <c r="H1394" s="86"/>
      <c r="I1394" s="86"/>
      <c r="J1394" s="87"/>
    </row>
    <row r="1395">
      <c r="A1395" s="92" t="s">
        <v>14</v>
      </c>
      <c r="B1395" s="116" t="s">
        <v>21</v>
      </c>
      <c r="C1395" s="122">
        <v>24.0</v>
      </c>
      <c r="D1395" s="121" t="s">
        <v>2454</v>
      </c>
      <c r="E1395" s="121" t="s">
        <v>2442</v>
      </c>
      <c r="F1395" s="94"/>
      <c r="G1395" s="98"/>
      <c r="H1395" s="94"/>
      <c r="I1395" s="94"/>
      <c r="J1395" s="87"/>
    </row>
    <row r="1396">
      <c r="A1396" s="84" t="s">
        <v>14</v>
      </c>
      <c r="B1396" s="117" t="s">
        <v>21</v>
      </c>
      <c r="C1396" s="123">
        <v>25.0</v>
      </c>
      <c r="D1396" s="119" t="s">
        <v>2455</v>
      </c>
      <c r="E1396" s="119" t="s">
        <v>2444</v>
      </c>
      <c r="F1396" s="86"/>
      <c r="G1396" s="100"/>
      <c r="H1396" s="86"/>
      <c r="I1396" s="86"/>
      <c r="J1396" s="87"/>
    </row>
    <row r="1397">
      <c r="A1397" s="92" t="s">
        <v>14</v>
      </c>
      <c r="B1397" s="116" t="s">
        <v>21</v>
      </c>
      <c r="C1397" s="122">
        <v>26.0</v>
      </c>
      <c r="D1397" s="121" t="s">
        <v>2456</v>
      </c>
      <c r="E1397" s="121" t="s">
        <v>2442</v>
      </c>
      <c r="F1397" s="94"/>
      <c r="G1397" s="98"/>
      <c r="H1397" s="94"/>
      <c r="I1397" s="94"/>
      <c r="J1397" s="87"/>
    </row>
    <row r="1398">
      <c r="A1398" s="84" t="s">
        <v>14</v>
      </c>
      <c r="B1398" s="117" t="s">
        <v>21</v>
      </c>
      <c r="C1398" s="123">
        <v>27.0</v>
      </c>
      <c r="D1398" s="119" t="s">
        <v>2457</v>
      </c>
      <c r="E1398" s="119" t="s">
        <v>2444</v>
      </c>
      <c r="F1398" s="86"/>
      <c r="G1398" s="100"/>
      <c r="H1398" s="86"/>
      <c r="I1398" s="86"/>
      <c r="J1398" s="87"/>
    </row>
    <row r="1399">
      <c r="A1399" s="92" t="s">
        <v>14</v>
      </c>
      <c r="B1399" s="116" t="s">
        <v>21</v>
      </c>
      <c r="C1399" s="122">
        <v>28.0</v>
      </c>
      <c r="D1399" s="121" t="s">
        <v>2458</v>
      </c>
      <c r="E1399" s="121" t="s">
        <v>2459</v>
      </c>
      <c r="F1399" s="94"/>
      <c r="G1399" s="98"/>
      <c r="H1399" s="94"/>
      <c r="I1399" s="94"/>
      <c r="J1399" s="87"/>
    </row>
    <row r="1400">
      <c r="A1400" s="84" t="s">
        <v>14</v>
      </c>
      <c r="B1400" s="117" t="s">
        <v>21</v>
      </c>
      <c r="C1400" s="123">
        <v>29.0</v>
      </c>
      <c r="D1400" s="119" t="s">
        <v>2460</v>
      </c>
      <c r="E1400" s="119" t="s">
        <v>2461</v>
      </c>
      <c r="F1400" s="86"/>
      <c r="G1400" s="100"/>
      <c r="H1400" s="86"/>
      <c r="I1400" s="86"/>
      <c r="J1400" s="87"/>
    </row>
    <row r="1401">
      <c r="A1401" s="92" t="s">
        <v>14</v>
      </c>
      <c r="B1401" s="116" t="s">
        <v>21</v>
      </c>
      <c r="C1401" s="122">
        <v>30.0</v>
      </c>
      <c r="D1401" s="121" t="s">
        <v>2462</v>
      </c>
      <c r="E1401" s="121" t="s">
        <v>2463</v>
      </c>
      <c r="F1401" s="94"/>
      <c r="G1401" s="98"/>
      <c r="H1401" s="94"/>
      <c r="I1401" s="94"/>
      <c r="J1401" s="87"/>
    </row>
    <row r="1402">
      <c r="A1402" s="84" t="s">
        <v>14</v>
      </c>
      <c r="B1402" s="117" t="s">
        <v>21</v>
      </c>
      <c r="C1402" s="123">
        <v>31.0</v>
      </c>
      <c r="D1402" s="119" t="s">
        <v>2464</v>
      </c>
      <c r="E1402" s="119" t="s">
        <v>2442</v>
      </c>
      <c r="F1402" s="86"/>
      <c r="G1402" s="100"/>
      <c r="H1402" s="86"/>
      <c r="I1402" s="86"/>
      <c r="J1402" s="87"/>
    </row>
    <row r="1403">
      <c r="A1403" s="92" t="s">
        <v>14</v>
      </c>
      <c r="B1403" s="116" t="s">
        <v>21</v>
      </c>
      <c r="C1403" s="122">
        <v>32.0</v>
      </c>
      <c r="D1403" s="121" t="s">
        <v>2465</v>
      </c>
      <c r="E1403" s="121" t="s">
        <v>2444</v>
      </c>
      <c r="F1403" s="94"/>
      <c r="G1403" s="98"/>
      <c r="H1403" s="94"/>
      <c r="I1403" s="94"/>
      <c r="J1403" s="87"/>
    </row>
    <row r="1404">
      <c r="A1404" s="84" t="s">
        <v>14</v>
      </c>
      <c r="B1404" s="117" t="s">
        <v>21</v>
      </c>
      <c r="C1404" s="123">
        <v>33.0</v>
      </c>
      <c r="D1404" s="119" t="s">
        <v>2466</v>
      </c>
      <c r="E1404" s="119" t="s">
        <v>2442</v>
      </c>
      <c r="F1404" s="86"/>
      <c r="G1404" s="100"/>
      <c r="H1404" s="86"/>
      <c r="I1404" s="86"/>
      <c r="J1404" s="87"/>
    </row>
    <row r="1405">
      <c r="A1405" s="92" t="s">
        <v>14</v>
      </c>
      <c r="B1405" s="116" t="s">
        <v>21</v>
      </c>
      <c r="C1405" s="122">
        <v>34.0</v>
      </c>
      <c r="D1405" s="121" t="s">
        <v>2467</v>
      </c>
      <c r="E1405" s="121" t="s">
        <v>2444</v>
      </c>
      <c r="F1405" s="94"/>
      <c r="G1405" s="98"/>
      <c r="H1405" s="94"/>
      <c r="I1405" s="94"/>
      <c r="J1405" s="87"/>
    </row>
    <row r="1406">
      <c r="A1406" s="84" t="s">
        <v>14</v>
      </c>
      <c r="B1406" s="117" t="s">
        <v>21</v>
      </c>
      <c r="C1406" s="123">
        <v>35.0</v>
      </c>
      <c r="D1406" s="119" t="s">
        <v>2468</v>
      </c>
      <c r="E1406" s="119" t="s">
        <v>2436</v>
      </c>
      <c r="F1406" s="86"/>
      <c r="G1406" s="100"/>
      <c r="H1406" s="86"/>
      <c r="I1406" s="86"/>
      <c r="J1406" s="87"/>
    </row>
    <row r="1407">
      <c r="A1407" s="92" t="s">
        <v>14</v>
      </c>
      <c r="B1407" s="116" t="s">
        <v>21</v>
      </c>
      <c r="C1407" s="122">
        <v>36.0</v>
      </c>
      <c r="D1407" s="121" t="s">
        <v>2469</v>
      </c>
      <c r="E1407" s="121" t="s">
        <v>2447</v>
      </c>
      <c r="F1407" s="94"/>
      <c r="G1407" s="98"/>
      <c r="H1407" s="94"/>
      <c r="I1407" s="94"/>
      <c r="J1407" s="87"/>
    </row>
    <row r="1408">
      <c r="A1408" s="84" t="s">
        <v>14</v>
      </c>
      <c r="B1408" s="117" t="s">
        <v>21</v>
      </c>
      <c r="C1408" s="123">
        <v>37.0</v>
      </c>
      <c r="D1408" s="119" t="s">
        <v>2470</v>
      </c>
      <c r="E1408" s="119" t="s">
        <v>2447</v>
      </c>
      <c r="F1408" s="86"/>
      <c r="G1408" s="100"/>
      <c r="H1408" s="86"/>
      <c r="I1408" s="86"/>
      <c r="J1408" s="87"/>
    </row>
    <row r="1409">
      <c r="A1409" s="92" t="s">
        <v>14</v>
      </c>
      <c r="B1409" s="116" t="s">
        <v>21</v>
      </c>
      <c r="C1409" s="122">
        <v>38.0</v>
      </c>
      <c r="D1409" s="121" t="s">
        <v>2471</v>
      </c>
      <c r="E1409" s="121" t="s">
        <v>2442</v>
      </c>
      <c r="F1409" s="94"/>
      <c r="G1409" s="98"/>
      <c r="H1409" s="94"/>
      <c r="I1409" s="94"/>
      <c r="J1409" s="87"/>
    </row>
    <row r="1410">
      <c r="A1410" s="84" t="s">
        <v>14</v>
      </c>
      <c r="B1410" s="117" t="s">
        <v>21</v>
      </c>
      <c r="C1410" s="123">
        <v>39.0</v>
      </c>
      <c r="D1410" s="119" t="s">
        <v>2472</v>
      </c>
      <c r="E1410" s="119" t="s">
        <v>2444</v>
      </c>
      <c r="F1410" s="86"/>
      <c r="G1410" s="100"/>
      <c r="H1410" s="86"/>
      <c r="I1410" s="86"/>
      <c r="J1410" s="87"/>
    </row>
    <row r="1411">
      <c r="A1411" s="92" t="s">
        <v>14</v>
      </c>
      <c r="B1411" s="116" t="s">
        <v>21</v>
      </c>
      <c r="C1411" s="122">
        <v>40.0</v>
      </c>
      <c r="D1411" s="121" t="s">
        <v>2473</v>
      </c>
      <c r="E1411" s="121" t="s">
        <v>2436</v>
      </c>
      <c r="F1411" s="94"/>
      <c r="G1411" s="98"/>
      <c r="H1411" s="94"/>
      <c r="I1411" s="94"/>
      <c r="J1411" s="87"/>
    </row>
    <row r="1412">
      <c r="A1412" s="84" t="s">
        <v>14</v>
      </c>
      <c r="B1412" s="117" t="s">
        <v>21</v>
      </c>
      <c r="C1412" s="123">
        <v>41.0</v>
      </c>
      <c r="D1412" s="119" t="s">
        <v>2474</v>
      </c>
      <c r="E1412" s="119" t="s">
        <v>2447</v>
      </c>
      <c r="F1412" s="86"/>
      <c r="G1412" s="100"/>
      <c r="H1412" s="86"/>
      <c r="I1412" s="86"/>
      <c r="J1412" s="87"/>
    </row>
    <row r="1413">
      <c r="A1413" s="92" t="s">
        <v>14</v>
      </c>
      <c r="B1413" s="116" t="s">
        <v>21</v>
      </c>
      <c r="C1413" s="122">
        <v>42.0</v>
      </c>
      <c r="D1413" s="121" t="s">
        <v>2475</v>
      </c>
      <c r="E1413" s="121" t="s">
        <v>2447</v>
      </c>
      <c r="F1413" s="94"/>
      <c r="G1413" s="98"/>
      <c r="H1413" s="94"/>
      <c r="I1413" s="94"/>
      <c r="J1413" s="87"/>
    </row>
    <row r="1414">
      <c r="A1414" s="84" t="s">
        <v>14</v>
      </c>
      <c r="B1414" s="117" t="s">
        <v>21</v>
      </c>
      <c r="C1414" s="123">
        <v>43.0</v>
      </c>
      <c r="D1414" s="119" t="s">
        <v>2476</v>
      </c>
      <c r="E1414" s="119" t="s">
        <v>2442</v>
      </c>
      <c r="F1414" s="86"/>
      <c r="G1414" s="100"/>
      <c r="H1414" s="86"/>
      <c r="I1414" s="86"/>
      <c r="J1414" s="87"/>
    </row>
    <row r="1415">
      <c r="A1415" s="92" t="s">
        <v>14</v>
      </c>
      <c r="B1415" s="116" t="s">
        <v>21</v>
      </c>
      <c r="C1415" s="122">
        <v>44.0</v>
      </c>
      <c r="D1415" s="121" t="s">
        <v>2477</v>
      </c>
      <c r="E1415" s="121" t="s">
        <v>2444</v>
      </c>
      <c r="F1415" s="94"/>
      <c r="G1415" s="98"/>
      <c r="H1415" s="94"/>
      <c r="I1415" s="94"/>
      <c r="J1415" s="87"/>
    </row>
    <row r="1416">
      <c r="A1416" s="84" t="s">
        <v>14</v>
      </c>
      <c r="B1416" s="117" t="s">
        <v>21</v>
      </c>
      <c r="C1416" s="123">
        <v>45.0</v>
      </c>
      <c r="D1416" s="119" t="s">
        <v>2478</v>
      </c>
      <c r="E1416" s="119" t="s">
        <v>2442</v>
      </c>
      <c r="F1416" s="86"/>
      <c r="G1416" s="100"/>
      <c r="H1416" s="86"/>
      <c r="I1416" s="86"/>
      <c r="J1416" s="87"/>
    </row>
    <row r="1417">
      <c r="A1417" s="92" t="s">
        <v>14</v>
      </c>
      <c r="B1417" s="116" t="s">
        <v>21</v>
      </c>
      <c r="C1417" s="122">
        <v>46.0</v>
      </c>
      <c r="D1417" s="121" t="s">
        <v>2479</v>
      </c>
      <c r="E1417" s="121" t="s">
        <v>2444</v>
      </c>
      <c r="F1417" s="94"/>
      <c r="G1417" s="98"/>
      <c r="H1417" s="94"/>
      <c r="I1417" s="94"/>
      <c r="J1417" s="87"/>
    </row>
    <row r="1418">
      <c r="A1418" s="84" t="s">
        <v>14</v>
      </c>
      <c r="B1418" s="117" t="s">
        <v>21</v>
      </c>
      <c r="C1418" s="123">
        <v>47.0</v>
      </c>
      <c r="D1418" s="119" t="s">
        <v>2480</v>
      </c>
      <c r="E1418" s="119" t="s">
        <v>2436</v>
      </c>
      <c r="F1418" s="86"/>
      <c r="G1418" s="100"/>
      <c r="H1418" s="86"/>
      <c r="I1418" s="86"/>
      <c r="J1418" s="87"/>
    </row>
    <row r="1419">
      <c r="A1419" s="92" t="s">
        <v>14</v>
      </c>
      <c r="B1419" s="116" t="s">
        <v>21</v>
      </c>
      <c r="C1419" s="122">
        <v>48.0</v>
      </c>
      <c r="D1419" s="121" t="s">
        <v>2481</v>
      </c>
      <c r="E1419" s="121" t="s">
        <v>2447</v>
      </c>
      <c r="F1419" s="94"/>
      <c r="G1419" s="98"/>
      <c r="H1419" s="94"/>
      <c r="I1419" s="94"/>
      <c r="J1419" s="87"/>
    </row>
    <row r="1420">
      <c r="A1420" s="84" t="s">
        <v>14</v>
      </c>
      <c r="B1420" s="117" t="s">
        <v>21</v>
      </c>
      <c r="C1420" s="123">
        <v>49.0</v>
      </c>
      <c r="D1420" s="119" t="s">
        <v>2482</v>
      </c>
      <c r="E1420" s="119" t="s">
        <v>2447</v>
      </c>
      <c r="F1420" s="86"/>
      <c r="G1420" s="100"/>
      <c r="H1420" s="86"/>
      <c r="I1420" s="86"/>
      <c r="J1420" s="87"/>
    </row>
    <row r="1421">
      <c r="A1421" s="92" t="s">
        <v>14</v>
      </c>
      <c r="B1421" s="116" t="s">
        <v>21</v>
      </c>
      <c r="C1421" s="122">
        <v>50.0</v>
      </c>
      <c r="D1421" s="121" t="s">
        <v>2483</v>
      </c>
      <c r="E1421" s="121" t="s">
        <v>2442</v>
      </c>
      <c r="F1421" s="94"/>
      <c r="G1421" s="98"/>
      <c r="H1421" s="94"/>
      <c r="I1421" s="94"/>
      <c r="J1421" s="87"/>
    </row>
    <row r="1422">
      <c r="A1422" s="84" t="s">
        <v>14</v>
      </c>
      <c r="B1422" s="117" t="s">
        <v>21</v>
      </c>
      <c r="C1422" s="123">
        <v>51.0</v>
      </c>
      <c r="D1422" s="119" t="s">
        <v>2484</v>
      </c>
      <c r="E1422" s="119" t="s">
        <v>2436</v>
      </c>
      <c r="F1422" s="86"/>
      <c r="G1422" s="100"/>
      <c r="H1422" s="86"/>
      <c r="I1422" s="86"/>
      <c r="J1422" s="87"/>
    </row>
    <row r="1423">
      <c r="A1423" s="92" t="s">
        <v>14</v>
      </c>
      <c r="B1423" s="116" t="s">
        <v>21</v>
      </c>
      <c r="C1423" s="122">
        <v>52.0</v>
      </c>
      <c r="D1423" s="121" t="s">
        <v>2485</v>
      </c>
      <c r="E1423" s="121" t="s">
        <v>2447</v>
      </c>
      <c r="F1423" s="94"/>
      <c r="G1423" s="98"/>
      <c r="H1423" s="94"/>
      <c r="I1423" s="94"/>
      <c r="J1423" s="87"/>
    </row>
    <row r="1424">
      <c r="A1424" s="84" t="s">
        <v>14</v>
      </c>
      <c r="B1424" s="117" t="s">
        <v>21</v>
      </c>
      <c r="C1424" s="123">
        <v>53.0</v>
      </c>
      <c r="D1424" s="119" t="s">
        <v>2486</v>
      </c>
      <c r="E1424" s="119" t="s">
        <v>2447</v>
      </c>
      <c r="F1424" s="86"/>
      <c r="G1424" s="100"/>
      <c r="H1424" s="86"/>
      <c r="I1424" s="86"/>
      <c r="J1424" s="87"/>
    </row>
    <row r="1425">
      <c r="A1425" s="92" t="s">
        <v>14</v>
      </c>
      <c r="B1425" s="116" t="s">
        <v>21</v>
      </c>
      <c r="C1425" s="122">
        <v>54.0</v>
      </c>
      <c r="D1425" s="121" t="s">
        <v>2487</v>
      </c>
      <c r="E1425" s="121" t="s">
        <v>2442</v>
      </c>
      <c r="F1425" s="94"/>
      <c r="G1425" s="98"/>
      <c r="H1425" s="94"/>
      <c r="I1425" s="94"/>
      <c r="J1425" s="87"/>
    </row>
    <row r="1426">
      <c r="A1426" s="84" t="s">
        <v>14</v>
      </c>
      <c r="B1426" s="117" t="s">
        <v>21</v>
      </c>
      <c r="C1426" s="123">
        <v>55.0</v>
      </c>
      <c r="D1426" s="119" t="s">
        <v>2488</v>
      </c>
      <c r="E1426" s="119" t="s">
        <v>2436</v>
      </c>
      <c r="F1426" s="86"/>
      <c r="G1426" s="100"/>
      <c r="H1426" s="86"/>
      <c r="I1426" s="86"/>
      <c r="J1426" s="87"/>
    </row>
    <row r="1427">
      <c r="A1427" s="92" t="s">
        <v>14</v>
      </c>
      <c r="B1427" s="116" t="s">
        <v>21</v>
      </c>
      <c r="C1427" s="122">
        <v>56.0</v>
      </c>
      <c r="D1427" s="121" t="s">
        <v>2489</v>
      </c>
      <c r="E1427" s="121" t="s">
        <v>2447</v>
      </c>
      <c r="F1427" s="94"/>
      <c r="G1427" s="98"/>
      <c r="H1427" s="94"/>
      <c r="I1427" s="94"/>
      <c r="J1427" s="87"/>
    </row>
    <row r="1428">
      <c r="A1428" s="84" t="s">
        <v>14</v>
      </c>
      <c r="B1428" s="117" t="s">
        <v>21</v>
      </c>
      <c r="C1428" s="123">
        <v>57.0</v>
      </c>
      <c r="D1428" s="119" t="s">
        <v>2490</v>
      </c>
      <c r="E1428" s="119" t="s">
        <v>2447</v>
      </c>
      <c r="F1428" s="86"/>
      <c r="G1428" s="100"/>
      <c r="H1428" s="86"/>
      <c r="I1428" s="86"/>
      <c r="J1428" s="87"/>
    </row>
    <row r="1429">
      <c r="A1429" s="92" t="s">
        <v>14</v>
      </c>
      <c r="B1429" s="116" t="s">
        <v>21</v>
      </c>
      <c r="C1429" s="122">
        <v>58.0</v>
      </c>
      <c r="D1429" s="121" t="s">
        <v>2491</v>
      </c>
      <c r="E1429" s="121" t="s">
        <v>2442</v>
      </c>
      <c r="F1429" s="94"/>
      <c r="G1429" s="98"/>
      <c r="H1429" s="94"/>
      <c r="I1429" s="94"/>
      <c r="J1429" s="87"/>
    </row>
    <row r="1430">
      <c r="A1430" s="84" t="s">
        <v>14</v>
      </c>
      <c r="B1430" s="117" t="s">
        <v>21</v>
      </c>
      <c r="C1430" s="123">
        <v>59.0</v>
      </c>
      <c r="D1430" s="119" t="s">
        <v>2492</v>
      </c>
      <c r="E1430" s="119" t="s">
        <v>2493</v>
      </c>
      <c r="F1430" s="86"/>
      <c r="G1430" s="100"/>
      <c r="H1430" s="86"/>
      <c r="I1430" s="86"/>
      <c r="J1430" s="87"/>
    </row>
    <row r="1431">
      <c r="A1431" s="92" t="s">
        <v>14</v>
      </c>
      <c r="B1431" s="116" t="s">
        <v>21</v>
      </c>
      <c r="C1431" s="122">
        <v>60.0</v>
      </c>
      <c r="D1431" s="121" t="s">
        <v>2494</v>
      </c>
      <c r="E1431" s="121" t="s">
        <v>2493</v>
      </c>
      <c r="F1431" s="94"/>
      <c r="G1431" s="98"/>
      <c r="H1431" s="94"/>
      <c r="I1431" s="94"/>
      <c r="J1431" s="87"/>
    </row>
    <row r="1432">
      <c r="A1432" s="84" t="s">
        <v>14</v>
      </c>
      <c r="B1432" s="117" t="s">
        <v>21</v>
      </c>
      <c r="C1432" s="123">
        <v>61.0</v>
      </c>
      <c r="D1432" s="119" t="s">
        <v>2495</v>
      </c>
      <c r="E1432" s="119" t="s">
        <v>2436</v>
      </c>
      <c r="F1432" s="86"/>
      <c r="G1432" s="100"/>
      <c r="H1432" s="86"/>
      <c r="I1432" s="86"/>
      <c r="J1432" s="87"/>
    </row>
    <row r="1433">
      <c r="A1433" s="92" t="s">
        <v>14</v>
      </c>
      <c r="B1433" s="116" t="s">
        <v>21</v>
      </c>
      <c r="C1433" s="122">
        <v>62.0</v>
      </c>
      <c r="D1433" s="121" t="s">
        <v>2496</v>
      </c>
      <c r="E1433" s="121" t="s">
        <v>2438</v>
      </c>
      <c r="F1433" s="94"/>
      <c r="G1433" s="98"/>
      <c r="H1433" s="94"/>
      <c r="I1433" s="94"/>
      <c r="J1433" s="87"/>
    </row>
    <row r="1434">
      <c r="A1434" s="84" t="s">
        <v>14</v>
      </c>
      <c r="B1434" s="117" t="s">
        <v>21</v>
      </c>
      <c r="C1434" s="123">
        <v>63.0</v>
      </c>
      <c r="D1434" s="119" t="s">
        <v>2497</v>
      </c>
      <c r="E1434" s="119" t="s">
        <v>2438</v>
      </c>
      <c r="F1434" s="86"/>
      <c r="G1434" s="100"/>
      <c r="H1434" s="86"/>
      <c r="I1434" s="86"/>
      <c r="J1434" s="87"/>
    </row>
    <row r="1435">
      <c r="A1435" s="92" t="s">
        <v>14</v>
      </c>
      <c r="B1435" s="116" t="s">
        <v>21</v>
      </c>
      <c r="C1435" s="122">
        <v>64.0</v>
      </c>
      <c r="D1435" s="121" t="s">
        <v>2498</v>
      </c>
      <c r="E1435" s="121" t="s">
        <v>2438</v>
      </c>
      <c r="F1435" s="94"/>
      <c r="G1435" s="98"/>
      <c r="H1435" s="94"/>
      <c r="I1435" s="94"/>
      <c r="J1435" s="87"/>
    </row>
    <row r="1436">
      <c r="A1436" s="84" t="s">
        <v>14</v>
      </c>
      <c r="B1436" s="117" t="s">
        <v>21</v>
      </c>
      <c r="C1436" s="123">
        <v>65.0</v>
      </c>
      <c r="D1436" s="119" t="s">
        <v>2499</v>
      </c>
      <c r="E1436" s="119" t="s">
        <v>2442</v>
      </c>
      <c r="F1436" s="86"/>
      <c r="G1436" s="100"/>
      <c r="H1436" s="86"/>
      <c r="I1436" s="86"/>
      <c r="J1436" s="87"/>
    </row>
    <row r="1437">
      <c r="A1437" s="92" t="s">
        <v>14</v>
      </c>
      <c r="B1437" s="116" t="s">
        <v>21</v>
      </c>
      <c r="C1437" s="122">
        <v>66.0</v>
      </c>
      <c r="D1437" s="121" t="s">
        <v>2500</v>
      </c>
      <c r="E1437" s="121" t="s">
        <v>2444</v>
      </c>
      <c r="F1437" s="94"/>
      <c r="G1437" s="98"/>
      <c r="H1437" s="94"/>
      <c r="I1437" s="94"/>
      <c r="J1437" s="87"/>
    </row>
    <row r="1438">
      <c r="A1438" s="84" t="s">
        <v>14</v>
      </c>
      <c r="B1438" s="117" t="s">
        <v>21</v>
      </c>
      <c r="C1438" s="123">
        <v>67.0</v>
      </c>
      <c r="D1438" s="119" t="s">
        <v>2501</v>
      </c>
      <c r="E1438" s="119" t="s">
        <v>2436</v>
      </c>
      <c r="F1438" s="86"/>
      <c r="G1438" s="100"/>
      <c r="H1438" s="86"/>
      <c r="I1438" s="86"/>
      <c r="J1438" s="87"/>
    </row>
    <row r="1439">
      <c r="A1439" s="92" t="s">
        <v>14</v>
      </c>
      <c r="B1439" s="116" t="s">
        <v>21</v>
      </c>
      <c r="C1439" s="122">
        <v>68.0</v>
      </c>
      <c r="D1439" s="121" t="s">
        <v>2502</v>
      </c>
      <c r="E1439" s="121" t="s">
        <v>2447</v>
      </c>
      <c r="F1439" s="94"/>
      <c r="G1439" s="98"/>
      <c r="H1439" s="94"/>
      <c r="I1439" s="94"/>
      <c r="J1439" s="87"/>
    </row>
    <row r="1440">
      <c r="A1440" s="84" t="s">
        <v>14</v>
      </c>
      <c r="B1440" s="117" t="s">
        <v>21</v>
      </c>
      <c r="C1440" s="123">
        <v>69.0</v>
      </c>
      <c r="D1440" s="119" t="s">
        <v>2503</v>
      </c>
      <c r="E1440" s="119" t="s">
        <v>2447</v>
      </c>
      <c r="F1440" s="86"/>
      <c r="G1440" s="100"/>
      <c r="H1440" s="86"/>
      <c r="I1440" s="86"/>
      <c r="J1440" s="87"/>
    </row>
    <row r="1441">
      <c r="A1441" s="92" t="s">
        <v>14</v>
      </c>
      <c r="B1441" s="116" t="s">
        <v>21</v>
      </c>
      <c r="C1441" s="122">
        <v>70.0</v>
      </c>
      <c r="D1441" s="121" t="s">
        <v>2504</v>
      </c>
      <c r="E1441" s="121" t="s">
        <v>2442</v>
      </c>
      <c r="F1441" s="94"/>
      <c r="G1441" s="98"/>
      <c r="H1441" s="94"/>
      <c r="I1441" s="94"/>
      <c r="J1441" s="87"/>
    </row>
    <row r="1442">
      <c r="A1442" s="84" t="s">
        <v>14</v>
      </c>
      <c r="B1442" s="117" t="s">
        <v>21</v>
      </c>
      <c r="C1442" s="123">
        <v>71.0</v>
      </c>
      <c r="D1442" s="119" t="s">
        <v>2505</v>
      </c>
      <c r="E1442" s="119" t="s">
        <v>2444</v>
      </c>
      <c r="F1442" s="86"/>
      <c r="G1442" s="100"/>
      <c r="H1442" s="86"/>
      <c r="I1442" s="86"/>
      <c r="J1442" s="87"/>
    </row>
    <row r="1443">
      <c r="A1443" s="92" t="s">
        <v>14</v>
      </c>
      <c r="B1443" s="116" t="s">
        <v>21</v>
      </c>
      <c r="C1443" s="122">
        <v>72.0</v>
      </c>
      <c r="D1443" s="121" t="s">
        <v>2506</v>
      </c>
      <c r="E1443" s="121" t="s">
        <v>2436</v>
      </c>
      <c r="F1443" s="94"/>
      <c r="G1443" s="98"/>
      <c r="H1443" s="94"/>
      <c r="I1443" s="94"/>
      <c r="J1443" s="87"/>
    </row>
    <row r="1444">
      <c r="A1444" s="84" t="s">
        <v>14</v>
      </c>
      <c r="B1444" s="117" t="s">
        <v>21</v>
      </c>
      <c r="C1444" s="123">
        <v>73.0</v>
      </c>
      <c r="D1444" s="119" t="s">
        <v>2507</v>
      </c>
      <c r="E1444" s="119" t="s">
        <v>2447</v>
      </c>
      <c r="F1444" s="86"/>
      <c r="G1444" s="100"/>
      <c r="H1444" s="86"/>
      <c r="I1444" s="86"/>
      <c r="J1444" s="87"/>
    </row>
    <row r="1445">
      <c r="A1445" s="92" t="s">
        <v>14</v>
      </c>
      <c r="B1445" s="116" t="s">
        <v>21</v>
      </c>
      <c r="C1445" s="122">
        <v>74.0</v>
      </c>
      <c r="D1445" s="121" t="s">
        <v>2508</v>
      </c>
      <c r="E1445" s="121" t="s">
        <v>2447</v>
      </c>
      <c r="F1445" s="94"/>
      <c r="G1445" s="98"/>
      <c r="H1445" s="94"/>
      <c r="I1445" s="94"/>
      <c r="J1445" s="87"/>
    </row>
    <row r="1446">
      <c r="A1446" s="84" t="s">
        <v>14</v>
      </c>
      <c r="B1446" s="117" t="s">
        <v>21</v>
      </c>
      <c r="C1446" s="123">
        <v>75.0</v>
      </c>
      <c r="D1446" s="119" t="s">
        <v>2509</v>
      </c>
      <c r="E1446" s="119" t="s">
        <v>2442</v>
      </c>
      <c r="F1446" s="86"/>
      <c r="G1446" s="100"/>
      <c r="H1446" s="86"/>
      <c r="I1446" s="86"/>
      <c r="J1446" s="87"/>
    </row>
    <row r="1447">
      <c r="A1447" s="92" t="s">
        <v>14</v>
      </c>
      <c r="B1447" s="116" t="s">
        <v>21</v>
      </c>
      <c r="C1447" s="122">
        <v>76.0</v>
      </c>
      <c r="D1447" s="121" t="s">
        <v>2510</v>
      </c>
      <c r="E1447" s="121" t="s">
        <v>2444</v>
      </c>
      <c r="F1447" s="94"/>
      <c r="G1447" s="98"/>
      <c r="H1447" s="94"/>
      <c r="I1447" s="94"/>
      <c r="J1447" s="87"/>
    </row>
    <row r="1448">
      <c r="A1448" s="84" t="s">
        <v>14</v>
      </c>
      <c r="B1448" s="117" t="s">
        <v>21</v>
      </c>
      <c r="C1448" s="123">
        <v>77.0</v>
      </c>
      <c r="D1448" s="119" t="s">
        <v>2511</v>
      </c>
      <c r="E1448" s="119" t="s">
        <v>2442</v>
      </c>
      <c r="F1448" s="86"/>
      <c r="G1448" s="100"/>
      <c r="H1448" s="86"/>
      <c r="I1448" s="86"/>
      <c r="J1448" s="87"/>
    </row>
    <row r="1449">
      <c r="A1449" s="92" t="s">
        <v>14</v>
      </c>
      <c r="B1449" s="116" t="s">
        <v>21</v>
      </c>
      <c r="C1449" s="122">
        <v>78.0</v>
      </c>
      <c r="D1449" s="121" t="s">
        <v>2512</v>
      </c>
      <c r="E1449" s="121" t="s">
        <v>2444</v>
      </c>
      <c r="F1449" s="94"/>
      <c r="G1449" s="98"/>
      <c r="H1449" s="94"/>
      <c r="I1449" s="94"/>
      <c r="J1449" s="87"/>
    </row>
    <row r="1450">
      <c r="A1450" s="84" t="s">
        <v>14</v>
      </c>
      <c r="B1450" s="117" t="s">
        <v>21</v>
      </c>
      <c r="C1450" s="123">
        <v>79.0</v>
      </c>
      <c r="D1450" s="119" t="s">
        <v>2513</v>
      </c>
      <c r="E1450" s="119" t="s">
        <v>2459</v>
      </c>
      <c r="F1450" s="86"/>
      <c r="G1450" s="100"/>
      <c r="H1450" s="86"/>
      <c r="I1450" s="86"/>
      <c r="J1450" s="87"/>
    </row>
    <row r="1451">
      <c r="A1451" s="92" t="s">
        <v>14</v>
      </c>
      <c r="B1451" s="116" t="s">
        <v>21</v>
      </c>
      <c r="C1451" s="122">
        <v>80.0</v>
      </c>
      <c r="D1451" s="121" t="s">
        <v>2514</v>
      </c>
      <c r="E1451" s="121" t="s">
        <v>2461</v>
      </c>
      <c r="F1451" s="94"/>
      <c r="G1451" s="98"/>
      <c r="H1451" s="94"/>
      <c r="I1451" s="94"/>
      <c r="J1451" s="87"/>
    </row>
    <row r="1452">
      <c r="A1452" s="84" t="s">
        <v>14</v>
      </c>
      <c r="B1452" s="117" t="s">
        <v>21</v>
      </c>
      <c r="C1452" s="123">
        <v>81.0</v>
      </c>
      <c r="D1452" s="119" t="s">
        <v>2515</v>
      </c>
      <c r="E1452" s="119" t="s">
        <v>2463</v>
      </c>
      <c r="F1452" s="86"/>
      <c r="G1452" s="100"/>
      <c r="H1452" s="86"/>
      <c r="I1452" s="86"/>
      <c r="J1452" s="87"/>
    </row>
    <row r="1453">
      <c r="A1453" s="92" t="s">
        <v>20</v>
      </c>
      <c r="B1453" s="116" t="s">
        <v>69</v>
      </c>
      <c r="C1453" s="122">
        <v>1.0</v>
      </c>
      <c r="D1453" s="121" t="s">
        <v>2516</v>
      </c>
      <c r="E1453" s="121" t="s">
        <v>2517</v>
      </c>
      <c r="F1453" s="94"/>
      <c r="G1453" s="98"/>
      <c r="H1453" s="92"/>
      <c r="I1453" s="94"/>
      <c r="J1453" s="87"/>
    </row>
    <row r="1454">
      <c r="A1454" s="84" t="s">
        <v>20</v>
      </c>
      <c r="B1454" s="117" t="s">
        <v>69</v>
      </c>
      <c r="C1454" s="123">
        <v>2.0</v>
      </c>
      <c r="D1454" s="119" t="s">
        <v>2518</v>
      </c>
      <c r="E1454" s="119" t="s">
        <v>2517</v>
      </c>
      <c r="F1454" s="86"/>
      <c r="G1454" s="100"/>
      <c r="H1454" s="84"/>
      <c r="I1454" s="86"/>
      <c r="J1454" s="87"/>
    </row>
    <row r="1455">
      <c r="A1455" s="92" t="s">
        <v>20</v>
      </c>
      <c r="B1455" s="116" t="s">
        <v>69</v>
      </c>
      <c r="C1455" s="122">
        <v>3.0</v>
      </c>
      <c r="D1455" s="121" t="s">
        <v>2519</v>
      </c>
      <c r="E1455" s="121" t="s">
        <v>2520</v>
      </c>
      <c r="F1455" s="94"/>
      <c r="G1455" s="98"/>
      <c r="H1455" s="92"/>
      <c r="I1455" s="94"/>
      <c r="J1455" s="87"/>
    </row>
    <row r="1456">
      <c r="A1456" s="84" t="s">
        <v>20</v>
      </c>
      <c r="B1456" s="117" t="s">
        <v>69</v>
      </c>
      <c r="C1456" s="123">
        <v>4.0</v>
      </c>
      <c r="D1456" s="119" t="s">
        <v>2521</v>
      </c>
      <c r="E1456" s="119" t="s">
        <v>2522</v>
      </c>
      <c r="F1456" s="86"/>
      <c r="G1456" s="100"/>
      <c r="H1456" s="84"/>
      <c r="I1456" s="86"/>
      <c r="J1456" s="87"/>
    </row>
    <row r="1457">
      <c r="A1457" s="92" t="s">
        <v>20</v>
      </c>
      <c r="B1457" s="116" t="s">
        <v>69</v>
      </c>
      <c r="C1457" s="122">
        <v>5.0</v>
      </c>
      <c r="D1457" s="121" t="s">
        <v>2523</v>
      </c>
      <c r="E1457" s="121" t="s">
        <v>2520</v>
      </c>
      <c r="F1457" s="94"/>
      <c r="G1457" s="98"/>
      <c r="H1457" s="92"/>
      <c r="I1457" s="94"/>
      <c r="J1457" s="87"/>
    </row>
    <row r="1458">
      <c r="A1458" s="84" t="s">
        <v>20</v>
      </c>
      <c r="B1458" s="117" t="s">
        <v>69</v>
      </c>
      <c r="C1458" s="123">
        <v>6.0</v>
      </c>
      <c r="D1458" s="119" t="s">
        <v>2524</v>
      </c>
      <c r="E1458" s="119" t="s">
        <v>2520</v>
      </c>
      <c r="F1458" s="86"/>
      <c r="G1458" s="100"/>
      <c r="H1458" s="84"/>
      <c r="I1458" s="86"/>
      <c r="J1458" s="87"/>
    </row>
    <row r="1459">
      <c r="A1459" s="92" t="s">
        <v>20</v>
      </c>
      <c r="B1459" s="116" t="s">
        <v>69</v>
      </c>
      <c r="C1459" s="122">
        <v>7.0</v>
      </c>
      <c r="D1459" s="121" t="s">
        <v>2525</v>
      </c>
      <c r="E1459" s="121" t="s">
        <v>2522</v>
      </c>
      <c r="F1459" s="94"/>
      <c r="G1459" s="98"/>
      <c r="H1459" s="92"/>
      <c r="I1459" s="94"/>
      <c r="J1459" s="87"/>
    </row>
    <row r="1460">
      <c r="A1460" s="84" t="s">
        <v>20</v>
      </c>
      <c r="B1460" s="117" t="s">
        <v>69</v>
      </c>
      <c r="C1460" s="123">
        <v>8.0</v>
      </c>
      <c r="D1460" s="119" t="s">
        <v>2526</v>
      </c>
      <c r="E1460" s="119" t="s">
        <v>2527</v>
      </c>
      <c r="F1460" s="86"/>
      <c r="G1460" s="100"/>
      <c r="H1460" s="84"/>
      <c r="I1460" s="86"/>
      <c r="J1460" s="87"/>
    </row>
    <row r="1461">
      <c r="A1461" s="92" t="s">
        <v>34</v>
      </c>
      <c r="B1461" s="116" t="s">
        <v>221</v>
      </c>
      <c r="C1461" s="122" t="s">
        <v>2528</v>
      </c>
      <c r="D1461" s="121" t="s">
        <v>2529</v>
      </c>
      <c r="E1461" s="121"/>
      <c r="F1461" s="94"/>
      <c r="G1461" s="98"/>
      <c r="H1461" s="94"/>
      <c r="I1461" s="94"/>
      <c r="J1461" s="87"/>
    </row>
    <row r="1462">
      <c r="A1462" s="84" t="s">
        <v>34</v>
      </c>
      <c r="B1462" s="117" t="s">
        <v>221</v>
      </c>
      <c r="C1462" s="123" t="s">
        <v>2530</v>
      </c>
      <c r="D1462" s="119" t="s">
        <v>2531</v>
      </c>
      <c r="E1462" s="119"/>
      <c r="F1462" s="86"/>
      <c r="G1462" s="100"/>
      <c r="H1462" s="86"/>
      <c r="I1462" s="86"/>
      <c r="J1462" s="87"/>
    </row>
    <row r="1463">
      <c r="A1463" s="92" t="s">
        <v>34</v>
      </c>
      <c r="B1463" s="116" t="s">
        <v>221</v>
      </c>
      <c r="C1463" s="122" t="s">
        <v>2532</v>
      </c>
      <c r="D1463" s="121" t="s">
        <v>2533</v>
      </c>
      <c r="E1463" s="121"/>
      <c r="F1463" s="94"/>
      <c r="G1463" s="98"/>
      <c r="H1463" s="94"/>
      <c r="I1463" s="94"/>
      <c r="J1463" s="87"/>
    </row>
    <row r="1464">
      <c r="A1464" s="84" t="s">
        <v>34</v>
      </c>
      <c r="B1464" s="117" t="s">
        <v>221</v>
      </c>
      <c r="C1464" s="135">
        <v>46023.0</v>
      </c>
      <c r="D1464" s="119" t="s">
        <v>2534</v>
      </c>
      <c r="E1464" s="119"/>
      <c r="F1464" s="86"/>
      <c r="G1464" s="100"/>
      <c r="H1464" s="86"/>
      <c r="I1464" s="86"/>
      <c r="J1464" s="87"/>
    </row>
    <row r="1465">
      <c r="A1465" s="92" t="s">
        <v>34</v>
      </c>
      <c r="B1465" s="116" t="s">
        <v>221</v>
      </c>
      <c r="C1465" s="136">
        <v>46054.0</v>
      </c>
      <c r="D1465" s="121" t="s">
        <v>2535</v>
      </c>
      <c r="E1465" s="121"/>
      <c r="F1465" s="94"/>
      <c r="G1465" s="98"/>
      <c r="H1465" s="94"/>
      <c r="I1465" s="94"/>
      <c r="J1465" s="87"/>
    </row>
    <row r="1466">
      <c r="A1466" s="84" t="s">
        <v>34</v>
      </c>
      <c r="B1466" s="117" t="s">
        <v>221</v>
      </c>
      <c r="C1466" s="135">
        <v>46055.0</v>
      </c>
      <c r="D1466" s="119" t="s">
        <v>2536</v>
      </c>
      <c r="E1466" s="119"/>
      <c r="F1466" s="86"/>
      <c r="G1466" s="100"/>
      <c r="H1466" s="86"/>
      <c r="I1466" s="86"/>
      <c r="J1466" s="87"/>
    </row>
    <row r="1467">
      <c r="A1467" s="92" t="s">
        <v>34</v>
      </c>
      <c r="B1467" s="116" t="s">
        <v>221</v>
      </c>
      <c r="C1467" s="136">
        <v>46056.0</v>
      </c>
      <c r="D1467" s="121" t="s">
        <v>2537</v>
      </c>
      <c r="E1467" s="121"/>
      <c r="F1467" s="94"/>
      <c r="G1467" s="98"/>
      <c r="H1467" s="94"/>
      <c r="I1467" s="94"/>
      <c r="J1467" s="87"/>
    </row>
    <row r="1468">
      <c r="A1468" s="84" t="s">
        <v>34</v>
      </c>
      <c r="B1468" s="117" t="s">
        <v>221</v>
      </c>
      <c r="C1468" s="135">
        <v>46082.0</v>
      </c>
      <c r="D1468" s="119" t="s">
        <v>2538</v>
      </c>
      <c r="E1468" s="119"/>
      <c r="F1468" s="86"/>
      <c r="G1468" s="100"/>
      <c r="H1468" s="86"/>
      <c r="I1468" s="86"/>
      <c r="J1468" s="87"/>
    </row>
    <row r="1469">
      <c r="A1469" s="92" t="s">
        <v>34</v>
      </c>
      <c r="B1469" s="116" t="s">
        <v>221</v>
      </c>
      <c r="C1469" s="136">
        <v>46083.0</v>
      </c>
      <c r="D1469" s="121" t="s">
        <v>2539</v>
      </c>
      <c r="E1469" s="121"/>
      <c r="F1469" s="94"/>
      <c r="G1469" s="98"/>
      <c r="H1469" s="94"/>
      <c r="I1469" s="94"/>
      <c r="J1469" s="87"/>
    </row>
    <row r="1470">
      <c r="A1470" s="84" t="s">
        <v>34</v>
      </c>
      <c r="B1470" s="117" t="s">
        <v>221</v>
      </c>
      <c r="C1470" s="135">
        <v>46084.0</v>
      </c>
      <c r="D1470" s="119" t="s">
        <v>2540</v>
      </c>
      <c r="E1470" s="119"/>
      <c r="F1470" s="86"/>
      <c r="G1470" s="100"/>
      <c r="H1470" s="86"/>
      <c r="I1470" s="86"/>
      <c r="J1470" s="87"/>
    </row>
    <row r="1471">
      <c r="A1471" s="92" t="s">
        <v>34</v>
      </c>
      <c r="B1471" s="116" t="s">
        <v>221</v>
      </c>
      <c r="C1471" s="136">
        <v>46113.0</v>
      </c>
      <c r="D1471" s="121" t="s">
        <v>2541</v>
      </c>
      <c r="E1471" s="121"/>
      <c r="F1471" s="94"/>
      <c r="G1471" s="98"/>
      <c r="H1471" s="94"/>
      <c r="I1471" s="94"/>
      <c r="J1471" s="87"/>
    </row>
    <row r="1472">
      <c r="A1472" s="84" t="s">
        <v>34</v>
      </c>
      <c r="B1472" s="117" t="s">
        <v>221</v>
      </c>
      <c r="C1472" s="135">
        <v>46114.0</v>
      </c>
      <c r="D1472" s="119" t="s">
        <v>2542</v>
      </c>
      <c r="E1472" s="119"/>
      <c r="F1472" s="86"/>
      <c r="G1472" s="100"/>
      <c r="H1472" s="86"/>
      <c r="I1472" s="86"/>
      <c r="J1472" s="87"/>
    </row>
    <row r="1473">
      <c r="A1473" s="92" t="s">
        <v>34</v>
      </c>
      <c r="B1473" s="116" t="s">
        <v>221</v>
      </c>
      <c r="C1473" s="136">
        <v>46115.0</v>
      </c>
      <c r="D1473" s="121" t="s">
        <v>2543</v>
      </c>
      <c r="E1473" s="121"/>
      <c r="F1473" s="94"/>
      <c r="G1473" s="98"/>
      <c r="H1473" s="94"/>
      <c r="I1473" s="94"/>
      <c r="J1473" s="87"/>
    </row>
    <row r="1474">
      <c r="A1474" s="84" t="s">
        <v>34</v>
      </c>
      <c r="B1474" s="117" t="s">
        <v>221</v>
      </c>
      <c r="C1474" s="135">
        <v>46144.0</v>
      </c>
      <c r="D1474" s="119" t="s">
        <v>2544</v>
      </c>
      <c r="E1474" s="119"/>
      <c r="F1474" s="86"/>
      <c r="G1474" s="100"/>
      <c r="H1474" s="86"/>
      <c r="I1474" s="86"/>
      <c r="J1474" s="87"/>
    </row>
    <row r="1475">
      <c r="A1475" s="92" t="s">
        <v>34</v>
      </c>
      <c r="B1475" s="116" t="s">
        <v>221</v>
      </c>
      <c r="C1475" s="136">
        <v>46145.0</v>
      </c>
      <c r="D1475" s="121" t="s">
        <v>2545</v>
      </c>
      <c r="E1475" s="121"/>
      <c r="F1475" s="94"/>
      <c r="G1475" s="98"/>
      <c r="H1475" s="94"/>
      <c r="I1475" s="94"/>
      <c r="J1475" s="87"/>
    </row>
    <row r="1476">
      <c r="A1476" s="84" t="s">
        <v>34</v>
      </c>
      <c r="B1476" s="117" t="s">
        <v>221</v>
      </c>
      <c r="C1476" s="123">
        <v>6.0</v>
      </c>
      <c r="D1476" s="119" t="s">
        <v>2546</v>
      </c>
      <c r="E1476" s="119"/>
      <c r="F1476" s="86"/>
      <c r="G1476" s="100"/>
      <c r="H1476" s="86"/>
      <c r="I1476" s="86"/>
      <c r="J1476" s="87"/>
    </row>
    <row r="1477">
      <c r="A1477" s="92" t="s">
        <v>34</v>
      </c>
      <c r="B1477" s="116" t="s">
        <v>221</v>
      </c>
      <c r="C1477" s="136">
        <v>46175.0</v>
      </c>
      <c r="D1477" s="121" t="s">
        <v>2547</v>
      </c>
      <c r="E1477" s="121"/>
      <c r="F1477" s="94"/>
      <c r="G1477" s="98"/>
      <c r="H1477" s="94"/>
      <c r="I1477" s="94"/>
      <c r="J1477" s="87"/>
    </row>
    <row r="1478">
      <c r="A1478" s="84" t="s">
        <v>34</v>
      </c>
      <c r="B1478" s="117" t="s">
        <v>221</v>
      </c>
      <c r="C1478" s="135">
        <v>46176.0</v>
      </c>
      <c r="D1478" s="119" t="s">
        <v>2548</v>
      </c>
      <c r="E1478" s="119"/>
      <c r="F1478" s="86"/>
      <c r="G1478" s="100"/>
      <c r="H1478" s="86"/>
      <c r="I1478" s="86"/>
      <c r="J1478" s="87"/>
    </row>
    <row r="1479">
      <c r="A1479" s="92" t="s">
        <v>34</v>
      </c>
      <c r="B1479" s="116" t="s">
        <v>221</v>
      </c>
      <c r="C1479" s="136">
        <v>46205.0</v>
      </c>
      <c r="D1479" s="121" t="s">
        <v>2549</v>
      </c>
      <c r="E1479" s="121"/>
      <c r="F1479" s="94"/>
      <c r="G1479" s="98"/>
      <c r="H1479" s="94"/>
      <c r="I1479" s="94"/>
      <c r="J1479" s="87"/>
    </row>
    <row r="1480">
      <c r="A1480" s="84" t="s">
        <v>34</v>
      </c>
      <c r="B1480" s="117" t="s">
        <v>221</v>
      </c>
      <c r="C1480" s="135">
        <v>46206.0</v>
      </c>
      <c r="D1480" s="119" t="s">
        <v>2550</v>
      </c>
      <c r="E1480" s="119"/>
      <c r="F1480" s="86"/>
      <c r="G1480" s="100"/>
      <c r="H1480" s="86"/>
      <c r="I1480" s="86"/>
      <c r="J1480" s="87"/>
    </row>
    <row r="1481">
      <c r="A1481" s="92" t="s">
        <v>34</v>
      </c>
      <c r="B1481" s="116" t="s">
        <v>221</v>
      </c>
      <c r="C1481" s="136">
        <v>46236.0</v>
      </c>
      <c r="D1481" s="121" t="s">
        <v>2551</v>
      </c>
      <c r="E1481" s="121"/>
      <c r="F1481" s="94"/>
      <c r="G1481" s="98"/>
      <c r="H1481" s="94"/>
      <c r="I1481" s="94"/>
      <c r="J1481" s="87"/>
    </row>
    <row r="1482">
      <c r="A1482" s="84" t="s">
        <v>34</v>
      </c>
      <c r="B1482" s="117" t="s">
        <v>221</v>
      </c>
      <c r="C1482" s="135">
        <v>46237.0</v>
      </c>
      <c r="D1482" s="119" t="s">
        <v>2552</v>
      </c>
      <c r="E1482" s="119"/>
      <c r="F1482" s="86"/>
      <c r="G1482" s="100"/>
      <c r="H1482" s="86"/>
      <c r="I1482" s="86"/>
      <c r="J1482" s="87"/>
    </row>
    <row r="1483">
      <c r="A1483" s="92" t="s">
        <v>34</v>
      </c>
      <c r="B1483" s="116" t="s">
        <v>221</v>
      </c>
      <c r="C1483" s="136">
        <v>46267.0</v>
      </c>
      <c r="D1483" s="121" t="s">
        <v>2553</v>
      </c>
      <c r="E1483" s="121"/>
      <c r="F1483" s="94"/>
      <c r="G1483" s="98"/>
      <c r="H1483" s="94"/>
      <c r="I1483" s="94"/>
      <c r="J1483" s="87"/>
    </row>
    <row r="1484">
      <c r="A1484" s="84" t="s">
        <v>34</v>
      </c>
      <c r="B1484" s="117" t="s">
        <v>221</v>
      </c>
      <c r="C1484" s="135">
        <v>46268.0</v>
      </c>
      <c r="D1484" s="119" t="s">
        <v>2554</v>
      </c>
      <c r="E1484" s="119"/>
      <c r="F1484" s="86"/>
      <c r="G1484" s="100"/>
      <c r="H1484" s="86"/>
      <c r="I1484" s="86"/>
      <c r="J1484" s="87"/>
    </row>
    <row r="1485">
      <c r="A1485" s="92" t="s">
        <v>34</v>
      </c>
      <c r="B1485" s="116" t="s">
        <v>221</v>
      </c>
      <c r="C1485" s="136">
        <v>46297.0</v>
      </c>
      <c r="D1485" s="121" t="s">
        <v>2555</v>
      </c>
      <c r="E1485" s="121"/>
      <c r="F1485" s="94"/>
      <c r="G1485" s="98"/>
      <c r="H1485" s="94"/>
      <c r="I1485" s="94"/>
      <c r="J1485" s="87"/>
    </row>
    <row r="1486">
      <c r="A1486" s="84" t="s">
        <v>34</v>
      </c>
      <c r="B1486" s="117" t="s">
        <v>221</v>
      </c>
      <c r="C1486" s="135">
        <v>46298.0</v>
      </c>
      <c r="D1486" s="119" t="s">
        <v>2556</v>
      </c>
      <c r="E1486" s="119"/>
      <c r="F1486" s="86"/>
      <c r="G1486" s="100"/>
      <c r="H1486" s="86"/>
      <c r="I1486" s="86"/>
      <c r="J1486" s="87"/>
    </row>
    <row r="1487">
      <c r="A1487" s="92" t="s">
        <v>34</v>
      </c>
      <c r="B1487" s="116" t="s">
        <v>221</v>
      </c>
      <c r="C1487" s="136">
        <v>46330.0</v>
      </c>
      <c r="D1487" s="121" t="s">
        <v>2557</v>
      </c>
      <c r="E1487" s="121"/>
      <c r="F1487" s="94"/>
      <c r="G1487" s="98"/>
      <c r="H1487" s="94"/>
      <c r="I1487" s="94"/>
      <c r="J1487" s="87"/>
    </row>
    <row r="1488">
      <c r="A1488" s="84" t="s">
        <v>34</v>
      </c>
      <c r="B1488" s="117" t="s">
        <v>221</v>
      </c>
      <c r="C1488" s="135">
        <v>46360.0</v>
      </c>
      <c r="D1488" s="119" t="s">
        <v>2558</v>
      </c>
      <c r="E1488" s="119"/>
      <c r="F1488" s="86"/>
      <c r="G1488" s="100"/>
      <c r="H1488" s="86"/>
      <c r="I1488" s="86"/>
      <c r="J1488" s="87"/>
    </row>
    <row r="1489">
      <c r="A1489" s="92" t="s">
        <v>34</v>
      </c>
      <c r="B1489" s="116" t="s">
        <v>221</v>
      </c>
      <c r="C1489" s="122" t="s">
        <v>2559</v>
      </c>
      <c r="D1489" s="121" t="s">
        <v>2560</v>
      </c>
      <c r="E1489" s="121"/>
      <c r="F1489" s="94"/>
      <c r="G1489" s="98"/>
      <c r="H1489" s="94"/>
      <c r="I1489" s="94"/>
      <c r="J1489" s="87"/>
    </row>
    <row r="1490">
      <c r="A1490" s="84" t="s">
        <v>34</v>
      </c>
      <c r="B1490" s="117" t="s">
        <v>221</v>
      </c>
      <c r="C1490" s="123" t="s">
        <v>2561</v>
      </c>
      <c r="D1490" s="119" t="s">
        <v>2562</v>
      </c>
      <c r="E1490" s="119"/>
      <c r="F1490" s="86"/>
      <c r="G1490" s="100"/>
      <c r="H1490" s="86"/>
      <c r="I1490" s="86"/>
      <c r="J1490" s="87"/>
    </row>
    <row r="1491">
      <c r="A1491" s="92" t="s">
        <v>34</v>
      </c>
      <c r="B1491" s="116" t="s">
        <v>221</v>
      </c>
      <c r="C1491" s="122">
        <v>15.0</v>
      </c>
      <c r="D1491" s="121" t="s">
        <v>2563</v>
      </c>
      <c r="E1491" s="121"/>
      <c r="F1491" s="94"/>
      <c r="G1491" s="98"/>
      <c r="H1491" s="94"/>
      <c r="I1491" s="94"/>
      <c r="J1491" s="87"/>
    </row>
    <row r="1492">
      <c r="A1492" s="84" t="s">
        <v>34</v>
      </c>
      <c r="B1492" s="117" t="s">
        <v>221</v>
      </c>
      <c r="C1492" s="123">
        <v>16.0</v>
      </c>
      <c r="D1492" s="119" t="s">
        <v>2564</v>
      </c>
      <c r="E1492" s="119"/>
      <c r="F1492" s="86"/>
      <c r="G1492" s="100"/>
      <c r="H1492" s="86"/>
      <c r="I1492" s="86"/>
      <c r="J1492" s="87"/>
    </row>
    <row r="1493">
      <c r="A1493" s="92" t="s">
        <v>34</v>
      </c>
      <c r="B1493" s="116" t="s">
        <v>221</v>
      </c>
      <c r="C1493" s="122">
        <v>17.0</v>
      </c>
      <c r="D1493" s="121" t="s">
        <v>2565</v>
      </c>
      <c r="E1493" s="121"/>
      <c r="F1493" s="94"/>
      <c r="G1493" s="98"/>
      <c r="H1493" s="94"/>
      <c r="I1493" s="94"/>
      <c r="J1493" s="87"/>
    </row>
    <row r="1494">
      <c r="A1494" s="84" t="s">
        <v>34</v>
      </c>
      <c r="B1494" s="117" t="s">
        <v>221</v>
      </c>
      <c r="C1494" s="123">
        <v>18.0</v>
      </c>
      <c r="D1494" s="119" t="s">
        <v>2566</v>
      </c>
      <c r="E1494" s="119"/>
      <c r="F1494" s="86"/>
      <c r="G1494" s="100"/>
      <c r="H1494" s="86"/>
      <c r="I1494" s="86"/>
      <c r="J1494" s="87"/>
    </row>
    <row r="1495">
      <c r="A1495" s="92" t="s">
        <v>34</v>
      </c>
      <c r="B1495" s="116" t="s">
        <v>221</v>
      </c>
      <c r="C1495" s="122">
        <v>19.0</v>
      </c>
      <c r="D1495" s="121" t="s">
        <v>2567</v>
      </c>
      <c r="E1495" s="121"/>
      <c r="F1495" s="94"/>
      <c r="G1495" s="98"/>
      <c r="H1495" s="94"/>
      <c r="I1495" s="94"/>
      <c r="J1495" s="87"/>
    </row>
    <row r="1496">
      <c r="A1496" s="84" t="s">
        <v>34</v>
      </c>
      <c r="B1496" s="117" t="s">
        <v>221</v>
      </c>
      <c r="C1496" s="123">
        <v>20.0</v>
      </c>
      <c r="D1496" s="119" t="s">
        <v>2568</v>
      </c>
      <c r="E1496" s="119"/>
      <c r="F1496" s="86"/>
      <c r="G1496" s="100"/>
      <c r="H1496" s="86"/>
      <c r="I1496" s="86"/>
      <c r="J1496" s="87"/>
    </row>
    <row r="1497">
      <c r="A1497" s="92" t="s">
        <v>34</v>
      </c>
      <c r="B1497" s="116" t="s">
        <v>221</v>
      </c>
      <c r="C1497" s="122">
        <v>21.0</v>
      </c>
      <c r="D1497" s="121" t="s">
        <v>2569</v>
      </c>
      <c r="E1497" s="121"/>
      <c r="F1497" s="94"/>
      <c r="G1497" s="98"/>
      <c r="H1497" s="94"/>
      <c r="I1497" s="94"/>
      <c r="J1497" s="87"/>
    </row>
    <row r="1498">
      <c r="A1498" s="84" t="s">
        <v>20</v>
      </c>
      <c r="B1498" s="117" t="s">
        <v>143</v>
      </c>
      <c r="C1498" s="123">
        <v>1.0</v>
      </c>
      <c r="D1498" s="119" t="s">
        <v>2570</v>
      </c>
      <c r="E1498" s="119" t="s">
        <v>2571</v>
      </c>
      <c r="F1498" s="86"/>
      <c r="G1498" s="100"/>
      <c r="H1498" s="86"/>
      <c r="I1498" s="86"/>
      <c r="J1498" s="87"/>
    </row>
    <row r="1499">
      <c r="A1499" s="92" t="s">
        <v>20</v>
      </c>
      <c r="B1499" s="116" t="s">
        <v>143</v>
      </c>
      <c r="C1499" s="122">
        <v>2.0</v>
      </c>
      <c r="D1499" s="121" t="s">
        <v>2572</v>
      </c>
      <c r="E1499" s="121" t="s">
        <v>2573</v>
      </c>
      <c r="F1499" s="94"/>
      <c r="G1499" s="98"/>
      <c r="H1499" s="94"/>
      <c r="I1499" s="94"/>
      <c r="J1499" s="87"/>
    </row>
    <row r="1500">
      <c r="A1500" s="84" t="s">
        <v>20</v>
      </c>
      <c r="B1500" s="117" t="s">
        <v>143</v>
      </c>
      <c r="C1500" s="123">
        <v>40.0</v>
      </c>
      <c r="D1500" s="119" t="s">
        <v>2574</v>
      </c>
      <c r="E1500" s="119" t="s">
        <v>2575</v>
      </c>
      <c r="F1500" s="86"/>
      <c r="G1500" s="100"/>
      <c r="H1500" s="86"/>
      <c r="I1500" s="86"/>
      <c r="J1500" s="87"/>
    </row>
    <row r="1501">
      <c r="A1501" s="92" t="s">
        <v>20</v>
      </c>
      <c r="B1501" s="116" t="s">
        <v>143</v>
      </c>
      <c r="C1501" s="122">
        <v>41.0</v>
      </c>
      <c r="D1501" s="121" t="s">
        <v>2576</v>
      </c>
      <c r="E1501" s="121" t="s">
        <v>2577</v>
      </c>
      <c r="F1501" s="94"/>
      <c r="G1501" s="98"/>
      <c r="H1501" s="94"/>
      <c r="I1501" s="94"/>
      <c r="J1501" s="87"/>
    </row>
    <row r="1502">
      <c r="A1502" s="84" t="s">
        <v>20</v>
      </c>
      <c r="B1502" s="117" t="s">
        <v>143</v>
      </c>
      <c r="C1502" s="123">
        <v>42.0</v>
      </c>
      <c r="D1502" s="119" t="s">
        <v>2578</v>
      </c>
      <c r="E1502" s="119" t="s">
        <v>2579</v>
      </c>
      <c r="F1502" s="86"/>
      <c r="G1502" s="100"/>
      <c r="H1502" s="86"/>
      <c r="I1502" s="86"/>
      <c r="J1502" s="87"/>
    </row>
    <row r="1503">
      <c r="A1503" s="92" t="s">
        <v>20</v>
      </c>
      <c r="B1503" s="116" t="s">
        <v>143</v>
      </c>
      <c r="C1503" s="122">
        <v>44.0</v>
      </c>
      <c r="D1503" s="121" t="s">
        <v>2580</v>
      </c>
      <c r="E1503" s="121" t="s">
        <v>2581</v>
      </c>
      <c r="F1503" s="94"/>
      <c r="G1503" s="98"/>
      <c r="H1503" s="94"/>
      <c r="I1503" s="94"/>
      <c r="J1503" s="87"/>
    </row>
    <row r="1504">
      <c r="A1504" s="84" t="s">
        <v>20</v>
      </c>
      <c r="B1504" s="117" t="s">
        <v>143</v>
      </c>
      <c r="C1504" s="123">
        <v>46.0</v>
      </c>
      <c r="D1504" s="119" t="s">
        <v>2582</v>
      </c>
      <c r="E1504" s="119" t="s">
        <v>2583</v>
      </c>
      <c r="F1504" s="86"/>
      <c r="G1504" s="100"/>
      <c r="H1504" s="86"/>
      <c r="I1504" s="86"/>
      <c r="J1504" s="87"/>
    </row>
    <row r="1505">
      <c r="A1505" s="92" t="s">
        <v>20</v>
      </c>
      <c r="B1505" s="116" t="s">
        <v>143</v>
      </c>
      <c r="C1505" s="122">
        <v>54.0</v>
      </c>
      <c r="D1505" s="121" t="s">
        <v>2584</v>
      </c>
      <c r="E1505" s="121" t="s">
        <v>2585</v>
      </c>
      <c r="F1505" s="94"/>
      <c r="G1505" s="98"/>
      <c r="H1505" s="94"/>
      <c r="I1505" s="94"/>
      <c r="J1505" s="87"/>
    </row>
    <row r="1506">
      <c r="A1506" s="84" t="s">
        <v>20</v>
      </c>
      <c r="B1506" s="117" t="s">
        <v>143</v>
      </c>
      <c r="C1506" s="123">
        <v>55.0</v>
      </c>
      <c r="D1506" s="119" t="s">
        <v>2586</v>
      </c>
      <c r="E1506" s="119" t="s">
        <v>2587</v>
      </c>
      <c r="F1506" s="86"/>
      <c r="G1506" s="100"/>
      <c r="H1506" s="86"/>
      <c r="I1506" s="86"/>
      <c r="J1506" s="87"/>
    </row>
    <row r="1507">
      <c r="A1507" s="88" t="s">
        <v>37</v>
      </c>
      <c r="B1507" s="137" t="s">
        <v>227</v>
      </c>
      <c r="C1507" s="90" t="s">
        <v>664</v>
      </c>
      <c r="D1507" s="91" t="s">
        <v>665</v>
      </c>
      <c r="E1507" s="91"/>
      <c r="F1507" s="94"/>
      <c r="G1507" s="98"/>
      <c r="H1507" s="94"/>
      <c r="I1507" s="94"/>
      <c r="J1507" s="87"/>
    </row>
    <row r="1508">
      <c r="A1508" s="80" t="s">
        <v>37</v>
      </c>
      <c r="B1508" s="138" t="s">
        <v>227</v>
      </c>
      <c r="C1508" s="82" t="s">
        <v>666</v>
      </c>
      <c r="D1508" s="83" t="s">
        <v>667</v>
      </c>
      <c r="E1508" s="83"/>
      <c r="F1508" s="86"/>
      <c r="G1508" s="100"/>
      <c r="H1508" s="86"/>
      <c r="I1508" s="86"/>
      <c r="J1508" s="87"/>
    </row>
    <row r="1509">
      <c r="A1509" s="88" t="s">
        <v>37</v>
      </c>
      <c r="B1509" s="137" t="s">
        <v>227</v>
      </c>
      <c r="C1509" s="90" t="s">
        <v>668</v>
      </c>
      <c r="D1509" s="91" t="s">
        <v>669</v>
      </c>
      <c r="E1509" s="91"/>
      <c r="F1509" s="94"/>
      <c r="G1509" s="98"/>
      <c r="H1509" s="94"/>
      <c r="I1509" s="94"/>
      <c r="J1509" s="87"/>
    </row>
    <row r="1510">
      <c r="A1510" s="84" t="s">
        <v>37</v>
      </c>
      <c r="B1510" s="117">
        <v>8400.0</v>
      </c>
      <c r="C1510" s="123" t="s">
        <v>664</v>
      </c>
      <c r="D1510" s="119" t="s">
        <v>665</v>
      </c>
      <c r="E1510" s="119"/>
      <c r="F1510" s="86"/>
      <c r="G1510" s="100"/>
      <c r="H1510" s="86"/>
      <c r="I1510" s="86"/>
      <c r="J1510" s="87"/>
    </row>
    <row r="1511">
      <c r="A1511" s="92" t="s">
        <v>37</v>
      </c>
      <c r="B1511" s="116">
        <v>8400.0</v>
      </c>
      <c r="C1511" s="122" t="s">
        <v>666</v>
      </c>
      <c r="D1511" s="121" t="s">
        <v>667</v>
      </c>
      <c r="E1511" s="121"/>
      <c r="F1511" s="94"/>
      <c r="G1511" s="98"/>
      <c r="H1511" s="94"/>
      <c r="I1511" s="94"/>
      <c r="J1511" s="87"/>
    </row>
    <row r="1512">
      <c r="A1512" s="84" t="s">
        <v>37</v>
      </c>
      <c r="B1512" s="117">
        <v>8400.0</v>
      </c>
      <c r="C1512" s="123" t="s">
        <v>668</v>
      </c>
      <c r="D1512" s="119" t="s">
        <v>669</v>
      </c>
      <c r="E1512" s="119"/>
      <c r="F1512" s="86"/>
      <c r="G1512" s="100"/>
      <c r="H1512" s="86"/>
      <c r="I1512" s="86"/>
      <c r="J1512" s="87"/>
    </row>
    <row r="1513">
      <c r="A1513" s="92" t="s">
        <v>20</v>
      </c>
      <c r="B1513" s="116" t="s">
        <v>202</v>
      </c>
      <c r="C1513" s="122">
        <v>1.0</v>
      </c>
      <c r="D1513" s="121" t="s">
        <v>2588</v>
      </c>
      <c r="E1513" s="121" t="s">
        <v>2100</v>
      </c>
      <c r="F1513" s="94"/>
      <c r="G1513" s="98"/>
      <c r="H1513" s="92"/>
      <c r="I1513" s="94"/>
      <c r="J1513" s="87"/>
    </row>
    <row r="1514">
      <c r="A1514" s="84" t="s">
        <v>20</v>
      </c>
      <c r="B1514" s="117" t="s">
        <v>202</v>
      </c>
      <c r="C1514" s="123">
        <v>2.0</v>
      </c>
      <c r="D1514" s="119" t="s">
        <v>2589</v>
      </c>
      <c r="E1514" s="119" t="s">
        <v>1178</v>
      </c>
      <c r="F1514" s="86"/>
      <c r="G1514" s="100"/>
      <c r="H1514" s="84"/>
      <c r="I1514" s="86"/>
      <c r="J1514" s="87"/>
    </row>
    <row r="1515">
      <c r="A1515" s="92" t="s">
        <v>20</v>
      </c>
      <c r="B1515" s="116" t="s">
        <v>202</v>
      </c>
      <c r="C1515" s="122">
        <v>3.0</v>
      </c>
      <c r="D1515" s="121" t="s">
        <v>2590</v>
      </c>
      <c r="E1515" s="121" t="s">
        <v>1301</v>
      </c>
      <c r="F1515" s="94"/>
      <c r="G1515" s="98"/>
      <c r="H1515" s="92"/>
      <c r="I1515" s="94"/>
      <c r="J1515" s="87"/>
    </row>
    <row r="1516">
      <c r="A1516" s="84" t="s">
        <v>20</v>
      </c>
      <c r="B1516" s="117" t="s">
        <v>202</v>
      </c>
      <c r="C1516" s="123">
        <v>4.0</v>
      </c>
      <c r="D1516" s="119" t="s">
        <v>2591</v>
      </c>
      <c r="E1516" s="119" t="s">
        <v>1303</v>
      </c>
      <c r="F1516" s="86"/>
      <c r="G1516" s="100"/>
      <c r="H1516" s="84"/>
      <c r="I1516" s="86"/>
      <c r="J1516" s="87"/>
    </row>
    <row r="1517">
      <c r="A1517" s="92" t="s">
        <v>20</v>
      </c>
      <c r="B1517" s="116" t="s">
        <v>202</v>
      </c>
      <c r="C1517" s="122">
        <v>5.0</v>
      </c>
      <c r="D1517" s="121" t="s">
        <v>2592</v>
      </c>
      <c r="E1517" s="121" t="s">
        <v>1342</v>
      </c>
      <c r="F1517" s="94"/>
      <c r="G1517" s="98"/>
      <c r="H1517" s="92"/>
      <c r="I1517" s="94"/>
      <c r="J1517" s="87"/>
    </row>
    <row r="1518">
      <c r="A1518" s="84" t="s">
        <v>20</v>
      </c>
      <c r="B1518" s="117" t="s">
        <v>202</v>
      </c>
      <c r="C1518" s="123">
        <v>6.0</v>
      </c>
      <c r="D1518" s="119" t="s">
        <v>2593</v>
      </c>
      <c r="E1518" s="119" t="s">
        <v>2208</v>
      </c>
      <c r="F1518" s="86"/>
      <c r="G1518" s="100"/>
      <c r="H1518" s="84"/>
      <c r="I1518" s="86"/>
      <c r="J1518" s="87"/>
    </row>
    <row r="1519">
      <c r="A1519" s="92" t="s">
        <v>20</v>
      </c>
      <c r="B1519" s="116" t="s">
        <v>202</v>
      </c>
      <c r="C1519" s="122">
        <v>7.0</v>
      </c>
      <c r="D1519" s="121" t="s">
        <v>2594</v>
      </c>
      <c r="E1519" s="121" t="s">
        <v>2595</v>
      </c>
      <c r="F1519" s="94"/>
      <c r="G1519" s="98"/>
      <c r="H1519" s="92"/>
      <c r="I1519" s="94"/>
      <c r="J1519" s="87"/>
    </row>
    <row r="1520">
      <c r="A1520" s="84" t="s">
        <v>20</v>
      </c>
      <c r="B1520" s="117" t="s">
        <v>202</v>
      </c>
      <c r="C1520" s="123">
        <v>8.0</v>
      </c>
      <c r="D1520" s="119" t="s">
        <v>2596</v>
      </c>
      <c r="E1520" s="119" t="s">
        <v>2597</v>
      </c>
      <c r="F1520" s="86"/>
      <c r="G1520" s="100"/>
      <c r="H1520" s="84"/>
      <c r="I1520" s="86"/>
      <c r="J1520" s="87"/>
    </row>
    <row r="1521">
      <c r="A1521" s="92" t="s">
        <v>20</v>
      </c>
      <c r="B1521" s="116" t="s">
        <v>202</v>
      </c>
      <c r="C1521" s="122">
        <v>9.0</v>
      </c>
      <c r="D1521" s="121" t="s">
        <v>2598</v>
      </c>
      <c r="E1521" s="121" t="s">
        <v>2599</v>
      </c>
      <c r="F1521" s="94"/>
      <c r="G1521" s="98"/>
      <c r="H1521" s="92"/>
      <c r="I1521" s="94"/>
      <c r="J1521" s="87"/>
    </row>
    <row r="1522">
      <c r="A1522" s="84" t="s">
        <v>20</v>
      </c>
      <c r="B1522" s="117" t="s">
        <v>202</v>
      </c>
      <c r="C1522" s="123">
        <v>13.0</v>
      </c>
      <c r="D1522" s="119" t="s">
        <v>2600</v>
      </c>
      <c r="E1522" s="119" t="s">
        <v>2601</v>
      </c>
      <c r="F1522" s="86"/>
      <c r="G1522" s="100"/>
      <c r="H1522" s="84"/>
      <c r="I1522" s="86"/>
      <c r="J1522" s="87"/>
    </row>
    <row r="1523">
      <c r="A1523" s="92" t="s">
        <v>20</v>
      </c>
      <c r="B1523" s="116" t="s">
        <v>202</v>
      </c>
      <c r="C1523" s="122">
        <v>14.0</v>
      </c>
      <c r="D1523" s="121" t="s">
        <v>2602</v>
      </c>
      <c r="E1523" s="121" t="s">
        <v>2601</v>
      </c>
      <c r="F1523" s="94"/>
      <c r="G1523" s="98"/>
      <c r="H1523" s="92"/>
      <c r="I1523" s="94"/>
      <c r="J1523" s="87"/>
    </row>
    <row r="1524">
      <c r="A1524" s="84" t="s">
        <v>20</v>
      </c>
      <c r="B1524" s="117" t="s">
        <v>202</v>
      </c>
      <c r="C1524" s="123">
        <v>17.0</v>
      </c>
      <c r="D1524" s="119" t="s">
        <v>2603</v>
      </c>
      <c r="E1524" s="119" t="s">
        <v>2604</v>
      </c>
      <c r="F1524" s="86"/>
      <c r="G1524" s="100"/>
      <c r="H1524" s="84"/>
      <c r="I1524" s="86"/>
      <c r="J1524" s="87"/>
    </row>
    <row r="1525">
      <c r="A1525" s="92" t="s">
        <v>20</v>
      </c>
      <c r="B1525" s="116" t="s">
        <v>202</v>
      </c>
      <c r="C1525" s="122">
        <v>18.0</v>
      </c>
      <c r="D1525" s="121" t="s">
        <v>2605</v>
      </c>
      <c r="E1525" s="121" t="s">
        <v>2606</v>
      </c>
      <c r="F1525" s="94"/>
      <c r="G1525" s="98"/>
      <c r="H1525" s="92"/>
      <c r="I1525" s="94"/>
      <c r="J1525" s="87"/>
    </row>
    <row r="1526">
      <c r="A1526" s="84" t="s">
        <v>20</v>
      </c>
      <c r="B1526" s="117" t="s">
        <v>202</v>
      </c>
      <c r="C1526" s="123">
        <v>19.0</v>
      </c>
      <c r="D1526" s="119" t="s">
        <v>2607</v>
      </c>
      <c r="E1526" s="119" t="s">
        <v>2608</v>
      </c>
      <c r="F1526" s="86"/>
      <c r="G1526" s="100"/>
      <c r="H1526" s="84"/>
      <c r="I1526" s="86"/>
      <c r="J1526" s="87"/>
    </row>
    <row r="1527">
      <c r="A1527" s="92" t="s">
        <v>20</v>
      </c>
      <c r="B1527" s="116" t="s">
        <v>202</v>
      </c>
      <c r="C1527" s="122">
        <v>20.0</v>
      </c>
      <c r="D1527" s="121" t="s">
        <v>2609</v>
      </c>
      <c r="E1527" s="121" t="s">
        <v>2601</v>
      </c>
      <c r="F1527" s="94"/>
      <c r="G1527" s="98"/>
      <c r="H1527" s="92"/>
      <c r="I1527" s="94"/>
      <c r="J1527" s="87"/>
    </row>
    <row r="1528">
      <c r="A1528" s="84" t="s">
        <v>20</v>
      </c>
      <c r="B1528" s="117" t="s">
        <v>202</v>
      </c>
      <c r="C1528" s="123">
        <v>21.0</v>
      </c>
      <c r="D1528" s="119" t="s">
        <v>2610</v>
      </c>
      <c r="E1528" s="119" t="s">
        <v>2601</v>
      </c>
      <c r="F1528" s="86"/>
      <c r="G1528" s="100"/>
      <c r="H1528" s="84"/>
      <c r="I1528" s="86"/>
      <c r="J1528" s="87"/>
    </row>
    <row r="1529">
      <c r="A1529" s="92" t="s">
        <v>20</v>
      </c>
      <c r="B1529" s="116" t="s">
        <v>202</v>
      </c>
      <c r="C1529" s="122">
        <v>22.0</v>
      </c>
      <c r="D1529" s="121" t="s">
        <v>2611</v>
      </c>
      <c r="E1529" s="121" t="s">
        <v>2612</v>
      </c>
      <c r="F1529" s="94"/>
      <c r="G1529" s="98"/>
      <c r="H1529" s="92"/>
      <c r="I1529" s="94"/>
      <c r="J1529" s="87"/>
    </row>
    <row r="1530">
      <c r="A1530" s="84" t="s">
        <v>20</v>
      </c>
      <c r="B1530" s="117" t="s">
        <v>202</v>
      </c>
      <c r="C1530" s="123">
        <v>24.0</v>
      </c>
      <c r="D1530" s="119" t="s">
        <v>2613</v>
      </c>
      <c r="E1530" s="119" t="s">
        <v>2614</v>
      </c>
      <c r="F1530" s="86"/>
      <c r="G1530" s="100"/>
      <c r="H1530" s="84"/>
      <c r="I1530" s="86"/>
      <c r="J1530" s="87"/>
    </row>
    <row r="1531">
      <c r="A1531" s="92" t="s">
        <v>20</v>
      </c>
      <c r="B1531" s="116" t="s">
        <v>202</v>
      </c>
      <c r="C1531" s="122">
        <v>25.0</v>
      </c>
      <c r="D1531" s="121" t="s">
        <v>2615</v>
      </c>
      <c r="E1531" s="121" t="s">
        <v>2616</v>
      </c>
      <c r="F1531" s="94"/>
      <c r="G1531" s="98"/>
      <c r="H1531" s="92"/>
      <c r="I1531" s="94"/>
      <c r="J1531" s="87"/>
    </row>
    <row r="1532">
      <c r="A1532" s="84" t="s">
        <v>20</v>
      </c>
      <c r="B1532" s="117" t="s">
        <v>202</v>
      </c>
      <c r="C1532" s="123">
        <v>26.0</v>
      </c>
      <c r="D1532" s="119" t="s">
        <v>2617</v>
      </c>
      <c r="E1532" s="119" t="s">
        <v>2618</v>
      </c>
      <c r="F1532" s="86"/>
      <c r="G1532" s="100"/>
      <c r="H1532" s="84"/>
      <c r="I1532" s="86"/>
      <c r="J1532" s="87"/>
    </row>
    <row r="1533">
      <c r="A1533" s="92" t="s">
        <v>20</v>
      </c>
      <c r="B1533" s="116" t="s">
        <v>202</v>
      </c>
      <c r="C1533" s="122">
        <v>27.0</v>
      </c>
      <c r="D1533" s="121" t="s">
        <v>2619</v>
      </c>
      <c r="E1533" s="121" t="s">
        <v>2620</v>
      </c>
      <c r="F1533" s="94"/>
      <c r="G1533" s="98"/>
      <c r="H1533" s="92"/>
      <c r="I1533" s="94"/>
      <c r="J1533" s="87"/>
    </row>
    <row r="1534">
      <c r="A1534" s="84" t="s">
        <v>20</v>
      </c>
      <c r="B1534" s="117" t="s">
        <v>202</v>
      </c>
      <c r="C1534" s="123">
        <v>28.0</v>
      </c>
      <c r="D1534" s="119" t="s">
        <v>2621</v>
      </c>
      <c r="E1534" s="119" t="s">
        <v>2622</v>
      </c>
      <c r="F1534" s="86"/>
      <c r="G1534" s="100"/>
      <c r="H1534" s="84"/>
      <c r="I1534" s="86"/>
      <c r="J1534" s="87"/>
    </row>
    <row r="1535">
      <c r="A1535" s="92" t="s">
        <v>20</v>
      </c>
      <c r="B1535" s="116" t="s">
        <v>202</v>
      </c>
      <c r="C1535" s="122">
        <v>29.0</v>
      </c>
      <c r="D1535" s="121" t="s">
        <v>2623</v>
      </c>
      <c r="E1535" s="121" t="s">
        <v>2614</v>
      </c>
      <c r="F1535" s="94"/>
      <c r="G1535" s="98"/>
      <c r="H1535" s="92"/>
      <c r="I1535" s="94"/>
      <c r="J1535" s="87"/>
    </row>
    <row r="1536">
      <c r="A1536" s="84" t="s">
        <v>20</v>
      </c>
      <c r="B1536" s="117" t="s">
        <v>202</v>
      </c>
      <c r="C1536" s="123">
        <v>30.0</v>
      </c>
      <c r="D1536" s="119" t="s">
        <v>2624</v>
      </c>
      <c r="E1536" s="119" t="s">
        <v>2614</v>
      </c>
      <c r="F1536" s="86"/>
      <c r="G1536" s="100"/>
      <c r="H1536" s="84"/>
      <c r="I1536" s="86"/>
      <c r="J1536" s="87"/>
    </row>
    <row r="1537">
      <c r="A1537" s="92" t="s">
        <v>20</v>
      </c>
      <c r="B1537" s="116" t="s">
        <v>202</v>
      </c>
      <c r="C1537" s="122">
        <v>31.0</v>
      </c>
      <c r="D1537" s="121" t="s">
        <v>2625</v>
      </c>
      <c r="E1537" s="121" t="s">
        <v>2614</v>
      </c>
      <c r="F1537" s="94"/>
      <c r="G1537" s="98"/>
      <c r="H1537" s="92"/>
      <c r="I1537" s="94"/>
      <c r="J1537" s="87"/>
    </row>
    <row r="1538">
      <c r="A1538" s="84" t="s">
        <v>20</v>
      </c>
      <c r="B1538" s="117" t="s">
        <v>106</v>
      </c>
      <c r="C1538" s="123">
        <v>1.0</v>
      </c>
      <c r="D1538" s="119" t="s">
        <v>2626</v>
      </c>
      <c r="E1538" s="119" t="s">
        <v>2627</v>
      </c>
      <c r="F1538" s="86"/>
      <c r="G1538" s="100"/>
      <c r="H1538" s="84"/>
      <c r="I1538" s="86"/>
      <c r="J1538" s="87"/>
    </row>
    <row r="1539">
      <c r="A1539" s="92" t="s">
        <v>20</v>
      </c>
      <c r="B1539" s="116" t="s">
        <v>106</v>
      </c>
      <c r="C1539" s="122">
        <v>2.0</v>
      </c>
      <c r="D1539" s="121" t="s">
        <v>2628</v>
      </c>
      <c r="E1539" s="121" t="s">
        <v>2629</v>
      </c>
      <c r="F1539" s="94"/>
      <c r="G1539" s="98"/>
      <c r="H1539" s="92"/>
      <c r="I1539" s="94"/>
      <c r="J1539" s="87"/>
    </row>
    <row r="1540">
      <c r="A1540" s="84" t="s">
        <v>20</v>
      </c>
      <c r="B1540" s="117" t="s">
        <v>106</v>
      </c>
      <c r="C1540" s="123">
        <v>3.0</v>
      </c>
      <c r="D1540" s="119" t="s">
        <v>2630</v>
      </c>
      <c r="E1540" s="119" t="s">
        <v>2631</v>
      </c>
      <c r="F1540" s="86"/>
      <c r="G1540" s="100"/>
      <c r="H1540" s="84"/>
      <c r="I1540" s="86"/>
      <c r="J1540" s="87"/>
    </row>
    <row r="1541">
      <c r="A1541" s="92" t="s">
        <v>20</v>
      </c>
      <c r="B1541" s="116" t="s">
        <v>106</v>
      </c>
      <c r="C1541" s="122">
        <v>4.0</v>
      </c>
      <c r="D1541" s="121" t="s">
        <v>2632</v>
      </c>
      <c r="E1541" s="121" t="s">
        <v>2633</v>
      </c>
      <c r="F1541" s="94"/>
      <c r="G1541" s="98"/>
      <c r="H1541" s="92"/>
      <c r="I1541" s="94"/>
      <c r="J1541" s="87"/>
    </row>
    <row r="1542">
      <c r="A1542" s="84" t="s">
        <v>20</v>
      </c>
      <c r="B1542" s="117" t="s">
        <v>106</v>
      </c>
      <c r="C1542" s="123">
        <v>5.0</v>
      </c>
      <c r="D1542" s="119" t="s">
        <v>2634</v>
      </c>
      <c r="E1542" s="119" t="s">
        <v>2635</v>
      </c>
      <c r="F1542" s="86"/>
      <c r="G1542" s="100"/>
      <c r="H1542" s="84"/>
      <c r="I1542" s="86"/>
      <c r="J1542" s="87"/>
    </row>
    <row r="1543">
      <c r="A1543" s="92" t="s">
        <v>20</v>
      </c>
      <c r="B1543" s="116" t="s">
        <v>106</v>
      </c>
      <c r="C1543" s="122">
        <v>6.0</v>
      </c>
      <c r="D1543" s="121" t="s">
        <v>2636</v>
      </c>
      <c r="E1543" s="121" t="s">
        <v>2637</v>
      </c>
      <c r="F1543" s="94"/>
      <c r="G1543" s="98"/>
      <c r="H1543" s="92"/>
      <c r="I1543" s="94"/>
      <c r="J1543" s="87"/>
    </row>
    <row r="1544">
      <c r="A1544" s="84" t="s">
        <v>20</v>
      </c>
      <c r="B1544" s="117" t="s">
        <v>106</v>
      </c>
      <c r="C1544" s="123">
        <v>7.0</v>
      </c>
      <c r="D1544" s="119" t="s">
        <v>2638</v>
      </c>
      <c r="E1544" s="119" t="s">
        <v>2639</v>
      </c>
      <c r="F1544" s="86"/>
      <c r="G1544" s="100"/>
      <c r="H1544" s="84"/>
      <c r="I1544" s="86"/>
      <c r="J1544" s="87"/>
    </row>
    <row r="1545">
      <c r="A1545" s="92" t="s">
        <v>20</v>
      </c>
      <c r="B1545" s="116" t="s">
        <v>106</v>
      </c>
      <c r="C1545" s="122">
        <v>8.0</v>
      </c>
      <c r="D1545" s="121" t="s">
        <v>2640</v>
      </c>
      <c r="E1545" s="121" t="s">
        <v>2641</v>
      </c>
      <c r="F1545" s="94"/>
      <c r="G1545" s="98"/>
      <c r="H1545" s="92"/>
      <c r="I1545" s="94"/>
      <c r="J1545" s="87"/>
    </row>
    <row r="1546">
      <c r="A1546" s="84" t="s">
        <v>20</v>
      </c>
      <c r="B1546" s="117" t="s">
        <v>106</v>
      </c>
      <c r="C1546" s="123">
        <v>9.0</v>
      </c>
      <c r="D1546" s="119" t="s">
        <v>2642</v>
      </c>
      <c r="E1546" s="119" t="s">
        <v>2643</v>
      </c>
      <c r="F1546" s="86"/>
      <c r="G1546" s="100"/>
      <c r="H1546" s="84"/>
      <c r="I1546" s="86"/>
      <c r="J1546" s="87"/>
    </row>
    <row r="1547">
      <c r="A1547" s="92" t="s">
        <v>20</v>
      </c>
      <c r="B1547" s="116" t="s">
        <v>106</v>
      </c>
      <c r="C1547" s="122">
        <v>10.0</v>
      </c>
      <c r="D1547" s="121" t="s">
        <v>2644</v>
      </c>
      <c r="E1547" s="121" t="s">
        <v>2645</v>
      </c>
      <c r="F1547" s="94"/>
      <c r="G1547" s="98"/>
      <c r="H1547" s="92"/>
      <c r="I1547" s="94"/>
      <c r="J1547" s="87"/>
    </row>
    <row r="1548">
      <c r="A1548" s="84" t="s">
        <v>20</v>
      </c>
      <c r="B1548" s="117" t="s">
        <v>106</v>
      </c>
      <c r="C1548" s="123">
        <v>12.0</v>
      </c>
      <c r="D1548" s="119" t="s">
        <v>2646</v>
      </c>
      <c r="E1548" s="119" t="s">
        <v>2647</v>
      </c>
      <c r="F1548" s="86"/>
      <c r="G1548" s="100"/>
      <c r="H1548" s="84"/>
      <c r="I1548" s="86"/>
      <c r="J1548" s="87"/>
    </row>
    <row r="1549">
      <c r="A1549" s="92" t="s">
        <v>20</v>
      </c>
      <c r="B1549" s="116" t="s">
        <v>106</v>
      </c>
      <c r="C1549" s="122">
        <v>17.0</v>
      </c>
      <c r="D1549" s="121" t="s">
        <v>2648</v>
      </c>
      <c r="E1549" s="121" t="s">
        <v>2649</v>
      </c>
      <c r="F1549" s="94"/>
      <c r="G1549" s="98"/>
      <c r="H1549" s="92"/>
      <c r="I1549" s="94"/>
      <c r="J1549" s="87"/>
    </row>
    <row r="1550">
      <c r="A1550" s="84" t="s">
        <v>20</v>
      </c>
      <c r="B1550" s="117" t="s">
        <v>106</v>
      </c>
      <c r="C1550" s="123">
        <v>19.0</v>
      </c>
      <c r="D1550" s="119" t="s">
        <v>2650</v>
      </c>
      <c r="E1550" s="119" t="s">
        <v>2651</v>
      </c>
      <c r="F1550" s="86"/>
      <c r="G1550" s="100"/>
      <c r="H1550" s="84"/>
      <c r="I1550" s="86"/>
      <c r="J1550" s="87"/>
    </row>
    <row r="1551">
      <c r="A1551" s="92" t="s">
        <v>20</v>
      </c>
      <c r="B1551" s="116" t="s">
        <v>106</v>
      </c>
      <c r="C1551" s="122">
        <v>22.0</v>
      </c>
      <c r="D1551" s="121" t="s">
        <v>2652</v>
      </c>
      <c r="E1551" s="121" t="s">
        <v>2653</v>
      </c>
      <c r="F1551" s="94"/>
      <c r="G1551" s="98"/>
      <c r="H1551" s="92"/>
      <c r="I1551" s="94"/>
      <c r="J1551" s="87"/>
    </row>
    <row r="1552">
      <c r="A1552" s="84" t="s">
        <v>20</v>
      </c>
      <c r="B1552" s="117" t="s">
        <v>106</v>
      </c>
      <c r="C1552" s="123">
        <v>25.0</v>
      </c>
      <c r="D1552" s="119" t="s">
        <v>2654</v>
      </c>
      <c r="E1552" s="119" t="s">
        <v>2655</v>
      </c>
      <c r="F1552" s="86"/>
      <c r="G1552" s="100"/>
      <c r="H1552" s="84"/>
      <c r="I1552" s="86"/>
      <c r="J1552" s="87"/>
    </row>
    <row r="1553">
      <c r="A1553" s="92" t="s">
        <v>20</v>
      </c>
      <c r="B1553" s="116" t="s">
        <v>106</v>
      </c>
      <c r="C1553" s="122">
        <v>33.0</v>
      </c>
      <c r="D1553" s="121" t="s">
        <v>2656</v>
      </c>
      <c r="E1553" s="121" t="s">
        <v>2657</v>
      </c>
      <c r="F1553" s="94"/>
      <c r="G1553" s="98"/>
      <c r="H1553" s="92"/>
      <c r="I1553" s="94"/>
      <c r="J1553" s="87"/>
    </row>
    <row r="1554">
      <c r="A1554" s="84" t="s">
        <v>20</v>
      </c>
      <c r="B1554" s="117" t="s">
        <v>106</v>
      </c>
      <c r="C1554" s="123">
        <v>34.0</v>
      </c>
      <c r="D1554" s="119" t="s">
        <v>2648</v>
      </c>
      <c r="E1554" s="119" t="s">
        <v>2649</v>
      </c>
      <c r="F1554" s="86"/>
      <c r="G1554" s="100"/>
      <c r="H1554" s="84"/>
      <c r="I1554" s="86"/>
      <c r="J1554" s="87"/>
    </row>
    <row r="1555">
      <c r="A1555" s="92" t="s">
        <v>20</v>
      </c>
      <c r="B1555" s="116" t="s">
        <v>106</v>
      </c>
      <c r="C1555" s="122">
        <v>35.0</v>
      </c>
      <c r="D1555" s="121" t="s">
        <v>2658</v>
      </c>
      <c r="E1555" s="121" t="s">
        <v>2659</v>
      </c>
      <c r="F1555" s="94"/>
      <c r="G1555" s="98"/>
      <c r="H1555" s="92"/>
      <c r="I1555" s="94"/>
      <c r="J1555" s="87"/>
    </row>
    <row r="1556">
      <c r="A1556" s="84" t="s">
        <v>20</v>
      </c>
      <c r="B1556" s="117" t="s">
        <v>106</v>
      </c>
      <c r="C1556" s="123">
        <v>36.0</v>
      </c>
      <c r="D1556" s="119" t="s">
        <v>2660</v>
      </c>
      <c r="E1556" s="119" t="s">
        <v>2659</v>
      </c>
      <c r="F1556" s="86"/>
      <c r="G1556" s="100"/>
      <c r="H1556" s="84"/>
      <c r="I1556" s="86"/>
      <c r="J1556" s="87"/>
    </row>
    <row r="1557">
      <c r="A1557" s="92" t="s">
        <v>20</v>
      </c>
      <c r="B1557" s="116" t="s">
        <v>106</v>
      </c>
      <c r="C1557" s="122">
        <v>37.0</v>
      </c>
      <c r="D1557" s="121" t="s">
        <v>2661</v>
      </c>
      <c r="E1557" s="121" t="s">
        <v>2659</v>
      </c>
      <c r="F1557" s="94"/>
      <c r="G1557" s="98"/>
      <c r="H1557" s="92"/>
      <c r="I1557" s="94"/>
      <c r="J1557" s="87"/>
    </row>
    <row r="1558">
      <c r="A1558" s="84" t="s">
        <v>20</v>
      </c>
      <c r="B1558" s="117" t="s">
        <v>106</v>
      </c>
      <c r="C1558" s="123">
        <v>38.0</v>
      </c>
      <c r="D1558" s="119" t="s">
        <v>2662</v>
      </c>
      <c r="E1558" s="119" t="s">
        <v>2659</v>
      </c>
      <c r="F1558" s="86"/>
      <c r="G1558" s="100"/>
      <c r="H1558" s="84"/>
      <c r="I1558" s="86"/>
      <c r="J1558" s="87"/>
    </row>
    <row r="1559">
      <c r="A1559" s="92" t="s">
        <v>20</v>
      </c>
      <c r="B1559" s="116" t="s">
        <v>106</v>
      </c>
      <c r="C1559" s="122">
        <v>39.0</v>
      </c>
      <c r="D1559" s="121" t="s">
        <v>2663</v>
      </c>
      <c r="E1559" s="121" t="s">
        <v>2664</v>
      </c>
      <c r="F1559" s="94"/>
      <c r="G1559" s="98"/>
      <c r="H1559" s="92"/>
      <c r="I1559" s="94"/>
      <c r="J1559" s="87"/>
    </row>
    <row r="1560">
      <c r="A1560" s="84" t="s">
        <v>20</v>
      </c>
      <c r="B1560" s="117" t="s">
        <v>35</v>
      </c>
      <c r="C1560" s="123">
        <v>1.0</v>
      </c>
      <c r="D1560" s="119" t="s">
        <v>2665</v>
      </c>
      <c r="E1560" s="119" t="s">
        <v>2666</v>
      </c>
      <c r="F1560" s="86"/>
      <c r="G1560" s="100"/>
      <c r="H1560" s="84"/>
      <c r="I1560" s="86"/>
      <c r="J1560" s="87"/>
    </row>
    <row r="1561">
      <c r="A1561" s="92" t="s">
        <v>20</v>
      </c>
      <c r="B1561" s="116" t="s">
        <v>35</v>
      </c>
      <c r="C1561" s="122">
        <v>2.0</v>
      </c>
      <c r="D1561" s="121" t="s">
        <v>2667</v>
      </c>
      <c r="E1561" s="121" t="s">
        <v>2668</v>
      </c>
      <c r="F1561" s="94"/>
      <c r="G1561" s="98"/>
      <c r="H1561" s="92"/>
      <c r="I1561" s="94"/>
      <c r="J1561" s="87"/>
    </row>
    <row r="1562">
      <c r="A1562" s="84" t="s">
        <v>20</v>
      </c>
      <c r="B1562" s="117" t="s">
        <v>35</v>
      </c>
      <c r="C1562" s="123">
        <v>3.0</v>
      </c>
      <c r="D1562" s="119" t="s">
        <v>2669</v>
      </c>
      <c r="E1562" s="119" t="s">
        <v>2670</v>
      </c>
      <c r="F1562" s="86"/>
      <c r="G1562" s="100"/>
      <c r="H1562" s="84"/>
      <c r="I1562" s="86"/>
      <c r="J1562" s="87"/>
    </row>
    <row r="1563">
      <c r="A1563" s="92" t="s">
        <v>20</v>
      </c>
      <c r="B1563" s="116" t="s">
        <v>35</v>
      </c>
      <c r="C1563" s="122">
        <v>4.0</v>
      </c>
      <c r="D1563" s="121" t="s">
        <v>2671</v>
      </c>
      <c r="E1563" s="121" t="s">
        <v>2672</v>
      </c>
      <c r="F1563" s="94"/>
      <c r="G1563" s="98"/>
      <c r="H1563" s="92"/>
      <c r="I1563" s="94"/>
      <c r="J1563" s="87"/>
    </row>
    <row r="1564">
      <c r="A1564" s="84" t="s">
        <v>20</v>
      </c>
      <c r="B1564" s="117" t="s">
        <v>35</v>
      </c>
      <c r="C1564" s="123">
        <v>5.0</v>
      </c>
      <c r="D1564" s="119" t="s">
        <v>2673</v>
      </c>
      <c r="E1564" s="119" t="s">
        <v>2674</v>
      </c>
      <c r="F1564" s="86"/>
      <c r="G1564" s="100"/>
      <c r="H1564" s="84"/>
      <c r="I1564" s="86"/>
      <c r="J1564" s="87"/>
    </row>
    <row r="1565">
      <c r="A1565" s="92" t="s">
        <v>20</v>
      </c>
      <c r="B1565" s="116" t="s">
        <v>35</v>
      </c>
      <c r="C1565" s="122">
        <v>9.0</v>
      </c>
      <c r="D1565" s="121" t="s">
        <v>2675</v>
      </c>
      <c r="E1565" s="121" t="s">
        <v>2676</v>
      </c>
      <c r="F1565" s="94"/>
      <c r="G1565" s="98"/>
      <c r="H1565" s="92"/>
      <c r="I1565" s="94"/>
      <c r="J1565" s="87"/>
    </row>
    <row r="1566">
      <c r="A1566" s="84" t="s">
        <v>20</v>
      </c>
      <c r="B1566" s="117" t="s">
        <v>35</v>
      </c>
      <c r="C1566" s="123">
        <v>10.0</v>
      </c>
      <c r="D1566" s="119" t="s">
        <v>2677</v>
      </c>
      <c r="E1566" s="119" t="s">
        <v>2676</v>
      </c>
      <c r="F1566" s="86"/>
      <c r="G1566" s="100"/>
      <c r="H1566" s="84"/>
      <c r="I1566" s="86"/>
      <c r="J1566" s="87"/>
    </row>
    <row r="1567">
      <c r="A1567" s="92" t="s">
        <v>20</v>
      </c>
      <c r="B1567" s="116" t="s">
        <v>35</v>
      </c>
      <c r="C1567" s="122">
        <v>13.0</v>
      </c>
      <c r="D1567" s="121" t="s">
        <v>2678</v>
      </c>
      <c r="E1567" s="121" t="s">
        <v>2670</v>
      </c>
      <c r="F1567" s="94"/>
      <c r="G1567" s="98"/>
      <c r="H1567" s="92"/>
      <c r="I1567" s="94"/>
      <c r="J1567" s="87"/>
    </row>
    <row r="1568">
      <c r="A1568" s="84" t="s">
        <v>20</v>
      </c>
      <c r="B1568" s="117" t="s">
        <v>35</v>
      </c>
      <c r="C1568" s="123">
        <v>14.0</v>
      </c>
      <c r="D1568" s="119" t="s">
        <v>2679</v>
      </c>
      <c r="E1568" s="119" t="s">
        <v>2680</v>
      </c>
      <c r="F1568" s="86"/>
      <c r="G1568" s="100"/>
      <c r="H1568" s="84"/>
      <c r="I1568" s="86"/>
      <c r="J1568" s="87"/>
    </row>
    <row r="1569">
      <c r="A1569" s="92" t="s">
        <v>20</v>
      </c>
      <c r="B1569" s="116" t="s">
        <v>35</v>
      </c>
      <c r="C1569" s="122">
        <v>15.0</v>
      </c>
      <c r="D1569" s="121" t="s">
        <v>2681</v>
      </c>
      <c r="E1569" s="121" t="s">
        <v>2672</v>
      </c>
      <c r="F1569" s="94"/>
      <c r="G1569" s="98"/>
      <c r="H1569" s="92"/>
      <c r="I1569" s="94"/>
      <c r="J1569" s="87"/>
    </row>
    <row r="1570">
      <c r="A1570" s="84" t="s">
        <v>20</v>
      </c>
      <c r="B1570" s="117" t="s">
        <v>35</v>
      </c>
      <c r="C1570" s="123">
        <v>16.0</v>
      </c>
      <c r="D1570" s="119" t="s">
        <v>2682</v>
      </c>
      <c r="E1570" s="119" t="s">
        <v>2683</v>
      </c>
      <c r="F1570" s="86"/>
      <c r="G1570" s="100"/>
      <c r="H1570" s="84"/>
      <c r="I1570" s="86"/>
      <c r="J1570" s="87"/>
    </row>
    <row r="1571">
      <c r="A1571" s="92" t="s">
        <v>20</v>
      </c>
      <c r="B1571" s="116" t="s">
        <v>35</v>
      </c>
      <c r="C1571" s="122">
        <v>17.0</v>
      </c>
      <c r="D1571" s="121" t="s">
        <v>2684</v>
      </c>
      <c r="E1571" s="121" t="s">
        <v>2685</v>
      </c>
      <c r="F1571" s="94"/>
      <c r="G1571" s="98"/>
      <c r="H1571" s="92"/>
      <c r="I1571" s="94"/>
      <c r="J1571" s="87"/>
    </row>
    <row r="1572">
      <c r="A1572" s="84" t="s">
        <v>20</v>
      </c>
      <c r="B1572" s="117" t="s">
        <v>35</v>
      </c>
      <c r="C1572" s="123">
        <v>18.0</v>
      </c>
      <c r="D1572" s="119" t="s">
        <v>2686</v>
      </c>
      <c r="E1572" s="119" t="s">
        <v>2687</v>
      </c>
      <c r="F1572" s="86"/>
      <c r="G1572" s="100"/>
      <c r="H1572" s="84"/>
      <c r="I1572" s="86"/>
      <c r="J1572" s="87"/>
    </row>
    <row r="1573">
      <c r="A1573" s="92" t="s">
        <v>20</v>
      </c>
      <c r="B1573" s="116" t="s">
        <v>35</v>
      </c>
      <c r="C1573" s="122">
        <v>19.0</v>
      </c>
      <c r="D1573" s="121" t="s">
        <v>2688</v>
      </c>
      <c r="E1573" s="121" t="s">
        <v>2689</v>
      </c>
      <c r="F1573" s="94"/>
      <c r="G1573" s="98"/>
      <c r="H1573" s="92"/>
      <c r="I1573" s="94"/>
      <c r="J1573" s="87"/>
    </row>
    <row r="1574">
      <c r="A1574" s="84" t="s">
        <v>20</v>
      </c>
      <c r="B1574" s="117" t="s">
        <v>35</v>
      </c>
      <c r="C1574" s="123">
        <v>21.0</v>
      </c>
      <c r="D1574" s="119" t="s">
        <v>2690</v>
      </c>
      <c r="E1574" s="119" t="s">
        <v>2691</v>
      </c>
      <c r="F1574" s="86"/>
      <c r="G1574" s="100"/>
      <c r="H1574" s="84"/>
      <c r="I1574" s="86"/>
      <c r="J1574" s="87"/>
    </row>
    <row r="1575">
      <c r="A1575" s="92" t="s">
        <v>20</v>
      </c>
      <c r="B1575" s="116" t="s">
        <v>35</v>
      </c>
      <c r="C1575" s="122">
        <v>25.0</v>
      </c>
      <c r="D1575" s="121" t="s">
        <v>2692</v>
      </c>
      <c r="E1575" s="121" t="s">
        <v>2693</v>
      </c>
      <c r="F1575" s="94"/>
      <c r="G1575" s="98"/>
      <c r="H1575" s="92"/>
      <c r="I1575" s="94"/>
      <c r="J1575" s="87"/>
    </row>
    <row r="1576">
      <c r="A1576" s="84" t="s">
        <v>20</v>
      </c>
      <c r="B1576" s="117" t="s">
        <v>161</v>
      </c>
      <c r="C1576" s="123">
        <v>1.0</v>
      </c>
      <c r="D1576" s="119" t="s">
        <v>1565</v>
      </c>
      <c r="E1576" s="119" t="s">
        <v>1802</v>
      </c>
      <c r="F1576" s="86"/>
      <c r="G1576" s="100"/>
      <c r="H1576" s="86"/>
      <c r="I1576" s="86"/>
      <c r="J1576" s="87"/>
    </row>
    <row r="1577">
      <c r="A1577" s="92" t="s">
        <v>20</v>
      </c>
      <c r="B1577" s="116" t="s">
        <v>161</v>
      </c>
      <c r="C1577" s="122">
        <v>2.0</v>
      </c>
      <c r="D1577" s="121" t="s">
        <v>1569</v>
      </c>
      <c r="E1577" s="121" t="s">
        <v>1804</v>
      </c>
      <c r="F1577" s="94"/>
      <c r="G1577" s="98"/>
      <c r="H1577" s="94"/>
      <c r="I1577" s="94"/>
      <c r="J1577" s="87"/>
    </row>
    <row r="1578">
      <c r="A1578" s="84" t="s">
        <v>20</v>
      </c>
      <c r="B1578" s="117" t="s">
        <v>161</v>
      </c>
      <c r="C1578" s="123">
        <v>41.0</v>
      </c>
      <c r="D1578" s="119" t="s">
        <v>2000</v>
      </c>
      <c r="E1578" s="119" t="s">
        <v>2001</v>
      </c>
      <c r="F1578" s="86"/>
      <c r="G1578" s="100"/>
      <c r="H1578" s="86"/>
      <c r="I1578" s="86"/>
      <c r="J1578" s="87"/>
    </row>
    <row r="1579">
      <c r="A1579" s="92" t="s">
        <v>20</v>
      </c>
      <c r="B1579" s="116" t="s">
        <v>161</v>
      </c>
      <c r="C1579" s="122">
        <v>42.0</v>
      </c>
      <c r="D1579" s="121" t="s">
        <v>2002</v>
      </c>
      <c r="E1579" s="121" t="s">
        <v>2003</v>
      </c>
      <c r="F1579" s="94"/>
      <c r="G1579" s="98"/>
      <c r="H1579" s="94"/>
      <c r="I1579" s="94"/>
      <c r="J1579" s="87"/>
    </row>
    <row r="1580">
      <c r="A1580" s="84" t="s">
        <v>20</v>
      </c>
      <c r="B1580" s="117" t="s">
        <v>161</v>
      </c>
      <c r="C1580" s="123">
        <v>44.0</v>
      </c>
      <c r="D1580" s="119" t="s">
        <v>1585</v>
      </c>
      <c r="E1580" s="119" t="s">
        <v>2004</v>
      </c>
      <c r="F1580" s="86"/>
      <c r="G1580" s="100"/>
      <c r="H1580" s="86"/>
      <c r="I1580" s="86"/>
      <c r="J1580" s="87"/>
    </row>
    <row r="1581">
      <c r="A1581" s="92" t="s">
        <v>20</v>
      </c>
      <c r="B1581" s="116" t="s">
        <v>161</v>
      </c>
      <c r="C1581" s="122">
        <v>46.0</v>
      </c>
      <c r="D1581" s="121" t="s">
        <v>1588</v>
      </c>
      <c r="E1581" s="121" t="s">
        <v>2003</v>
      </c>
      <c r="F1581" s="94"/>
      <c r="G1581" s="98"/>
      <c r="H1581" s="94"/>
      <c r="I1581" s="94"/>
      <c r="J1581" s="87"/>
    </row>
    <row r="1582">
      <c r="A1582" s="84" t="s">
        <v>20</v>
      </c>
      <c r="B1582" s="117" t="s">
        <v>161</v>
      </c>
      <c r="C1582" s="123">
        <v>47.0</v>
      </c>
      <c r="D1582" s="119" t="s">
        <v>2005</v>
      </c>
      <c r="E1582" s="119" t="s">
        <v>2006</v>
      </c>
      <c r="F1582" s="86"/>
      <c r="G1582" s="100"/>
      <c r="H1582" s="86"/>
      <c r="I1582" s="86"/>
      <c r="J1582" s="87"/>
    </row>
    <row r="1583">
      <c r="A1583" s="92" t="s">
        <v>20</v>
      </c>
      <c r="B1583" s="116" t="s">
        <v>161</v>
      </c>
      <c r="C1583" s="122">
        <v>59.0</v>
      </c>
      <c r="D1583" s="121" t="s">
        <v>1593</v>
      </c>
      <c r="E1583" s="121" t="s">
        <v>2007</v>
      </c>
      <c r="F1583" s="94"/>
      <c r="G1583" s="98"/>
      <c r="H1583" s="94"/>
      <c r="I1583" s="94"/>
      <c r="J1583" s="87"/>
    </row>
    <row r="1584">
      <c r="A1584" s="84" t="s">
        <v>20</v>
      </c>
      <c r="B1584" s="117" t="s">
        <v>161</v>
      </c>
      <c r="C1584" s="123">
        <v>63.0</v>
      </c>
      <c r="D1584" s="119" t="s">
        <v>2008</v>
      </c>
      <c r="E1584" s="119" t="s">
        <v>2007</v>
      </c>
      <c r="F1584" s="86"/>
      <c r="G1584" s="100"/>
      <c r="H1584" s="86"/>
      <c r="I1584" s="86"/>
      <c r="J1584" s="87"/>
    </row>
    <row r="1585">
      <c r="A1585" s="92" t="s">
        <v>20</v>
      </c>
      <c r="B1585" s="116" t="s">
        <v>85</v>
      </c>
      <c r="C1585" s="122">
        <v>1.0</v>
      </c>
      <c r="D1585" s="121" t="s">
        <v>2694</v>
      </c>
      <c r="E1585" s="121" t="s">
        <v>2695</v>
      </c>
      <c r="F1585" s="94"/>
      <c r="G1585" s="98"/>
      <c r="H1585" s="92" t="str">
        <f>IMAGE("https://drive.google.com/uc?export=view&amp;id=1WPZfo_L8VNnro9UoyYXxj1pA448JttTJ")</f>
        <v/>
      </c>
      <c r="I1585" s="94"/>
      <c r="J1585" s="87"/>
    </row>
    <row r="1586">
      <c r="A1586" s="84" t="s">
        <v>20</v>
      </c>
      <c r="B1586" s="117" t="s">
        <v>85</v>
      </c>
      <c r="C1586" s="123">
        <v>2.0</v>
      </c>
      <c r="D1586" s="119" t="s">
        <v>2696</v>
      </c>
      <c r="E1586" s="119" t="s">
        <v>2697</v>
      </c>
      <c r="F1586" s="86"/>
      <c r="G1586" s="100"/>
      <c r="H1586" s="86" t="str">
        <f>IMAGE("https://drive.google.com/uc?export=view&amp;id=1cnYYjREYFsZo2byPFQr5wT34WgzdZUW3")</f>
        <v/>
      </c>
      <c r="I1586" s="86"/>
      <c r="J1586" s="87"/>
    </row>
    <row r="1587">
      <c r="A1587" s="92" t="s">
        <v>20</v>
      </c>
      <c r="B1587" s="116" t="s">
        <v>85</v>
      </c>
      <c r="C1587" s="122">
        <v>3.0</v>
      </c>
      <c r="D1587" s="121" t="s">
        <v>2698</v>
      </c>
      <c r="E1587" s="121" t="s">
        <v>2699</v>
      </c>
      <c r="F1587" s="94"/>
      <c r="G1587" s="98"/>
      <c r="H1587" s="94" t="str">
        <f>IMAGE("https://drive.google.com/uc?export=view&amp;id=1P9Ya67ih2vuCJJZNvLyZ4KWvLlQjpxSA")</f>
        <v/>
      </c>
      <c r="I1587" s="94"/>
      <c r="J1587" s="87"/>
    </row>
    <row r="1588">
      <c r="A1588" s="84" t="s">
        <v>20</v>
      </c>
      <c r="B1588" s="117" t="s">
        <v>85</v>
      </c>
      <c r="C1588" s="123">
        <v>7.0</v>
      </c>
      <c r="D1588" s="119" t="s">
        <v>2700</v>
      </c>
      <c r="E1588" s="119" t="s">
        <v>2701</v>
      </c>
      <c r="F1588" s="86"/>
      <c r="G1588" s="100"/>
      <c r="H1588" s="86" t="str">
        <f>IMAGE("https://drive.google.com/uc?export=view&amp;id=1gGu6kPumzmIVvj1fV1yg5ZoNcHSXuumL")</f>
        <v/>
      </c>
      <c r="I1588" s="86"/>
      <c r="J1588" s="87"/>
    </row>
    <row r="1589">
      <c r="A1589" s="92" t="s">
        <v>20</v>
      </c>
      <c r="B1589" s="116" t="s">
        <v>85</v>
      </c>
      <c r="C1589" s="122">
        <v>8.0</v>
      </c>
      <c r="D1589" s="121" t="s">
        <v>2702</v>
      </c>
      <c r="E1589" s="121" t="s">
        <v>2703</v>
      </c>
      <c r="F1589" s="94"/>
      <c r="G1589" s="98"/>
      <c r="H1589" s="94" t="str">
        <f>IMAGE("https://drive.google.com/uc?export=view&amp;id=1zZYEi_h8hiV7lA8XveNOexHc2256wX2t")</f>
        <v/>
      </c>
      <c r="I1589" s="94"/>
      <c r="J1589" s="87"/>
    </row>
    <row r="1590">
      <c r="A1590" s="84" t="s">
        <v>20</v>
      </c>
      <c r="B1590" s="117" t="s">
        <v>85</v>
      </c>
      <c r="C1590" s="123">
        <v>9.0</v>
      </c>
      <c r="D1590" s="119" t="s">
        <v>2704</v>
      </c>
      <c r="E1590" s="119" t="s">
        <v>2703</v>
      </c>
      <c r="F1590" s="86"/>
      <c r="G1590" s="100"/>
      <c r="H1590" s="86" t="str">
        <f>IMAGE("https://drive.google.com/uc?export=view&amp;id=1KFs1TZm1YlHFIiIalaRnsi62NLYularR") </f>
        <v/>
      </c>
      <c r="I1590" s="86"/>
      <c r="J1590" s="87"/>
    </row>
    <row r="1591">
      <c r="A1591" s="92" t="s">
        <v>20</v>
      </c>
      <c r="B1591" s="116" t="s">
        <v>85</v>
      </c>
      <c r="C1591" s="122">
        <v>10.0</v>
      </c>
      <c r="D1591" s="121" t="s">
        <v>2705</v>
      </c>
      <c r="E1591" s="121" t="s">
        <v>2706</v>
      </c>
      <c r="F1591" s="94"/>
      <c r="G1591" s="98"/>
      <c r="H1591" s="94" t="str">
        <f>IMAGE("https://drive.google.com/uc?export=view&amp;id=1PKJmVMN3kL9faKSUtrx-KiNN8pO9SDqu")</f>
        <v/>
      </c>
      <c r="I1591" s="94"/>
      <c r="J1591" s="87"/>
    </row>
    <row r="1592">
      <c r="A1592" s="84" t="s">
        <v>20</v>
      </c>
      <c r="B1592" s="117" t="s">
        <v>85</v>
      </c>
      <c r="C1592" s="123">
        <v>11.0</v>
      </c>
      <c r="D1592" s="119" t="s">
        <v>2707</v>
      </c>
      <c r="E1592" s="119" t="s">
        <v>2708</v>
      </c>
      <c r="F1592" s="86"/>
      <c r="G1592" s="100"/>
      <c r="H1592" s="86" t="str">
        <f>IMAGE("https://drive.google.com/uc?export=view&amp;id=1LB1EEA3OlmrZBSKODyIoFpxyFwOXeqmT") </f>
        <v/>
      </c>
      <c r="I1592" s="86"/>
      <c r="J1592" s="87"/>
    </row>
    <row r="1593">
      <c r="A1593" s="92" t="s">
        <v>20</v>
      </c>
      <c r="B1593" s="116" t="s">
        <v>85</v>
      </c>
      <c r="C1593" s="122">
        <v>12.0</v>
      </c>
      <c r="D1593" s="121" t="s">
        <v>2709</v>
      </c>
      <c r="E1593" s="121" t="s">
        <v>2710</v>
      </c>
      <c r="F1593" s="94"/>
      <c r="G1593" s="98"/>
      <c r="H1593" s="94" t="str">
        <f>IMAGE("https://drive.google.com/uc?export=view&amp;id=1hQNduSkEPcr0fj74hpaXt7tvJ20ym58S") </f>
        <v/>
      </c>
      <c r="I1593" s="94"/>
      <c r="J1593" s="87"/>
    </row>
    <row r="1594">
      <c r="A1594" s="84" t="s">
        <v>20</v>
      </c>
      <c r="B1594" s="117" t="s">
        <v>85</v>
      </c>
      <c r="C1594" s="123">
        <v>13.0</v>
      </c>
      <c r="D1594" s="119" t="s">
        <v>2711</v>
      </c>
      <c r="E1594" s="119" t="s">
        <v>2712</v>
      </c>
      <c r="F1594" s="86"/>
      <c r="G1594" s="100"/>
      <c r="H1594" s="86" t="str">
        <f>IMAGE("https://drive.google.com/uc?export=view&amp;id=1OKze4Jilubpr3Hs1o9Had_3XNwlGdngN")</f>
        <v/>
      </c>
      <c r="I1594" s="86"/>
      <c r="J1594" s="87"/>
    </row>
    <row r="1595">
      <c r="A1595" s="92" t="s">
        <v>20</v>
      </c>
      <c r="B1595" s="116" t="s">
        <v>85</v>
      </c>
      <c r="C1595" s="122">
        <v>14.0</v>
      </c>
      <c r="D1595" s="121" t="s">
        <v>2713</v>
      </c>
      <c r="E1595" s="121" t="s">
        <v>2714</v>
      </c>
      <c r="F1595" s="94"/>
      <c r="G1595" s="98"/>
      <c r="H1595" s="94" t="str">
        <f>IMAGE("https://drive.google.com/uc?export=view&amp;id=1pm9gbj5UA4QhN8C2pPtnrMTchtchwEJj")</f>
        <v/>
      </c>
      <c r="I1595" s="94"/>
      <c r="J1595" s="87"/>
    </row>
    <row r="1596">
      <c r="A1596" s="84" t="s">
        <v>20</v>
      </c>
      <c r="B1596" s="117" t="s">
        <v>85</v>
      </c>
      <c r="C1596" s="123">
        <v>15.0</v>
      </c>
      <c r="D1596" s="119" t="s">
        <v>2715</v>
      </c>
      <c r="E1596" s="119" t="s">
        <v>2716</v>
      </c>
      <c r="F1596" s="86"/>
      <c r="G1596" s="100"/>
      <c r="H1596" s="86" t="str">
        <f>IMAGE("https://drive.google.com/uc?export=view&amp;id=1H_PzWTySsuuhB1wwuAXhAE-JBP4HD7m2") </f>
        <v/>
      </c>
      <c r="I1596" s="86"/>
      <c r="J1596" s="87"/>
    </row>
    <row r="1597">
      <c r="A1597" s="92" t="s">
        <v>20</v>
      </c>
      <c r="B1597" s="116" t="s">
        <v>85</v>
      </c>
      <c r="C1597" s="122">
        <v>16.0</v>
      </c>
      <c r="D1597" s="121" t="s">
        <v>2717</v>
      </c>
      <c r="E1597" s="121" t="s">
        <v>2718</v>
      </c>
      <c r="F1597" s="94"/>
      <c r="G1597" s="98"/>
      <c r="H1597" s="94" t="str">
        <f>IMAGE("https://drive.google.com/uc?export=view&amp;id=13EuGg3Jk7_wZDAiolwB8EVRkLdfwzEcD")</f>
        <v/>
      </c>
      <c r="I1597" s="94"/>
      <c r="J1597" s="87"/>
    </row>
    <row r="1598">
      <c r="A1598" s="84" t="s">
        <v>20</v>
      </c>
      <c r="B1598" s="117" t="s">
        <v>85</v>
      </c>
      <c r="C1598" s="123">
        <v>17.0</v>
      </c>
      <c r="D1598" s="119" t="s">
        <v>2719</v>
      </c>
      <c r="E1598" s="119" t="s">
        <v>2720</v>
      </c>
      <c r="F1598" s="86"/>
      <c r="G1598" s="100"/>
      <c r="H1598" s="86" t="str">
        <f>IMAGE("https://drive.google.com/uc?export=view&amp;id=17tIW-amvdyCfn9VuJwYwR6dJJc6fh8jv") </f>
        <v/>
      </c>
      <c r="I1598" s="86"/>
      <c r="J1598" s="87"/>
    </row>
    <row r="1599">
      <c r="A1599" s="92" t="s">
        <v>20</v>
      </c>
      <c r="B1599" s="116" t="s">
        <v>85</v>
      </c>
      <c r="C1599" s="122">
        <v>18.0</v>
      </c>
      <c r="D1599" s="121" t="s">
        <v>2721</v>
      </c>
      <c r="E1599" s="121" t="s">
        <v>2722</v>
      </c>
      <c r="F1599" s="94"/>
      <c r="G1599" s="98"/>
      <c r="H1599" s="94" t="str">
        <f>IMAGE("https://drive.google.com/uc?export=view&amp;id=1c-ultCG2T-5tXwmScfiO9Zrx8Jnp_q5p") </f>
        <v/>
      </c>
      <c r="I1599" s="94"/>
      <c r="J1599" s="87"/>
    </row>
    <row r="1600">
      <c r="A1600" s="84" t="s">
        <v>20</v>
      </c>
      <c r="B1600" s="117" t="s">
        <v>85</v>
      </c>
      <c r="C1600" s="123">
        <v>19.0</v>
      </c>
      <c r="D1600" s="119" t="s">
        <v>2723</v>
      </c>
      <c r="E1600" s="119" t="s">
        <v>2724</v>
      </c>
      <c r="F1600" s="86"/>
      <c r="G1600" s="100"/>
      <c r="H1600" s="86" t="str">
        <f>IMAGE("https://drive.google.com/uc?export=view&amp;id=1coTcm77TwYRxqaFkmSwkbvFZwCqPvLYq") </f>
        <v/>
      </c>
      <c r="I1600" s="86"/>
      <c r="J1600" s="87"/>
    </row>
    <row r="1601">
      <c r="A1601" s="92" t="s">
        <v>20</v>
      </c>
      <c r="B1601" s="116" t="s">
        <v>85</v>
      </c>
      <c r="C1601" s="122">
        <v>25.0</v>
      </c>
      <c r="D1601" s="121" t="s">
        <v>2725</v>
      </c>
      <c r="E1601" s="121" t="s">
        <v>2726</v>
      </c>
      <c r="F1601" s="94"/>
      <c r="G1601" s="98"/>
      <c r="H1601" s="94" t="str">
        <f>IMAGE("https://drive.google.com/uc?export=view&amp;id=1OX0yCdLdCunEAuYM8w3V6GSvVc2svc1G")</f>
        <v/>
      </c>
      <c r="I1601" s="94"/>
      <c r="J1601" s="87"/>
    </row>
    <row r="1602">
      <c r="A1602" s="84" t="s">
        <v>20</v>
      </c>
      <c r="B1602" s="117" t="s">
        <v>85</v>
      </c>
      <c r="C1602" s="123">
        <v>26.0</v>
      </c>
      <c r="D1602" s="119" t="s">
        <v>2727</v>
      </c>
      <c r="E1602" s="119" t="s">
        <v>2728</v>
      </c>
      <c r="F1602" s="86"/>
      <c r="G1602" s="100"/>
      <c r="H1602" s="86" t="str">
        <f>IMAGE("https://drive.google.com/uc?export=view&amp;id=1H6xUjGk1PKg6Dwcu-q2lzSXC3DMKP21W")</f>
        <v/>
      </c>
      <c r="I1602" s="86"/>
      <c r="J1602" s="87"/>
    </row>
    <row r="1603">
      <c r="A1603" s="92" t="s">
        <v>20</v>
      </c>
      <c r="B1603" s="116" t="s">
        <v>85</v>
      </c>
      <c r="C1603" s="122">
        <v>29.0</v>
      </c>
      <c r="D1603" s="121" t="s">
        <v>2729</v>
      </c>
      <c r="E1603" s="121" t="s">
        <v>2730</v>
      </c>
      <c r="F1603" s="94"/>
      <c r="G1603" s="98"/>
      <c r="H1603" s="94" t="str">
        <f>IMAGE("https://drive.google.com/uc?export=view&amp;id=1judTPeXKle76slOVOKjwVM_KO3-q9MlV")</f>
        <v/>
      </c>
      <c r="I1603" s="94"/>
      <c r="J1603" s="87"/>
    </row>
    <row r="1604">
      <c r="A1604" s="84" t="s">
        <v>20</v>
      </c>
      <c r="B1604" s="117" t="s">
        <v>85</v>
      </c>
      <c r="C1604" s="123">
        <v>30.0</v>
      </c>
      <c r="D1604" s="119" t="s">
        <v>2731</v>
      </c>
      <c r="E1604" s="119" t="s">
        <v>2732</v>
      </c>
      <c r="F1604" s="86"/>
      <c r="G1604" s="100"/>
      <c r="H1604" s="86" t="str">
        <f>IMAGE("https://drive.google.com/uc?export=view&amp;id=1Ez5elJK6FA-Gd8vqbPLaECCc5BSn_p6F")</f>
        <v/>
      </c>
      <c r="I1604" s="86"/>
      <c r="J1604" s="87"/>
    </row>
    <row r="1605">
      <c r="A1605" s="92"/>
      <c r="B1605" s="116"/>
      <c r="C1605" s="122"/>
      <c r="D1605" s="93"/>
      <c r="E1605" s="93"/>
      <c r="F1605" s="94"/>
      <c r="G1605" s="98"/>
      <c r="H1605" s="94"/>
      <c r="I1605" s="94"/>
      <c r="J1605" s="87"/>
    </row>
    <row r="1606">
      <c r="A1606" s="84"/>
      <c r="B1606" s="117"/>
      <c r="C1606" s="123"/>
      <c r="D1606" s="85"/>
      <c r="E1606" s="85"/>
      <c r="F1606" s="86"/>
      <c r="G1606" s="100"/>
      <c r="H1606" s="86"/>
      <c r="I1606" s="86"/>
      <c r="J1606" s="87"/>
    </row>
    <row r="1607">
      <c r="A1607" s="92"/>
      <c r="B1607" s="116"/>
      <c r="C1607" s="122"/>
      <c r="D1607" s="93"/>
      <c r="E1607" s="93"/>
      <c r="F1607" s="94"/>
      <c r="G1607" s="98"/>
      <c r="H1607" s="94"/>
      <c r="I1607" s="94"/>
      <c r="J1607" s="87"/>
    </row>
    <row r="1608">
      <c r="A1608" s="84"/>
      <c r="B1608" s="117"/>
      <c r="C1608" s="123"/>
      <c r="D1608" s="85"/>
      <c r="E1608" s="85"/>
      <c r="F1608" s="86"/>
      <c r="G1608" s="100"/>
      <c r="H1608" s="86"/>
      <c r="I1608" s="86"/>
      <c r="J1608" s="87"/>
    </row>
    <row r="1609">
      <c r="A1609" s="92"/>
      <c r="B1609" s="116"/>
      <c r="C1609" s="122"/>
      <c r="D1609" s="93"/>
      <c r="E1609" s="93"/>
      <c r="F1609" s="94"/>
      <c r="G1609" s="98"/>
      <c r="H1609" s="94"/>
      <c r="I1609" s="94"/>
      <c r="J1609" s="87"/>
    </row>
    <row r="1610">
      <c r="A1610" s="84"/>
      <c r="B1610" s="117"/>
      <c r="C1610" s="123"/>
      <c r="D1610" s="85"/>
      <c r="E1610" s="85"/>
      <c r="F1610" s="86"/>
      <c r="G1610" s="100"/>
      <c r="H1610" s="86"/>
      <c r="I1610" s="86"/>
      <c r="J1610" s="87"/>
    </row>
    <row r="1611">
      <c r="A1611" s="92"/>
      <c r="B1611" s="116"/>
      <c r="C1611" s="122"/>
      <c r="D1611" s="93"/>
      <c r="E1611" s="93"/>
      <c r="F1611" s="94"/>
      <c r="G1611" s="98"/>
      <c r="H1611" s="94"/>
      <c r="I1611" s="94"/>
      <c r="J1611" s="87"/>
    </row>
    <row r="1612">
      <c r="A1612" s="84"/>
      <c r="B1612" s="117"/>
      <c r="C1612" s="123"/>
      <c r="D1612" s="85"/>
      <c r="E1612" s="85"/>
      <c r="F1612" s="86"/>
      <c r="G1612" s="100"/>
      <c r="H1612" s="86"/>
      <c r="I1612" s="86"/>
      <c r="J1612" s="87"/>
    </row>
    <row r="1613">
      <c r="A1613" s="92"/>
      <c r="B1613" s="116"/>
      <c r="C1613" s="122"/>
      <c r="D1613" s="93"/>
      <c r="E1613" s="93"/>
      <c r="F1613" s="94"/>
      <c r="G1613" s="98"/>
      <c r="H1613" s="94"/>
      <c r="I1613" s="94"/>
      <c r="J1613" s="87"/>
    </row>
    <row r="1614">
      <c r="A1614" s="84"/>
      <c r="B1614" s="117"/>
      <c r="C1614" s="123"/>
      <c r="D1614" s="85"/>
      <c r="E1614" s="85"/>
      <c r="F1614" s="86"/>
      <c r="G1614" s="100"/>
      <c r="H1614" s="86"/>
      <c r="I1614" s="86"/>
      <c r="J1614" s="87"/>
    </row>
    <row r="1615">
      <c r="A1615" s="92"/>
      <c r="B1615" s="116"/>
      <c r="C1615" s="122"/>
      <c r="D1615" s="93"/>
      <c r="E1615" s="93"/>
      <c r="F1615" s="94"/>
      <c r="G1615" s="98"/>
      <c r="H1615" s="94"/>
      <c r="I1615" s="94"/>
      <c r="J1615" s="87"/>
    </row>
    <row r="1616">
      <c r="A1616" s="84"/>
      <c r="B1616" s="117"/>
      <c r="C1616" s="123"/>
      <c r="D1616" s="85"/>
      <c r="E1616" s="85"/>
      <c r="F1616" s="86"/>
      <c r="G1616" s="100"/>
      <c r="H1616" s="86"/>
      <c r="I1616" s="86"/>
      <c r="J1616" s="87"/>
    </row>
    <row r="1617">
      <c r="A1617" s="92"/>
      <c r="B1617" s="116"/>
      <c r="C1617" s="122"/>
      <c r="D1617" s="93"/>
      <c r="E1617" s="93"/>
      <c r="F1617" s="94"/>
      <c r="G1617" s="98"/>
      <c r="H1617" s="94"/>
      <c r="I1617" s="94"/>
      <c r="J1617" s="87"/>
    </row>
    <row r="1618">
      <c r="A1618" s="84"/>
      <c r="B1618" s="117"/>
      <c r="C1618" s="123"/>
      <c r="D1618" s="85"/>
      <c r="E1618" s="85"/>
      <c r="F1618" s="86"/>
      <c r="G1618" s="100"/>
      <c r="H1618" s="86"/>
      <c r="I1618" s="86"/>
      <c r="J1618" s="87"/>
    </row>
    <row r="1619">
      <c r="A1619" s="92"/>
      <c r="B1619" s="116"/>
      <c r="C1619" s="122"/>
      <c r="D1619" s="93"/>
      <c r="E1619" s="93"/>
      <c r="F1619" s="94"/>
      <c r="G1619" s="98"/>
      <c r="H1619" s="94"/>
      <c r="I1619" s="94"/>
      <c r="J1619" s="87"/>
    </row>
    <row r="1620">
      <c r="A1620" s="84"/>
      <c r="B1620" s="117"/>
      <c r="C1620" s="123"/>
      <c r="D1620" s="85"/>
      <c r="E1620" s="85"/>
      <c r="F1620" s="86"/>
      <c r="G1620" s="100"/>
      <c r="H1620" s="86"/>
      <c r="I1620" s="86"/>
      <c r="J1620" s="87"/>
    </row>
    <row r="1621">
      <c r="A1621" s="92"/>
      <c r="B1621" s="116"/>
      <c r="C1621" s="122"/>
      <c r="D1621" s="93"/>
      <c r="E1621" s="93"/>
      <c r="F1621" s="94"/>
      <c r="G1621" s="98"/>
      <c r="H1621" s="94"/>
      <c r="I1621" s="94"/>
      <c r="J1621" s="87"/>
    </row>
    <row r="1622">
      <c r="A1622" s="84"/>
      <c r="B1622" s="117"/>
      <c r="C1622" s="123"/>
      <c r="D1622" s="85"/>
      <c r="E1622" s="85"/>
      <c r="F1622" s="86"/>
      <c r="G1622" s="100"/>
      <c r="H1622" s="86"/>
      <c r="I1622" s="86"/>
      <c r="J1622" s="87"/>
    </row>
    <row r="1623">
      <c r="A1623" s="92"/>
      <c r="B1623" s="116"/>
      <c r="C1623" s="122"/>
      <c r="D1623" s="93"/>
      <c r="E1623" s="93"/>
      <c r="F1623" s="94"/>
      <c r="G1623" s="98"/>
      <c r="H1623" s="94"/>
      <c r="I1623" s="94"/>
      <c r="J1623" s="87"/>
    </row>
    <row r="1624">
      <c r="A1624" s="84"/>
      <c r="B1624" s="117"/>
      <c r="C1624" s="123"/>
      <c r="D1624" s="85"/>
      <c r="E1624" s="85"/>
      <c r="F1624" s="86"/>
      <c r="G1624" s="100"/>
      <c r="H1624" s="86"/>
      <c r="I1624" s="86"/>
      <c r="J1624" s="87"/>
    </row>
    <row r="1625">
      <c r="A1625" s="92"/>
      <c r="B1625" s="116"/>
      <c r="C1625" s="122"/>
      <c r="D1625" s="93"/>
      <c r="E1625" s="93"/>
      <c r="F1625" s="94"/>
      <c r="G1625" s="98"/>
      <c r="H1625" s="94"/>
      <c r="I1625" s="94"/>
      <c r="J1625" s="87"/>
    </row>
    <row r="1626">
      <c r="A1626" s="128"/>
      <c r="B1626" s="139"/>
      <c r="C1626" s="140"/>
      <c r="D1626" s="141"/>
      <c r="E1626" s="141"/>
      <c r="F1626" s="87"/>
      <c r="G1626" s="99"/>
      <c r="H1626" s="87"/>
      <c r="I1626" s="87"/>
      <c r="J1626" s="87"/>
    </row>
    <row r="1627">
      <c r="A1627" s="128"/>
      <c r="B1627" s="139"/>
      <c r="C1627" s="140"/>
      <c r="D1627" s="141"/>
      <c r="E1627" s="141"/>
      <c r="F1627" s="87"/>
      <c r="G1627" s="99"/>
      <c r="H1627" s="87"/>
      <c r="I1627" s="87"/>
      <c r="J1627" s="87"/>
    </row>
    <row r="1628">
      <c r="A1628" s="128"/>
      <c r="B1628" s="139"/>
      <c r="C1628" s="140"/>
      <c r="D1628" s="141"/>
      <c r="E1628" s="141"/>
      <c r="F1628" s="87"/>
      <c r="G1628" s="99"/>
      <c r="H1628" s="87"/>
      <c r="I1628" s="87"/>
      <c r="J1628" s="87"/>
    </row>
    <row r="1629">
      <c r="A1629" s="128"/>
      <c r="B1629" s="139"/>
      <c r="C1629" s="140"/>
      <c r="D1629" s="141"/>
      <c r="E1629" s="141"/>
      <c r="F1629" s="87"/>
      <c r="G1629" s="99"/>
      <c r="H1629" s="87"/>
      <c r="I1629" s="87"/>
      <c r="J1629" s="87"/>
    </row>
    <row r="1630">
      <c r="A1630" s="128"/>
      <c r="B1630" s="139"/>
      <c r="C1630" s="140"/>
      <c r="D1630" s="141"/>
      <c r="E1630" s="141"/>
      <c r="F1630" s="87"/>
      <c r="G1630" s="99"/>
      <c r="H1630" s="87"/>
      <c r="I1630" s="87"/>
      <c r="J1630" s="87"/>
    </row>
    <row r="1631">
      <c r="A1631" s="128"/>
      <c r="B1631" s="139"/>
      <c r="C1631" s="140"/>
      <c r="D1631" s="141"/>
      <c r="E1631" s="141"/>
      <c r="F1631" s="87"/>
      <c r="G1631" s="99"/>
      <c r="H1631" s="87"/>
      <c r="I1631" s="87"/>
      <c r="J1631" s="87"/>
    </row>
    <row r="1632">
      <c r="A1632" s="128"/>
      <c r="B1632" s="139"/>
      <c r="C1632" s="140"/>
      <c r="D1632" s="141"/>
      <c r="E1632" s="141"/>
      <c r="F1632" s="87"/>
      <c r="G1632" s="99"/>
      <c r="H1632" s="87"/>
      <c r="I1632" s="87"/>
      <c r="J1632" s="87"/>
    </row>
    <row r="1633">
      <c r="A1633" s="128"/>
      <c r="B1633" s="139"/>
      <c r="C1633" s="140"/>
      <c r="D1633" s="141"/>
      <c r="E1633" s="141"/>
      <c r="F1633" s="87"/>
      <c r="G1633" s="99"/>
      <c r="H1633" s="87"/>
      <c r="I1633" s="87"/>
      <c r="J1633" s="87"/>
    </row>
    <row r="1634">
      <c r="A1634" s="128"/>
      <c r="B1634" s="139"/>
      <c r="C1634" s="140"/>
      <c r="D1634" s="141"/>
      <c r="E1634" s="141"/>
      <c r="F1634" s="87"/>
      <c r="G1634" s="99"/>
      <c r="H1634" s="87"/>
      <c r="I1634" s="87"/>
      <c r="J1634" s="87"/>
    </row>
    <row r="1635">
      <c r="A1635" s="128"/>
      <c r="B1635" s="139"/>
      <c r="C1635" s="140"/>
      <c r="D1635" s="141"/>
      <c r="E1635" s="141"/>
      <c r="F1635" s="87"/>
      <c r="G1635" s="99"/>
      <c r="H1635" s="87"/>
      <c r="I1635" s="87"/>
      <c r="J1635" s="87"/>
    </row>
    <row r="1636">
      <c r="A1636" s="128"/>
      <c r="B1636" s="139"/>
      <c r="C1636" s="140"/>
      <c r="D1636" s="141"/>
      <c r="E1636" s="141"/>
      <c r="F1636" s="87"/>
      <c r="G1636" s="99"/>
      <c r="H1636" s="87"/>
      <c r="I1636" s="87"/>
      <c r="J1636" s="87"/>
    </row>
    <row r="1637">
      <c r="A1637" s="128"/>
      <c r="B1637" s="139"/>
      <c r="C1637" s="140"/>
      <c r="D1637" s="141"/>
      <c r="E1637" s="141"/>
      <c r="F1637" s="87"/>
      <c r="G1637" s="99"/>
      <c r="H1637" s="87"/>
      <c r="I1637" s="87"/>
      <c r="J1637" s="87"/>
    </row>
    <row r="1638">
      <c r="A1638" s="128"/>
      <c r="B1638" s="139"/>
      <c r="C1638" s="140"/>
      <c r="D1638" s="141"/>
      <c r="E1638" s="141"/>
      <c r="F1638" s="87"/>
      <c r="G1638" s="99"/>
      <c r="H1638" s="87"/>
      <c r="I1638" s="87"/>
      <c r="J1638" s="87"/>
    </row>
    <row r="1639">
      <c r="A1639" s="128"/>
      <c r="B1639" s="139"/>
      <c r="C1639" s="140"/>
      <c r="D1639" s="141"/>
      <c r="E1639" s="141"/>
      <c r="F1639" s="87"/>
      <c r="G1639" s="99"/>
      <c r="H1639" s="87"/>
      <c r="I1639" s="87"/>
      <c r="J1639" s="87"/>
    </row>
    <row r="1640">
      <c r="A1640" s="128"/>
      <c r="B1640" s="139"/>
      <c r="C1640" s="140"/>
      <c r="D1640" s="141"/>
      <c r="E1640" s="141"/>
      <c r="F1640" s="87"/>
      <c r="G1640" s="99"/>
      <c r="H1640" s="87"/>
      <c r="I1640" s="87"/>
      <c r="J1640" s="87"/>
    </row>
    <row r="1641">
      <c r="A1641" s="128"/>
      <c r="B1641" s="139"/>
      <c r="C1641" s="140"/>
      <c r="D1641" s="141"/>
      <c r="E1641" s="141"/>
      <c r="F1641" s="87"/>
      <c r="G1641" s="99"/>
      <c r="H1641" s="87"/>
      <c r="I1641" s="87"/>
      <c r="J1641" s="87"/>
    </row>
    <row r="1642">
      <c r="A1642" s="128"/>
      <c r="B1642" s="139"/>
      <c r="C1642" s="140"/>
      <c r="D1642" s="141"/>
      <c r="E1642" s="141"/>
      <c r="F1642" s="87"/>
      <c r="G1642" s="99"/>
      <c r="H1642" s="87"/>
      <c r="I1642" s="87"/>
      <c r="J1642" s="87"/>
    </row>
    <row r="1643">
      <c r="A1643" s="128"/>
      <c r="B1643" s="139"/>
      <c r="C1643" s="140"/>
      <c r="D1643" s="141"/>
      <c r="E1643" s="141"/>
      <c r="F1643" s="87"/>
      <c r="G1643" s="99"/>
      <c r="H1643" s="87"/>
      <c r="I1643" s="87"/>
      <c r="J1643" s="87"/>
    </row>
    <row r="1644">
      <c r="A1644" s="128"/>
      <c r="B1644" s="139"/>
      <c r="C1644" s="140"/>
      <c r="D1644" s="141"/>
      <c r="E1644" s="141"/>
      <c r="F1644" s="87"/>
      <c r="G1644" s="99"/>
      <c r="H1644" s="87"/>
      <c r="I1644" s="87"/>
      <c r="J1644" s="87"/>
    </row>
    <row r="1645">
      <c r="A1645" s="128"/>
      <c r="B1645" s="139"/>
      <c r="C1645" s="140"/>
      <c r="D1645" s="141"/>
      <c r="E1645" s="141"/>
      <c r="F1645" s="87"/>
      <c r="G1645" s="99"/>
      <c r="H1645" s="87"/>
      <c r="I1645" s="87"/>
      <c r="J1645" s="87"/>
    </row>
    <row r="1646">
      <c r="A1646" s="128"/>
      <c r="B1646" s="139"/>
      <c r="C1646" s="140"/>
      <c r="D1646" s="141"/>
      <c r="E1646" s="141"/>
      <c r="F1646" s="87"/>
      <c r="G1646" s="99"/>
      <c r="H1646" s="87"/>
      <c r="I1646" s="87"/>
      <c r="J1646" s="87"/>
    </row>
    <row r="1647">
      <c r="A1647" s="128"/>
      <c r="B1647" s="139"/>
      <c r="C1647" s="140"/>
      <c r="D1647" s="141"/>
      <c r="E1647" s="141"/>
      <c r="F1647" s="87"/>
      <c r="G1647" s="99"/>
      <c r="H1647" s="87"/>
      <c r="I1647" s="87"/>
      <c r="J1647" s="87"/>
    </row>
    <row r="1648">
      <c r="A1648" s="128"/>
      <c r="B1648" s="139"/>
      <c r="C1648" s="140"/>
      <c r="D1648" s="141"/>
      <c r="E1648" s="141"/>
      <c r="F1648" s="87"/>
      <c r="G1648" s="99"/>
      <c r="H1648" s="87"/>
      <c r="I1648" s="87"/>
      <c r="J1648" s="87"/>
    </row>
    <row r="1649">
      <c r="A1649" s="128"/>
      <c r="B1649" s="139"/>
      <c r="C1649" s="140"/>
      <c r="D1649" s="141"/>
      <c r="E1649" s="141"/>
      <c r="F1649" s="87"/>
      <c r="G1649" s="99"/>
      <c r="H1649" s="87"/>
      <c r="I1649" s="87"/>
      <c r="J1649" s="87"/>
    </row>
    <row r="1650">
      <c r="A1650" s="128"/>
      <c r="B1650" s="139"/>
      <c r="C1650" s="140"/>
      <c r="D1650" s="141"/>
      <c r="E1650" s="141"/>
      <c r="F1650" s="87"/>
      <c r="G1650" s="99"/>
      <c r="H1650" s="87"/>
      <c r="I1650" s="87"/>
      <c r="J1650" s="87"/>
    </row>
    <row r="1651">
      <c r="A1651" s="128"/>
      <c r="B1651" s="139"/>
      <c r="C1651" s="140"/>
      <c r="D1651" s="141"/>
      <c r="E1651" s="141"/>
      <c r="F1651" s="87"/>
      <c r="G1651" s="99"/>
      <c r="H1651" s="87"/>
      <c r="I1651" s="87"/>
      <c r="J1651" s="87"/>
    </row>
    <row r="1652">
      <c r="A1652" s="128"/>
      <c r="B1652" s="139"/>
      <c r="C1652" s="140"/>
      <c r="D1652" s="141"/>
      <c r="E1652" s="141"/>
      <c r="F1652" s="87"/>
      <c r="G1652" s="99"/>
      <c r="H1652" s="87"/>
      <c r="I1652" s="87"/>
      <c r="J1652" s="87"/>
    </row>
    <row r="1653">
      <c r="A1653" s="128"/>
      <c r="B1653" s="139"/>
      <c r="C1653" s="140"/>
      <c r="D1653" s="141"/>
      <c r="E1653" s="141"/>
      <c r="F1653" s="87"/>
      <c r="G1653" s="99"/>
      <c r="H1653" s="87"/>
      <c r="I1653" s="87"/>
      <c r="J1653" s="87"/>
    </row>
    <row r="1654">
      <c r="A1654" s="128"/>
      <c r="B1654" s="139"/>
      <c r="C1654" s="140"/>
      <c r="D1654" s="141"/>
      <c r="E1654" s="141"/>
      <c r="F1654" s="87"/>
      <c r="G1654" s="99"/>
      <c r="H1654" s="87"/>
      <c r="I1654" s="87"/>
      <c r="J1654" s="87"/>
    </row>
    <row r="1655">
      <c r="A1655" s="128"/>
      <c r="B1655" s="139"/>
      <c r="C1655" s="140"/>
      <c r="D1655" s="141"/>
      <c r="E1655" s="141"/>
      <c r="F1655" s="87"/>
      <c r="G1655" s="99"/>
      <c r="H1655" s="87"/>
      <c r="I1655" s="87"/>
      <c r="J1655" s="87"/>
    </row>
    <row r="1656">
      <c r="A1656" s="128"/>
      <c r="B1656" s="139"/>
      <c r="C1656" s="140"/>
      <c r="D1656" s="141"/>
      <c r="E1656" s="141"/>
      <c r="F1656" s="87"/>
      <c r="G1656" s="99"/>
      <c r="H1656" s="87"/>
      <c r="I1656" s="87"/>
      <c r="J1656" s="87"/>
    </row>
    <row r="1657">
      <c r="A1657" s="128"/>
      <c r="B1657" s="139"/>
      <c r="C1657" s="140"/>
      <c r="D1657" s="141"/>
      <c r="E1657" s="141"/>
      <c r="F1657" s="87"/>
      <c r="G1657" s="99"/>
      <c r="H1657" s="87"/>
      <c r="I1657" s="87"/>
      <c r="J1657" s="87"/>
    </row>
    <row r="1658">
      <c r="A1658" s="128"/>
      <c r="B1658" s="139"/>
      <c r="C1658" s="140"/>
      <c r="D1658" s="141"/>
      <c r="E1658" s="141"/>
      <c r="F1658" s="87"/>
      <c r="G1658" s="99"/>
      <c r="H1658" s="87"/>
      <c r="I1658" s="87"/>
      <c r="J1658" s="87"/>
    </row>
    <row r="1659">
      <c r="A1659" s="128"/>
      <c r="B1659" s="139"/>
      <c r="C1659" s="140"/>
      <c r="D1659" s="141"/>
      <c r="E1659" s="141"/>
      <c r="F1659" s="87"/>
      <c r="G1659" s="99"/>
      <c r="H1659" s="87"/>
      <c r="I1659" s="87"/>
      <c r="J1659" s="87"/>
    </row>
    <row r="1660">
      <c r="A1660" s="128"/>
      <c r="B1660" s="139"/>
      <c r="C1660" s="140"/>
      <c r="D1660" s="141"/>
      <c r="E1660" s="141"/>
      <c r="F1660" s="87"/>
      <c r="G1660" s="99"/>
      <c r="H1660" s="87"/>
      <c r="I1660" s="87"/>
      <c r="J1660" s="87"/>
    </row>
    <row r="1661">
      <c r="A1661" s="128"/>
      <c r="B1661" s="139"/>
      <c r="C1661" s="140"/>
      <c r="D1661" s="141"/>
      <c r="E1661" s="141"/>
      <c r="F1661" s="87"/>
      <c r="G1661" s="99"/>
      <c r="H1661" s="87"/>
      <c r="I1661" s="87"/>
      <c r="J1661" s="87"/>
    </row>
    <row r="1662">
      <c r="A1662" s="128"/>
      <c r="B1662" s="139"/>
      <c r="C1662" s="140"/>
      <c r="D1662" s="141"/>
      <c r="E1662" s="141"/>
      <c r="F1662" s="87"/>
      <c r="G1662" s="99"/>
      <c r="H1662" s="87"/>
      <c r="I1662" s="87"/>
      <c r="J1662" s="87"/>
    </row>
    <row r="1663">
      <c r="A1663" s="128"/>
      <c r="B1663" s="139"/>
      <c r="C1663" s="140"/>
      <c r="D1663" s="141"/>
      <c r="E1663" s="141"/>
      <c r="F1663" s="87"/>
      <c r="G1663" s="99"/>
      <c r="H1663" s="87"/>
      <c r="I1663" s="87"/>
      <c r="J1663" s="87"/>
    </row>
    <row r="1664">
      <c r="A1664" s="128"/>
      <c r="B1664" s="139"/>
      <c r="C1664" s="140"/>
      <c r="D1664" s="141"/>
      <c r="E1664" s="141"/>
      <c r="F1664" s="87"/>
      <c r="G1664" s="99"/>
      <c r="H1664" s="87"/>
      <c r="I1664" s="87"/>
      <c r="J1664" s="87"/>
    </row>
    <row r="1665">
      <c r="A1665" s="128"/>
      <c r="B1665" s="139"/>
      <c r="C1665" s="140"/>
      <c r="D1665" s="141"/>
      <c r="E1665" s="141"/>
      <c r="F1665" s="87"/>
      <c r="G1665" s="99"/>
      <c r="H1665" s="87"/>
      <c r="I1665" s="87"/>
      <c r="J1665" s="87"/>
    </row>
    <row r="1666">
      <c r="A1666" s="128"/>
      <c r="B1666" s="139"/>
      <c r="C1666" s="140"/>
      <c r="D1666" s="141"/>
      <c r="E1666" s="141"/>
      <c r="F1666" s="87"/>
      <c r="G1666" s="99"/>
      <c r="H1666" s="87"/>
      <c r="I1666" s="87"/>
      <c r="J1666" s="87"/>
    </row>
    <row r="1667">
      <c r="A1667" s="128"/>
      <c r="B1667" s="139"/>
      <c r="C1667" s="140"/>
      <c r="D1667" s="141"/>
      <c r="E1667" s="141"/>
      <c r="F1667" s="87"/>
      <c r="G1667" s="99"/>
      <c r="H1667" s="87"/>
      <c r="I1667" s="87"/>
      <c r="J1667" s="87"/>
    </row>
    <row r="1668">
      <c r="A1668" s="128"/>
      <c r="B1668" s="139"/>
      <c r="C1668" s="140"/>
      <c r="D1668" s="141"/>
      <c r="E1668" s="141"/>
      <c r="F1668" s="87"/>
      <c r="G1668" s="99"/>
      <c r="H1668" s="87"/>
      <c r="I1668" s="87"/>
      <c r="J1668" s="87"/>
    </row>
    <row r="1669">
      <c r="A1669" s="128"/>
      <c r="B1669" s="139"/>
      <c r="C1669" s="140"/>
      <c r="D1669" s="141"/>
      <c r="E1669" s="141"/>
      <c r="F1669" s="87"/>
      <c r="G1669" s="99"/>
      <c r="H1669" s="87"/>
      <c r="I1669" s="87"/>
      <c r="J1669" s="87"/>
    </row>
    <row r="1670">
      <c r="A1670" s="128"/>
      <c r="B1670" s="139"/>
      <c r="C1670" s="140"/>
      <c r="D1670" s="141"/>
      <c r="E1670" s="141"/>
      <c r="F1670" s="87"/>
      <c r="G1670" s="99"/>
      <c r="H1670" s="87"/>
      <c r="I1670" s="87"/>
      <c r="J1670" s="87"/>
    </row>
    <row r="1671">
      <c r="A1671" s="128"/>
      <c r="B1671" s="139"/>
      <c r="C1671" s="140"/>
      <c r="D1671" s="141"/>
      <c r="E1671" s="141"/>
      <c r="F1671" s="87"/>
      <c r="G1671" s="99"/>
      <c r="H1671" s="87"/>
      <c r="I1671" s="87"/>
      <c r="J1671" s="87"/>
    </row>
    <row r="1672">
      <c r="A1672" s="128"/>
      <c r="B1672" s="139"/>
      <c r="C1672" s="140"/>
      <c r="D1672" s="141"/>
      <c r="E1672" s="141"/>
      <c r="F1672" s="87"/>
      <c r="G1672" s="99"/>
      <c r="H1672" s="87"/>
      <c r="I1672" s="87"/>
      <c r="J1672" s="87"/>
    </row>
    <row r="1673">
      <c r="A1673" s="128"/>
      <c r="B1673" s="139"/>
      <c r="C1673" s="140"/>
      <c r="D1673" s="141"/>
      <c r="E1673" s="141"/>
      <c r="F1673" s="87"/>
      <c r="G1673" s="99"/>
      <c r="H1673" s="87"/>
      <c r="I1673" s="87"/>
      <c r="J1673" s="87"/>
    </row>
    <row r="1674">
      <c r="A1674" s="128"/>
      <c r="B1674" s="139"/>
      <c r="C1674" s="140"/>
      <c r="D1674" s="141"/>
      <c r="E1674" s="141"/>
      <c r="F1674" s="87"/>
      <c r="G1674" s="99"/>
      <c r="H1674" s="87"/>
      <c r="I1674" s="87"/>
      <c r="J1674" s="87"/>
    </row>
    <row r="1675">
      <c r="A1675" s="128"/>
      <c r="B1675" s="139"/>
      <c r="C1675" s="140"/>
      <c r="D1675" s="141"/>
      <c r="E1675" s="141"/>
      <c r="F1675" s="87"/>
      <c r="G1675" s="99"/>
      <c r="H1675" s="87"/>
      <c r="I1675" s="87"/>
      <c r="J1675" s="87"/>
    </row>
    <row r="1676">
      <c r="A1676" s="128"/>
      <c r="B1676" s="139"/>
      <c r="C1676" s="140"/>
      <c r="D1676" s="141"/>
      <c r="E1676" s="141"/>
      <c r="F1676" s="87"/>
      <c r="G1676" s="99"/>
      <c r="H1676" s="87"/>
      <c r="I1676" s="87"/>
      <c r="J1676" s="87"/>
    </row>
    <row r="1677">
      <c r="A1677" s="128"/>
      <c r="B1677" s="139"/>
      <c r="C1677" s="140"/>
      <c r="D1677" s="141"/>
      <c r="E1677" s="141"/>
      <c r="F1677" s="87"/>
      <c r="G1677" s="99"/>
      <c r="H1677" s="87"/>
      <c r="I1677" s="87"/>
      <c r="J1677" s="87"/>
    </row>
    <row r="1678">
      <c r="A1678" s="128"/>
      <c r="B1678" s="139"/>
      <c r="C1678" s="140"/>
      <c r="D1678" s="141"/>
      <c r="E1678" s="141"/>
      <c r="F1678" s="87"/>
      <c r="G1678" s="99"/>
      <c r="H1678" s="87"/>
      <c r="I1678" s="87"/>
      <c r="J1678" s="87"/>
    </row>
    <row r="1679">
      <c r="A1679" s="128"/>
      <c r="B1679" s="139"/>
      <c r="C1679" s="140"/>
      <c r="D1679" s="141"/>
      <c r="E1679" s="141"/>
      <c r="F1679" s="87"/>
      <c r="G1679" s="99"/>
      <c r="H1679" s="87"/>
      <c r="I1679" s="87"/>
      <c r="J1679" s="87"/>
    </row>
    <row r="1680">
      <c r="A1680" s="128"/>
      <c r="B1680" s="139"/>
      <c r="C1680" s="140"/>
      <c r="D1680" s="141"/>
      <c r="E1680" s="141"/>
      <c r="F1680" s="87"/>
      <c r="G1680" s="99"/>
      <c r="H1680" s="87"/>
      <c r="I1680" s="87"/>
      <c r="J1680" s="87"/>
    </row>
    <row r="1681">
      <c r="A1681" s="128"/>
      <c r="B1681" s="139"/>
      <c r="C1681" s="140"/>
      <c r="D1681" s="141"/>
      <c r="E1681" s="141"/>
      <c r="F1681" s="87"/>
      <c r="G1681" s="99"/>
      <c r="H1681" s="87"/>
      <c r="I1681" s="87"/>
      <c r="J1681" s="87"/>
    </row>
    <row r="1682">
      <c r="A1682" s="128"/>
      <c r="B1682" s="139"/>
      <c r="C1682" s="140"/>
      <c r="D1682" s="141"/>
      <c r="E1682" s="141"/>
      <c r="F1682" s="87"/>
      <c r="G1682" s="99"/>
      <c r="H1682" s="87"/>
      <c r="I1682" s="87"/>
      <c r="J1682" s="87"/>
    </row>
    <row r="1683">
      <c r="A1683" s="128"/>
      <c r="B1683" s="139"/>
      <c r="C1683" s="140"/>
      <c r="D1683" s="141"/>
      <c r="E1683" s="141"/>
      <c r="F1683" s="87"/>
      <c r="G1683" s="99"/>
      <c r="H1683" s="87"/>
      <c r="I1683" s="87"/>
      <c r="J1683" s="87"/>
    </row>
    <row r="1684">
      <c r="A1684" s="128"/>
      <c r="B1684" s="139"/>
      <c r="C1684" s="140"/>
      <c r="D1684" s="141"/>
      <c r="E1684" s="141"/>
      <c r="F1684" s="87"/>
      <c r="G1684" s="99"/>
      <c r="H1684" s="87"/>
      <c r="I1684" s="87"/>
      <c r="J1684" s="87"/>
    </row>
    <row r="1685">
      <c r="A1685" s="128"/>
      <c r="B1685" s="139"/>
      <c r="C1685" s="140"/>
      <c r="D1685" s="141"/>
      <c r="E1685" s="141"/>
      <c r="F1685" s="87"/>
      <c r="G1685" s="99"/>
      <c r="H1685" s="87"/>
      <c r="I1685" s="87"/>
      <c r="J1685" s="87"/>
    </row>
    <row r="1686">
      <c r="A1686" s="128"/>
      <c r="B1686" s="139"/>
      <c r="C1686" s="140"/>
      <c r="D1686" s="141"/>
      <c r="E1686" s="141"/>
      <c r="F1686" s="87"/>
      <c r="G1686" s="99"/>
      <c r="H1686" s="87"/>
      <c r="I1686" s="87"/>
      <c r="J1686" s="87"/>
    </row>
    <row r="1687">
      <c r="A1687" s="128"/>
      <c r="B1687" s="139"/>
      <c r="C1687" s="140"/>
      <c r="D1687" s="141"/>
      <c r="E1687" s="141"/>
      <c r="F1687" s="87"/>
      <c r="G1687" s="99"/>
      <c r="H1687" s="87"/>
      <c r="I1687" s="87"/>
      <c r="J1687" s="87"/>
    </row>
    <row r="1688">
      <c r="A1688" s="128"/>
      <c r="B1688" s="139"/>
      <c r="C1688" s="140"/>
      <c r="D1688" s="141"/>
      <c r="E1688" s="141"/>
      <c r="F1688" s="87"/>
      <c r="G1688" s="99"/>
      <c r="H1688" s="87"/>
      <c r="I1688" s="87"/>
      <c r="J1688" s="87"/>
    </row>
    <row r="1689">
      <c r="A1689" s="128"/>
      <c r="B1689" s="139"/>
      <c r="C1689" s="140"/>
      <c r="D1689" s="141"/>
      <c r="E1689" s="141"/>
      <c r="F1689" s="87"/>
      <c r="G1689" s="99"/>
      <c r="H1689" s="87"/>
      <c r="I1689" s="87"/>
      <c r="J1689" s="87"/>
    </row>
    <row r="1690">
      <c r="A1690" s="128"/>
      <c r="B1690" s="139"/>
      <c r="C1690" s="140"/>
      <c r="D1690" s="141"/>
      <c r="E1690" s="141"/>
      <c r="F1690" s="87"/>
      <c r="G1690" s="99"/>
      <c r="H1690" s="87"/>
      <c r="I1690" s="87"/>
      <c r="J1690" s="87"/>
    </row>
    <row r="1691">
      <c r="A1691" s="128"/>
      <c r="B1691" s="139"/>
      <c r="C1691" s="140"/>
      <c r="D1691" s="141"/>
      <c r="E1691" s="141"/>
      <c r="F1691" s="87"/>
      <c r="G1691" s="99"/>
      <c r="H1691" s="87"/>
      <c r="I1691" s="87"/>
      <c r="J1691" s="87"/>
    </row>
    <row r="1692">
      <c r="A1692" s="128"/>
      <c r="B1692" s="139"/>
      <c r="C1692" s="140"/>
      <c r="D1692" s="141"/>
      <c r="E1692" s="141"/>
      <c r="F1692" s="87"/>
      <c r="G1692" s="99"/>
      <c r="H1692" s="87"/>
      <c r="I1692" s="87"/>
      <c r="J1692" s="87"/>
    </row>
    <row r="1693">
      <c r="A1693" s="128"/>
      <c r="B1693" s="139"/>
      <c r="C1693" s="140"/>
      <c r="D1693" s="141"/>
      <c r="E1693" s="141"/>
      <c r="F1693" s="87"/>
      <c r="G1693" s="99"/>
      <c r="H1693" s="87"/>
      <c r="I1693" s="87"/>
      <c r="J1693" s="87"/>
    </row>
    <row r="1694">
      <c r="A1694" s="128"/>
      <c r="B1694" s="139"/>
      <c r="C1694" s="140"/>
      <c r="D1694" s="141"/>
      <c r="E1694" s="141"/>
      <c r="F1694" s="87"/>
      <c r="G1694" s="99"/>
      <c r="H1694" s="87"/>
      <c r="I1694" s="87"/>
      <c r="J1694" s="87"/>
    </row>
    <row r="1695">
      <c r="A1695" s="128"/>
      <c r="B1695" s="139"/>
      <c r="C1695" s="140"/>
      <c r="D1695" s="141"/>
      <c r="E1695" s="141"/>
      <c r="F1695" s="87"/>
      <c r="G1695" s="99"/>
      <c r="H1695" s="87"/>
      <c r="I1695" s="87"/>
      <c r="J1695" s="87"/>
    </row>
    <row r="1696">
      <c r="A1696" s="128"/>
      <c r="B1696" s="139"/>
      <c r="C1696" s="140"/>
      <c r="D1696" s="141"/>
      <c r="E1696" s="141"/>
      <c r="F1696" s="87"/>
      <c r="G1696" s="99"/>
      <c r="H1696" s="87"/>
      <c r="I1696" s="87"/>
      <c r="J1696" s="87"/>
    </row>
    <row r="1697">
      <c r="A1697" s="128"/>
      <c r="B1697" s="139"/>
      <c r="C1697" s="140"/>
      <c r="D1697" s="141"/>
      <c r="E1697" s="141"/>
      <c r="F1697" s="87"/>
      <c r="G1697" s="99"/>
      <c r="H1697" s="87"/>
      <c r="I1697" s="87"/>
      <c r="J1697" s="87"/>
    </row>
    <row r="1698">
      <c r="A1698" s="128"/>
      <c r="B1698" s="139"/>
      <c r="C1698" s="140"/>
      <c r="D1698" s="141"/>
      <c r="E1698" s="141"/>
      <c r="F1698" s="87"/>
      <c r="G1698" s="99"/>
      <c r="H1698" s="87"/>
      <c r="I1698" s="87"/>
      <c r="J1698" s="87"/>
    </row>
    <row r="1699">
      <c r="A1699" s="128"/>
      <c r="B1699" s="139"/>
      <c r="C1699" s="140"/>
      <c r="D1699" s="141"/>
      <c r="E1699" s="141"/>
      <c r="F1699" s="87"/>
      <c r="G1699" s="99"/>
      <c r="H1699" s="87"/>
      <c r="I1699" s="87"/>
      <c r="J1699" s="87"/>
    </row>
    <row r="1700">
      <c r="A1700" s="128"/>
      <c r="B1700" s="139"/>
      <c r="C1700" s="140"/>
      <c r="D1700" s="141"/>
      <c r="E1700" s="141"/>
      <c r="F1700" s="87"/>
      <c r="G1700" s="99"/>
      <c r="H1700" s="87"/>
      <c r="I1700" s="87"/>
      <c r="J1700" s="87"/>
    </row>
    <row r="1701">
      <c r="A1701" s="128"/>
      <c r="B1701" s="139"/>
      <c r="C1701" s="140"/>
      <c r="D1701" s="141"/>
      <c r="E1701" s="141"/>
      <c r="F1701" s="87"/>
      <c r="G1701" s="99"/>
      <c r="H1701" s="87"/>
      <c r="I1701" s="87"/>
      <c r="J1701" s="87"/>
    </row>
    <row r="1702">
      <c r="A1702" s="128"/>
      <c r="B1702" s="139"/>
      <c r="C1702" s="140"/>
      <c r="D1702" s="141"/>
      <c r="E1702" s="141"/>
      <c r="F1702" s="87"/>
      <c r="G1702" s="99"/>
      <c r="H1702" s="87"/>
      <c r="I1702" s="87"/>
      <c r="J1702" s="87"/>
    </row>
    <row r="1703">
      <c r="A1703" s="128"/>
      <c r="B1703" s="139"/>
      <c r="C1703" s="140"/>
      <c r="D1703" s="141"/>
      <c r="E1703" s="141"/>
      <c r="F1703" s="87"/>
      <c r="G1703" s="99"/>
      <c r="H1703" s="87"/>
      <c r="I1703" s="87"/>
      <c r="J1703" s="87"/>
    </row>
    <row r="1704">
      <c r="A1704" s="128"/>
      <c r="B1704" s="139"/>
      <c r="C1704" s="140"/>
      <c r="D1704" s="141"/>
      <c r="E1704" s="141"/>
      <c r="F1704" s="87"/>
      <c r="G1704" s="99"/>
      <c r="H1704" s="87"/>
      <c r="I1704" s="87"/>
      <c r="J1704" s="87"/>
    </row>
    <row r="1705">
      <c r="A1705" s="128"/>
      <c r="B1705" s="139"/>
      <c r="C1705" s="140"/>
      <c r="D1705" s="141"/>
      <c r="E1705" s="141"/>
      <c r="F1705" s="87"/>
      <c r="G1705" s="99"/>
      <c r="H1705" s="87"/>
      <c r="I1705" s="87"/>
      <c r="J1705" s="87"/>
    </row>
    <row r="1706">
      <c r="A1706" s="128"/>
      <c r="B1706" s="139"/>
      <c r="C1706" s="140"/>
      <c r="D1706" s="141"/>
      <c r="E1706" s="141"/>
      <c r="F1706" s="87"/>
      <c r="G1706" s="99"/>
      <c r="H1706" s="87"/>
      <c r="I1706" s="87"/>
      <c r="J1706" s="87"/>
    </row>
    <row r="1707">
      <c r="A1707" s="128"/>
      <c r="B1707" s="139"/>
      <c r="C1707" s="140"/>
      <c r="D1707" s="141"/>
      <c r="E1707" s="141"/>
      <c r="F1707" s="87"/>
      <c r="G1707" s="99"/>
      <c r="H1707" s="87"/>
      <c r="I1707" s="87"/>
      <c r="J1707" s="87"/>
    </row>
    <row r="1708">
      <c r="A1708" s="128"/>
      <c r="B1708" s="139"/>
      <c r="C1708" s="140"/>
      <c r="D1708" s="141"/>
      <c r="E1708" s="141"/>
      <c r="F1708" s="87"/>
      <c r="G1708" s="99"/>
      <c r="H1708" s="87"/>
      <c r="I1708" s="87"/>
      <c r="J1708" s="87"/>
    </row>
    <row r="1709">
      <c r="A1709" s="128"/>
      <c r="B1709" s="139"/>
      <c r="C1709" s="140"/>
      <c r="D1709" s="141"/>
      <c r="E1709" s="141"/>
      <c r="F1709" s="87"/>
      <c r="G1709" s="99"/>
      <c r="H1709" s="87"/>
      <c r="I1709" s="87"/>
      <c r="J1709" s="87"/>
    </row>
    <row r="1710">
      <c r="A1710" s="128"/>
      <c r="B1710" s="139"/>
      <c r="C1710" s="140"/>
      <c r="D1710" s="141"/>
      <c r="E1710" s="141"/>
      <c r="F1710" s="87"/>
      <c r="G1710" s="99"/>
      <c r="H1710" s="87"/>
      <c r="I1710" s="87"/>
      <c r="J1710" s="87"/>
    </row>
    <row r="1711">
      <c r="A1711" s="128"/>
      <c r="B1711" s="139"/>
      <c r="C1711" s="140"/>
      <c r="D1711" s="141"/>
      <c r="E1711" s="141"/>
      <c r="F1711" s="87"/>
      <c r="G1711" s="99"/>
      <c r="H1711" s="87"/>
      <c r="I1711" s="87"/>
      <c r="J1711" s="87"/>
    </row>
    <row r="1712">
      <c r="A1712" s="128"/>
      <c r="B1712" s="139"/>
      <c r="C1712" s="140"/>
      <c r="D1712" s="141"/>
      <c r="E1712" s="141"/>
      <c r="F1712" s="87"/>
      <c r="G1712" s="99"/>
      <c r="H1712" s="87"/>
      <c r="I1712" s="87"/>
      <c r="J1712" s="87"/>
    </row>
    <row r="1713">
      <c r="A1713" s="128"/>
      <c r="B1713" s="139"/>
      <c r="C1713" s="140"/>
      <c r="D1713" s="141"/>
      <c r="E1713" s="141"/>
      <c r="F1713" s="87"/>
      <c r="G1713" s="99"/>
      <c r="H1713" s="87"/>
      <c r="I1713" s="87"/>
      <c r="J1713" s="87"/>
    </row>
    <row r="1714">
      <c r="A1714" s="128"/>
      <c r="B1714" s="139"/>
      <c r="C1714" s="140"/>
      <c r="D1714" s="141"/>
      <c r="E1714" s="141"/>
      <c r="F1714" s="87"/>
      <c r="G1714" s="99"/>
      <c r="H1714" s="87"/>
      <c r="I1714" s="87"/>
      <c r="J1714" s="87"/>
    </row>
    <row r="1715">
      <c r="A1715" s="128"/>
      <c r="B1715" s="139"/>
      <c r="C1715" s="140"/>
      <c r="D1715" s="141"/>
      <c r="E1715" s="141"/>
      <c r="F1715" s="87"/>
      <c r="G1715" s="99"/>
      <c r="H1715" s="87"/>
      <c r="I1715" s="87"/>
      <c r="J1715" s="87"/>
    </row>
    <row r="1716">
      <c r="A1716" s="128"/>
      <c r="B1716" s="139"/>
      <c r="C1716" s="140"/>
      <c r="D1716" s="141"/>
      <c r="E1716" s="141"/>
      <c r="F1716" s="87"/>
      <c r="G1716" s="99"/>
      <c r="H1716" s="87"/>
      <c r="I1716" s="87"/>
      <c r="J1716" s="87"/>
    </row>
    <row r="1717">
      <c r="A1717" s="128"/>
      <c r="B1717" s="139"/>
      <c r="C1717" s="140"/>
      <c r="D1717" s="141"/>
      <c r="E1717" s="141"/>
      <c r="F1717" s="87"/>
      <c r="G1717" s="99"/>
      <c r="H1717" s="87"/>
      <c r="I1717" s="87"/>
      <c r="J1717" s="87"/>
    </row>
    <row r="1718">
      <c r="A1718" s="128"/>
      <c r="B1718" s="139"/>
      <c r="C1718" s="140"/>
      <c r="D1718" s="141"/>
      <c r="E1718" s="141"/>
      <c r="F1718" s="87"/>
      <c r="G1718" s="99"/>
      <c r="H1718" s="87"/>
      <c r="I1718" s="87"/>
      <c r="J1718" s="87"/>
    </row>
    <row r="1719">
      <c r="A1719" s="128"/>
      <c r="B1719" s="139"/>
      <c r="C1719" s="140"/>
      <c r="D1719" s="141"/>
      <c r="E1719" s="141"/>
      <c r="F1719" s="87"/>
      <c r="G1719" s="99"/>
      <c r="H1719" s="87"/>
      <c r="I1719" s="87"/>
      <c r="J1719" s="87"/>
    </row>
    <row r="1720">
      <c r="A1720" s="128"/>
      <c r="B1720" s="139"/>
      <c r="C1720" s="140"/>
      <c r="D1720" s="141"/>
      <c r="E1720" s="141"/>
      <c r="F1720" s="87"/>
      <c r="G1720" s="99"/>
      <c r="H1720" s="87"/>
      <c r="I1720" s="87"/>
      <c r="J1720" s="87"/>
    </row>
    <row r="1721">
      <c r="A1721" s="128"/>
      <c r="B1721" s="139"/>
      <c r="C1721" s="140"/>
      <c r="D1721" s="141"/>
      <c r="E1721" s="141"/>
      <c r="F1721" s="87"/>
      <c r="G1721" s="99"/>
      <c r="H1721" s="87"/>
      <c r="I1721" s="87"/>
      <c r="J1721" s="87"/>
    </row>
    <row r="1722">
      <c r="A1722" s="128"/>
      <c r="B1722" s="139"/>
      <c r="C1722" s="140"/>
      <c r="D1722" s="141"/>
      <c r="E1722" s="141"/>
      <c r="F1722" s="87"/>
      <c r="G1722" s="99"/>
      <c r="H1722" s="87"/>
      <c r="I1722" s="87"/>
      <c r="J1722" s="87"/>
    </row>
    <row r="1723">
      <c r="A1723" s="128"/>
      <c r="B1723" s="139"/>
      <c r="C1723" s="140"/>
      <c r="D1723" s="141"/>
      <c r="E1723" s="141"/>
      <c r="F1723" s="87"/>
      <c r="G1723" s="99"/>
      <c r="H1723" s="87"/>
      <c r="I1723" s="87"/>
      <c r="J1723" s="87"/>
    </row>
    <row r="1724">
      <c r="A1724" s="128"/>
      <c r="B1724" s="139"/>
      <c r="C1724" s="140"/>
      <c r="D1724" s="141"/>
      <c r="E1724" s="141"/>
      <c r="F1724" s="87"/>
      <c r="G1724" s="99"/>
      <c r="H1724" s="87"/>
      <c r="I1724" s="87"/>
      <c r="J1724" s="87"/>
    </row>
    <row r="1725">
      <c r="A1725" s="128"/>
      <c r="B1725" s="139"/>
      <c r="C1725" s="140"/>
      <c r="D1725" s="141"/>
      <c r="E1725" s="141"/>
      <c r="F1725" s="87"/>
      <c r="G1725" s="99"/>
      <c r="H1725" s="87"/>
      <c r="I1725" s="87"/>
      <c r="J1725" s="87"/>
    </row>
    <row r="1726">
      <c r="A1726" s="128"/>
      <c r="B1726" s="139"/>
      <c r="C1726" s="140"/>
      <c r="D1726" s="141"/>
      <c r="E1726" s="141"/>
      <c r="F1726" s="87"/>
      <c r="G1726" s="99"/>
      <c r="H1726" s="87"/>
      <c r="I1726" s="87"/>
      <c r="J1726" s="87"/>
    </row>
    <row r="1727">
      <c r="A1727" s="128"/>
      <c r="B1727" s="139"/>
      <c r="C1727" s="140"/>
      <c r="D1727" s="141"/>
      <c r="E1727" s="141"/>
      <c r="F1727" s="87"/>
      <c r="G1727" s="99"/>
      <c r="H1727" s="87"/>
      <c r="I1727" s="87"/>
      <c r="J1727" s="87"/>
    </row>
    <row r="1728">
      <c r="A1728" s="128"/>
      <c r="B1728" s="139"/>
      <c r="C1728" s="140"/>
      <c r="D1728" s="141"/>
      <c r="E1728" s="141"/>
      <c r="F1728" s="87"/>
      <c r="G1728" s="99"/>
      <c r="H1728" s="87"/>
      <c r="I1728" s="87"/>
      <c r="J1728" s="87"/>
    </row>
    <row r="1729">
      <c r="A1729" s="128"/>
      <c r="B1729" s="139"/>
      <c r="C1729" s="140"/>
      <c r="D1729" s="141"/>
      <c r="E1729" s="141"/>
      <c r="F1729" s="87"/>
      <c r="G1729" s="99"/>
      <c r="H1729" s="87"/>
      <c r="I1729" s="87"/>
      <c r="J1729" s="87"/>
    </row>
    <row r="1730">
      <c r="A1730" s="128"/>
      <c r="B1730" s="139"/>
      <c r="C1730" s="140"/>
      <c r="D1730" s="141"/>
      <c r="E1730" s="141"/>
      <c r="F1730" s="87"/>
      <c r="G1730" s="99"/>
      <c r="H1730" s="87"/>
      <c r="I1730" s="87"/>
      <c r="J1730" s="87"/>
    </row>
    <row r="1731">
      <c r="A1731" s="128"/>
      <c r="B1731" s="139"/>
      <c r="C1731" s="140"/>
      <c r="D1731" s="141"/>
      <c r="E1731" s="141"/>
      <c r="F1731" s="87"/>
      <c r="G1731" s="99"/>
      <c r="H1731" s="87"/>
      <c r="I1731" s="87"/>
      <c r="J1731" s="87"/>
    </row>
    <row r="1732">
      <c r="A1732" s="128"/>
      <c r="B1732" s="139"/>
      <c r="C1732" s="140"/>
      <c r="D1732" s="141"/>
      <c r="E1732" s="141"/>
      <c r="F1732" s="87"/>
      <c r="G1732" s="99"/>
      <c r="H1732" s="87"/>
      <c r="I1732" s="87"/>
      <c r="J1732" s="87"/>
    </row>
    <row r="1733">
      <c r="A1733" s="128"/>
      <c r="B1733" s="139"/>
      <c r="C1733" s="140"/>
      <c r="D1733" s="141"/>
      <c r="E1733" s="141"/>
      <c r="F1733" s="87"/>
      <c r="G1733" s="99"/>
      <c r="H1733" s="87"/>
      <c r="I1733" s="87"/>
      <c r="J1733" s="87"/>
    </row>
    <row r="1734">
      <c r="A1734" s="128"/>
      <c r="B1734" s="139"/>
      <c r="C1734" s="140"/>
      <c r="D1734" s="141"/>
      <c r="E1734" s="141"/>
      <c r="F1734" s="87"/>
      <c r="G1734" s="99"/>
      <c r="H1734" s="87"/>
      <c r="I1734" s="87"/>
      <c r="J1734" s="87"/>
    </row>
    <row r="1735">
      <c r="A1735" s="128"/>
      <c r="B1735" s="139"/>
      <c r="C1735" s="140"/>
      <c r="D1735" s="141"/>
      <c r="E1735" s="141"/>
      <c r="F1735" s="87"/>
      <c r="G1735" s="99"/>
      <c r="H1735" s="87"/>
      <c r="I1735" s="87"/>
      <c r="J1735" s="87"/>
    </row>
    <row r="1736">
      <c r="A1736" s="128"/>
      <c r="B1736" s="139"/>
      <c r="C1736" s="140"/>
      <c r="D1736" s="141"/>
      <c r="E1736" s="141"/>
      <c r="F1736" s="87"/>
      <c r="G1736" s="99"/>
      <c r="H1736" s="87"/>
      <c r="I1736" s="87"/>
      <c r="J1736" s="87"/>
    </row>
    <row r="1737">
      <c r="A1737" s="128"/>
      <c r="B1737" s="139"/>
      <c r="C1737" s="140"/>
      <c r="D1737" s="141"/>
      <c r="E1737" s="141"/>
      <c r="F1737" s="87"/>
      <c r="G1737" s="99"/>
      <c r="H1737" s="87"/>
      <c r="I1737" s="87"/>
      <c r="J1737" s="87"/>
    </row>
    <row r="1738">
      <c r="A1738" s="128"/>
      <c r="B1738" s="139"/>
      <c r="C1738" s="140"/>
      <c r="D1738" s="141"/>
      <c r="E1738" s="141"/>
      <c r="F1738" s="87"/>
      <c r="G1738" s="99"/>
      <c r="H1738" s="87"/>
      <c r="I1738" s="87"/>
      <c r="J1738" s="87"/>
    </row>
    <row r="1739">
      <c r="A1739" s="128"/>
      <c r="B1739" s="139"/>
      <c r="C1739" s="140"/>
      <c r="D1739" s="141"/>
      <c r="E1739" s="141"/>
      <c r="F1739" s="87"/>
      <c r="G1739" s="99"/>
      <c r="H1739" s="87"/>
      <c r="I1739" s="87"/>
      <c r="J1739" s="87"/>
    </row>
    <row r="1740">
      <c r="A1740" s="128"/>
      <c r="B1740" s="139"/>
      <c r="C1740" s="140"/>
      <c r="D1740" s="141"/>
      <c r="E1740" s="141"/>
      <c r="F1740" s="87"/>
      <c r="G1740" s="99"/>
      <c r="H1740" s="87"/>
      <c r="I1740" s="87"/>
      <c r="J1740" s="87"/>
    </row>
    <row r="1741">
      <c r="A1741" s="128"/>
      <c r="B1741" s="139"/>
      <c r="C1741" s="140"/>
      <c r="D1741" s="141"/>
      <c r="E1741" s="141"/>
      <c r="F1741" s="87"/>
      <c r="G1741" s="99"/>
      <c r="H1741" s="87"/>
      <c r="I1741" s="87"/>
      <c r="J1741" s="87"/>
    </row>
    <row r="1742">
      <c r="A1742" s="128"/>
      <c r="B1742" s="139"/>
      <c r="C1742" s="140"/>
      <c r="D1742" s="141"/>
      <c r="E1742" s="141"/>
      <c r="F1742" s="87"/>
      <c r="G1742" s="99"/>
      <c r="H1742" s="87"/>
      <c r="I1742" s="87"/>
      <c r="J1742" s="87"/>
    </row>
    <row r="1743">
      <c r="A1743" s="128"/>
      <c r="B1743" s="139"/>
      <c r="C1743" s="140"/>
      <c r="D1743" s="141"/>
      <c r="E1743" s="141"/>
      <c r="F1743" s="87"/>
      <c r="G1743" s="99"/>
      <c r="H1743" s="87"/>
      <c r="I1743" s="87"/>
      <c r="J1743" s="87"/>
    </row>
    <row r="1744">
      <c r="A1744" s="128"/>
      <c r="B1744" s="139"/>
      <c r="C1744" s="140"/>
      <c r="D1744" s="141"/>
      <c r="E1744" s="141"/>
      <c r="F1744" s="87"/>
      <c r="G1744" s="99"/>
      <c r="H1744" s="87"/>
      <c r="I1744" s="87"/>
      <c r="J1744" s="87"/>
    </row>
    <row r="1745">
      <c r="A1745" s="128"/>
      <c r="B1745" s="139"/>
      <c r="C1745" s="140"/>
      <c r="D1745" s="141"/>
      <c r="E1745" s="141"/>
      <c r="F1745" s="87"/>
      <c r="G1745" s="99"/>
      <c r="H1745" s="87"/>
      <c r="I1745" s="87"/>
      <c r="J1745" s="87"/>
    </row>
    <row r="1746">
      <c r="A1746" s="128"/>
      <c r="B1746" s="139"/>
      <c r="C1746" s="140"/>
      <c r="D1746" s="141"/>
      <c r="E1746" s="141"/>
      <c r="F1746" s="87"/>
      <c r="G1746" s="99"/>
      <c r="H1746" s="87"/>
      <c r="I1746" s="87"/>
      <c r="J1746" s="87"/>
    </row>
    <row r="1747">
      <c r="A1747" s="128"/>
      <c r="B1747" s="139"/>
      <c r="C1747" s="140"/>
      <c r="D1747" s="141"/>
      <c r="E1747" s="141"/>
      <c r="F1747" s="87"/>
      <c r="G1747" s="99"/>
      <c r="H1747" s="87"/>
      <c r="I1747" s="87"/>
      <c r="J1747" s="87"/>
    </row>
    <row r="1748">
      <c r="A1748" s="128"/>
      <c r="B1748" s="139"/>
      <c r="C1748" s="140"/>
      <c r="D1748" s="141"/>
      <c r="E1748" s="141"/>
      <c r="F1748" s="87"/>
      <c r="G1748" s="99"/>
      <c r="H1748" s="87"/>
      <c r="I1748" s="87"/>
      <c r="J1748" s="87"/>
    </row>
    <row r="1749">
      <c r="A1749" s="128"/>
      <c r="B1749" s="139"/>
      <c r="C1749" s="140"/>
      <c r="D1749" s="141"/>
      <c r="E1749" s="141"/>
      <c r="F1749" s="87"/>
      <c r="G1749" s="99"/>
      <c r="H1749" s="87"/>
      <c r="I1749" s="87"/>
      <c r="J1749" s="87"/>
    </row>
    <row r="1750">
      <c r="A1750" s="128"/>
      <c r="B1750" s="139"/>
      <c r="C1750" s="140"/>
      <c r="D1750" s="141"/>
      <c r="E1750" s="141"/>
      <c r="F1750" s="87"/>
      <c r="G1750" s="99"/>
      <c r="H1750" s="87"/>
      <c r="I1750" s="87"/>
      <c r="J1750" s="87"/>
    </row>
    <row r="1751">
      <c r="A1751" s="128"/>
      <c r="B1751" s="139"/>
      <c r="C1751" s="140"/>
      <c r="D1751" s="141"/>
      <c r="E1751" s="141"/>
      <c r="F1751" s="87"/>
      <c r="G1751" s="99"/>
      <c r="H1751" s="87"/>
      <c r="I1751" s="87"/>
      <c r="J1751" s="87"/>
    </row>
    <row r="1752">
      <c r="A1752" s="128"/>
      <c r="B1752" s="139"/>
      <c r="C1752" s="140"/>
      <c r="D1752" s="141"/>
      <c r="E1752" s="141"/>
      <c r="F1752" s="87"/>
      <c r="G1752" s="99"/>
      <c r="H1752" s="87"/>
      <c r="I1752" s="87"/>
      <c r="J1752" s="87"/>
    </row>
    <row r="1753">
      <c r="A1753" s="128"/>
      <c r="B1753" s="139"/>
      <c r="C1753" s="140"/>
      <c r="D1753" s="141"/>
      <c r="E1753" s="141"/>
      <c r="F1753" s="87"/>
      <c r="G1753" s="99"/>
      <c r="H1753" s="87"/>
      <c r="I1753" s="87"/>
      <c r="J1753" s="87"/>
    </row>
    <row r="1754">
      <c r="A1754" s="128"/>
      <c r="B1754" s="139"/>
      <c r="C1754" s="140"/>
      <c r="D1754" s="141"/>
      <c r="E1754" s="141"/>
      <c r="F1754" s="87"/>
      <c r="G1754" s="99"/>
      <c r="H1754" s="87"/>
      <c r="I1754" s="87"/>
      <c r="J1754" s="87"/>
    </row>
    <row r="1755">
      <c r="A1755" s="128"/>
      <c r="B1755" s="139"/>
      <c r="C1755" s="140"/>
      <c r="D1755" s="141"/>
      <c r="E1755" s="141"/>
      <c r="F1755" s="87"/>
      <c r="G1755" s="99"/>
      <c r="H1755" s="87"/>
      <c r="I1755" s="87"/>
      <c r="J1755" s="87"/>
    </row>
    <row r="1756">
      <c r="A1756" s="128"/>
      <c r="B1756" s="139"/>
      <c r="C1756" s="140"/>
      <c r="D1756" s="141"/>
      <c r="E1756" s="141"/>
      <c r="F1756" s="87"/>
      <c r="G1756" s="99"/>
      <c r="H1756" s="87"/>
      <c r="I1756" s="87"/>
      <c r="J1756" s="87"/>
    </row>
    <row r="1757">
      <c r="A1757" s="128"/>
      <c r="B1757" s="139"/>
      <c r="C1757" s="140"/>
      <c r="D1757" s="141"/>
      <c r="E1757" s="141"/>
      <c r="F1757" s="87"/>
      <c r="G1757" s="99"/>
      <c r="H1757" s="87"/>
      <c r="I1757" s="87"/>
      <c r="J1757" s="87"/>
    </row>
    <row r="1758">
      <c r="A1758" s="128"/>
      <c r="B1758" s="139"/>
      <c r="C1758" s="140"/>
      <c r="D1758" s="141"/>
      <c r="E1758" s="141"/>
      <c r="F1758" s="87"/>
      <c r="G1758" s="99"/>
      <c r="H1758" s="87"/>
      <c r="I1758" s="87"/>
      <c r="J1758" s="87"/>
    </row>
    <row r="1759">
      <c r="A1759" s="128"/>
      <c r="B1759" s="139"/>
      <c r="C1759" s="140"/>
      <c r="D1759" s="141"/>
      <c r="E1759" s="141"/>
      <c r="F1759" s="87"/>
      <c r="G1759" s="99"/>
      <c r="H1759" s="87"/>
      <c r="I1759" s="87"/>
      <c r="J1759" s="87"/>
    </row>
    <row r="1760">
      <c r="A1760" s="128"/>
      <c r="B1760" s="139"/>
      <c r="C1760" s="140"/>
      <c r="D1760" s="141"/>
      <c r="E1760" s="141"/>
      <c r="F1760" s="87"/>
      <c r="G1760" s="99"/>
      <c r="H1760" s="87"/>
      <c r="I1760" s="87"/>
      <c r="J1760" s="87"/>
    </row>
    <row r="1761">
      <c r="A1761" s="128"/>
      <c r="B1761" s="139"/>
      <c r="C1761" s="140"/>
      <c r="D1761" s="141"/>
      <c r="E1761" s="141"/>
      <c r="F1761" s="87"/>
      <c r="G1761" s="99"/>
      <c r="H1761" s="87"/>
      <c r="I1761" s="87"/>
      <c r="J1761" s="87"/>
    </row>
    <row r="1762">
      <c r="A1762" s="128"/>
      <c r="B1762" s="139"/>
      <c r="C1762" s="140"/>
      <c r="D1762" s="141"/>
      <c r="E1762" s="141"/>
      <c r="F1762" s="87"/>
      <c r="G1762" s="99"/>
      <c r="H1762" s="87"/>
      <c r="I1762" s="87"/>
      <c r="J1762" s="87"/>
    </row>
    <row r="1763">
      <c r="A1763" s="128"/>
      <c r="B1763" s="139"/>
      <c r="C1763" s="140"/>
      <c r="D1763" s="141"/>
      <c r="E1763" s="141"/>
      <c r="F1763" s="87"/>
      <c r="G1763" s="99"/>
      <c r="H1763" s="87"/>
      <c r="I1763" s="87"/>
      <c r="J1763" s="87"/>
    </row>
    <row r="1764">
      <c r="A1764" s="128"/>
      <c r="B1764" s="139"/>
      <c r="C1764" s="140"/>
      <c r="D1764" s="141"/>
      <c r="E1764" s="141"/>
      <c r="F1764" s="87"/>
      <c r="G1764" s="99"/>
      <c r="H1764" s="87"/>
      <c r="I1764" s="87"/>
      <c r="J1764" s="87"/>
    </row>
    <row r="1765">
      <c r="A1765" s="128"/>
      <c r="B1765" s="139"/>
      <c r="C1765" s="140"/>
      <c r="D1765" s="141"/>
      <c r="E1765" s="141"/>
      <c r="F1765" s="87"/>
      <c r="G1765" s="99"/>
      <c r="H1765" s="87"/>
      <c r="I1765" s="87"/>
      <c r="J1765" s="87"/>
    </row>
    <row r="1766">
      <c r="A1766" s="128"/>
      <c r="B1766" s="139"/>
      <c r="C1766" s="140"/>
      <c r="D1766" s="141"/>
      <c r="E1766" s="141"/>
      <c r="F1766" s="87"/>
      <c r="G1766" s="99"/>
      <c r="H1766" s="87"/>
      <c r="I1766" s="87"/>
      <c r="J1766" s="87"/>
    </row>
    <row r="1767">
      <c r="A1767" s="128"/>
      <c r="B1767" s="139"/>
      <c r="C1767" s="140"/>
      <c r="D1767" s="141"/>
      <c r="E1767" s="141"/>
      <c r="F1767" s="87"/>
      <c r="G1767" s="99"/>
      <c r="H1767" s="87"/>
      <c r="I1767" s="87"/>
      <c r="J1767" s="87"/>
    </row>
    <row r="1768">
      <c r="A1768" s="128"/>
      <c r="B1768" s="139"/>
      <c r="C1768" s="140"/>
      <c r="D1768" s="141"/>
      <c r="E1768" s="141"/>
      <c r="F1768" s="87"/>
      <c r="G1768" s="99"/>
      <c r="H1768" s="87"/>
      <c r="I1768" s="87"/>
      <c r="J1768" s="87"/>
    </row>
    <row r="1769">
      <c r="A1769" s="128"/>
      <c r="B1769" s="139"/>
      <c r="C1769" s="140"/>
      <c r="D1769" s="141"/>
      <c r="E1769" s="141"/>
      <c r="F1769" s="87"/>
      <c r="G1769" s="99"/>
      <c r="H1769" s="87"/>
      <c r="I1769" s="87"/>
      <c r="J1769" s="87"/>
    </row>
    <row r="1770">
      <c r="A1770" s="128"/>
      <c r="B1770" s="139"/>
      <c r="C1770" s="140"/>
      <c r="D1770" s="141"/>
      <c r="E1770" s="141"/>
      <c r="F1770" s="87"/>
      <c r="G1770" s="99"/>
      <c r="H1770" s="87"/>
      <c r="I1770" s="87"/>
      <c r="J1770" s="87"/>
    </row>
    <row r="1771">
      <c r="A1771" s="128"/>
      <c r="B1771" s="139"/>
      <c r="C1771" s="140"/>
      <c r="D1771" s="141"/>
      <c r="E1771" s="141"/>
      <c r="F1771" s="87"/>
      <c r="G1771" s="99"/>
      <c r="H1771" s="87"/>
      <c r="I1771" s="87"/>
      <c r="J1771" s="87"/>
    </row>
    <row r="1772">
      <c r="A1772" s="128"/>
      <c r="B1772" s="139"/>
      <c r="C1772" s="140"/>
      <c r="D1772" s="141"/>
      <c r="E1772" s="141"/>
      <c r="F1772" s="87"/>
      <c r="G1772" s="99"/>
      <c r="H1772" s="87"/>
      <c r="I1772" s="87"/>
      <c r="J1772" s="87"/>
    </row>
    <row r="1773">
      <c r="A1773" s="128"/>
      <c r="B1773" s="139"/>
      <c r="C1773" s="140"/>
      <c r="D1773" s="141"/>
      <c r="E1773" s="141"/>
      <c r="F1773" s="87"/>
      <c r="G1773" s="99"/>
      <c r="H1773" s="87"/>
      <c r="I1773" s="87"/>
      <c r="J1773" s="87"/>
    </row>
    <row r="1774">
      <c r="A1774" s="128"/>
      <c r="B1774" s="139"/>
      <c r="C1774" s="140"/>
      <c r="D1774" s="141"/>
      <c r="E1774" s="141"/>
      <c r="F1774" s="87"/>
      <c r="G1774" s="99"/>
      <c r="H1774" s="87"/>
      <c r="I1774" s="87"/>
      <c r="J1774" s="87"/>
    </row>
    <row r="1775">
      <c r="A1775" s="128"/>
      <c r="B1775" s="139"/>
      <c r="C1775" s="140"/>
      <c r="D1775" s="141"/>
      <c r="E1775" s="141"/>
      <c r="F1775" s="87"/>
      <c r="G1775" s="99"/>
      <c r="H1775" s="87"/>
      <c r="I1775" s="87"/>
      <c r="J1775" s="87"/>
    </row>
    <row r="1776">
      <c r="A1776" s="128"/>
      <c r="B1776" s="139"/>
      <c r="C1776" s="140"/>
      <c r="D1776" s="141"/>
      <c r="E1776" s="141"/>
      <c r="F1776" s="87"/>
      <c r="G1776" s="99"/>
      <c r="H1776" s="87"/>
      <c r="I1776" s="87"/>
      <c r="J1776" s="87"/>
    </row>
    <row r="1777">
      <c r="A1777" s="128"/>
      <c r="B1777" s="139"/>
      <c r="C1777" s="140"/>
      <c r="D1777" s="141"/>
      <c r="E1777" s="141"/>
      <c r="F1777" s="87"/>
      <c r="G1777" s="99"/>
      <c r="H1777" s="87"/>
      <c r="I1777" s="87"/>
      <c r="J1777" s="87"/>
    </row>
    <row r="1778">
      <c r="A1778" s="128"/>
      <c r="B1778" s="139"/>
      <c r="C1778" s="140"/>
      <c r="D1778" s="141"/>
      <c r="E1778" s="141"/>
      <c r="F1778" s="87"/>
      <c r="G1778" s="99"/>
      <c r="H1778" s="87"/>
      <c r="I1778" s="87"/>
      <c r="J1778" s="87"/>
    </row>
    <row r="1779">
      <c r="A1779" s="128"/>
      <c r="B1779" s="139"/>
      <c r="C1779" s="140"/>
      <c r="D1779" s="141"/>
      <c r="E1779" s="141"/>
      <c r="F1779" s="87"/>
      <c r="G1779" s="99"/>
      <c r="H1779" s="87"/>
      <c r="I1779" s="87"/>
      <c r="J1779" s="87"/>
    </row>
    <row r="1780">
      <c r="A1780" s="128"/>
      <c r="B1780" s="139"/>
      <c r="C1780" s="140"/>
      <c r="D1780" s="141"/>
      <c r="E1780" s="141"/>
      <c r="F1780" s="87"/>
      <c r="G1780" s="99"/>
      <c r="H1780" s="87"/>
      <c r="I1780" s="87"/>
      <c r="J1780" s="87"/>
    </row>
    <row r="1781">
      <c r="A1781" s="128"/>
      <c r="B1781" s="139"/>
      <c r="C1781" s="140"/>
      <c r="D1781" s="141"/>
      <c r="E1781" s="141"/>
      <c r="F1781" s="87"/>
      <c r="G1781" s="99"/>
      <c r="H1781" s="87"/>
      <c r="I1781" s="87"/>
      <c r="J1781" s="87"/>
    </row>
    <row r="1782">
      <c r="A1782" s="128"/>
      <c r="B1782" s="139"/>
      <c r="C1782" s="140"/>
      <c r="D1782" s="141"/>
      <c r="E1782" s="141"/>
      <c r="F1782" s="87"/>
      <c r="G1782" s="99"/>
      <c r="H1782" s="87"/>
      <c r="I1782" s="87"/>
      <c r="J1782" s="87"/>
    </row>
    <row r="1783">
      <c r="A1783" s="128"/>
      <c r="B1783" s="139"/>
      <c r="C1783" s="140"/>
      <c r="D1783" s="141"/>
      <c r="E1783" s="141"/>
      <c r="F1783" s="87"/>
      <c r="G1783" s="99"/>
      <c r="H1783" s="87"/>
      <c r="I1783" s="87"/>
      <c r="J1783" s="87"/>
    </row>
    <row r="1784">
      <c r="A1784" s="128"/>
      <c r="B1784" s="139"/>
      <c r="C1784" s="140"/>
      <c r="D1784" s="141"/>
      <c r="E1784" s="141"/>
      <c r="F1784" s="87"/>
      <c r="G1784" s="99"/>
      <c r="H1784" s="87"/>
      <c r="I1784" s="87"/>
      <c r="J1784" s="87"/>
    </row>
    <row r="1785">
      <c r="A1785" s="128"/>
      <c r="B1785" s="139"/>
      <c r="C1785" s="140"/>
      <c r="D1785" s="141"/>
      <c r="E1785" s="141"/>
      <c r="F1785" s="87"/>
      <c r="G1785" s="99"/>
      <c r="H1785" s="87"/>
      <c r="I1785" s="87"/>
      <c r="J1785" s="87"/>
    </row>
    <row r="1786">
      <c r="A1786" s="128"/>
      <c r="B1786" s="139"/>
      <c r="C1786" s="140"/>
      <c r="D1786" s="141"/>
      <c r="E1786" s="141"/>
      <c r="F1786" s="87"/>
      <c r="G1786" s="99"/>
      <c r="H1786" s="87"/>
      <c r="I1786" s="87"/>
      <c r="J1786" s="87"/>
    </row>
    <row r="1787">
      <c r="A1787" s="128"/>
      <c r="B1787" s="139"/>
      <c r="C1787" s="140"/>
      <c r="D1787" s="141"/>
      <c r="E1787" s="141"/>
      <c r="F1787" s="87"/>
      <c r="G1787" s="99"/>
      <c r="H1787" s="87"/>
      <c r="I1787" s="87"/>
      <c r="J1787" s="87"/>
    </row>
    <row r="1788">
      <c r="A1788" s="128"/>
      <c r="B1788" s="139"/>
      <c r="C1788" s="140"/>
      <c r="D1788" s="141"/>
      <c r="E1788" s="141"/>
      <c r="F1788" s="87"/>
      <c r="G1788" s="99"/>
      <c r="H1788" s="87"/>
      <c r="I1788" s="87"/>
      <c r="J1788" s="87"/>
    </row>
    <row r="1789">
      <c r="A1789" s="128"/>
      <c r="B1789" s="139"/>
      <c r="C1789" s="140"/>
      <c r="D1789" s="141"/>
      <c r="E1789" s="141"/>
      <c r="F1789" s="87"/>
      <c r="G1789" s="99"/>
      <c r="H1789" s="87"/>
      <c r="I1789" s="87"/>
      <c r="J1789" s="87"/>
    </row>
    <row r="1790">
      <c r="A1790" s="128"/>
      <c r="B1790" s="139"/>
      <c r="C1790" s="140"/>
      <c r="D1790" s="141"/>
      <c r="E1790" s="141"/>
      <c r="F1790" s="87"/>
      <c r="G1790" s="99"/>
      <c r="H1790" s="87"/>
      <c r="I1790" s="87"/>
      <c r="J1790" s="87"/>
    </row>
    <row r="1791">
      <c r="A1791" s="128"/>
      <c r="B1791" s="139"/>
      <c r="C1791" s="140"/>
      <c r="D1791" s="141"/>
      <c r="E1791" s="141"/>
      <c r="F1791" s="87"/>
      <c r="G1791" s="99"/>
      <c r="H1791" s="87"/>
      <c r="I1791" s="87"/>
      <c r="J1791" s="87"/>
    </row>
    <row r="1792">
      <c r="A1792" s="128"/>
      <c r="B1792" s="139"/>
      <c r="C1792" s="140"/>
      <c r="D1792" s="141"/>
      <c r="E1792" s="141"/>
      <c r="F1792" s="87"/>
      <c r="G1792" s="99"/>
      <c r="H1792" s="87"/>
      <c r="I1792" s="87"/>
      <c r="J1792" s="87"/>
    </row>
    <row r="1793">
      <c r="A1793" s="128"/>
      <c r="B1793" s="139"/>
      <c r="C1793" s="140"/>
      <c r="D1793" s="141"/>
      <c r="E1793" s="141"/>
      <c r="F1793" s="87"/>
      <c r="G1793" s="99"/>
      <c r="H1793" s="87"/>
      <c r="I1793" s="87"/>
      <c r="J1793" s="87"/>
    </row>
    <row r="1794">
      <c r="A1794" s="128"/>
      <c r="B1794" s="139"/>
      <c r="C1794" s="140"/>
      <c r="D1794" s="141"/>
      <c r="E1794" s="141"/>
      <c r="F1794" s="87"/>
      <c r="G1794" s="99"/>
      <c r="H1794" s="87"/>
      <c r="I1794" s="87"/>
      <c r="J1794" s="87"/>
    </row>
    <row r="1795">
      <c r="A1795" s="128"/>
      <c r="B1795" s="139"/>
      <c r="C1795" s="140"/>
      <c r="D1795" s="141"/>
      <c r="E1795" s="141"/>
      <c r="F1795" s="87"/>
      <c r="G1795" s="99"/>
      <c r="H1795" s="87"/>
      <c r="I1795" s="87"/>
      <c r="J1795" s="87"/>
    </row>
    <row r="1796">
      <c r="A1796" s="128"/>
      <c r="B1796" s="139"/>
      <c r="C1796" s="140"/>
      <c r="D1796" s="141"/>
      <c r="E1796" s="141"/>
      <c r="F1796" s="87"/>
      <c r="G1796" s="99"/>
      <c r="H1796" s="87"/>
      <c r="I1796" s="87"/>
      <c r="J1796" s="87"/>
    </row>
    <row r="1797">
      <c r="A1797" s="128"/>
      <c r="B1797" s="139"/>
      <c r="C1797" s="140"/>
      <c r="D1797" s="141"/>
      <c r="E1797" s="141"/>
      <c r="F1797" s="87"/>
      <c r="G1797" s="99"/>
      <c r="H1797" s="87"/>
      <c r="I1797" s="87"/>
      <c r="J1797" s="87"/>
    </row>
    <row r="1798">
      <c r="A1798" s="128"/>
      <c r="B1798" s="139"/>
      <c r="C1798" s="140"/>
      <c r="D1798" s="141"/>
      <c r="E1798" s="141"/>
      <c r="F1798" s="87"/>
      <c r="G1798" s="99"/>
      <c r="H1798" s="87"/>
      <c r="I1798" s="87"/>
      <c r="J1798" s="87"/>
    </row>
    <row r="1799">
      <c r="A1799" s="128"/>
      <c r="B1799" s="139"/>
      <c r="C1799" s="140"/>
      <c r="D1799" s="141"/>
      <c r="E1799" s="141"/>
      <c r="F1799" s="87"/>
      <c r="G1799" s="99"/>
      <c r="H1799" s="87"/>
      <c r="I1799" s="87"/>
      <c r="J1799" s="87"/>
    </row>
    <row r="1800">
      <c r="A1800" s="128"/>
      <c r="B1800" s="139"/>
      <c r="C1800" s="140"/>
      <c r="D1800" s="141"/>
      <c r="E1800" s="141"/>
      <c r="F1800" s="87"/>
      <c r="G1800" s="99"/>
      <c r="H1800" s="87"/>
      <c r="I1800" s="87"/>
      <c r="J1800" s="87"/>
    </row>
    <row r="1801">
      <c r="A1801" s="128"/>
      <c r="B1801" s="139"/>
      <c r="C1801" s="140"/>
      <c r="D1801" s="141"/>
      <c r="E1801" s="141"/>
      <c r="F1801" s="87"/>
      <c r="G1801" s="99"/>
      <c r="H1801" s="87"/>
      <c r="I1801" s="87"/>
      <c r="J1801" s="87"/>
    </row>
    <row r="1802">
      <c r="A1802" s="128"/>
      <c r="B1802" s="139"/>
      <c r="C1802" s="140"/>
      <c r="D1802" s="141"/>
      <c r="E1802" s="141"/>
      <c r="F1802" s="87"/>
      <c r="G1802" s="99"/>
      <c r="H1802" s="87"/>
      <c r="I1802" s="87"/>
      <c r="J1802" s="87"/>
    </row>
    <row r="1803">
      <c r="A1803" s="128"/>
      <c r="B1803" s="139"/>
      <c r="C1803" s="140"/>
      <c r="D1803" s="141"/>
      <c r="E1803" s="141"/>
      <c r="F1803" s="87"/>
      <c r="G1803" s="99"/>
      <c r="H1803" s="87"/>
      <c r="I1803" s="87"/>
      <c r="J1803" s="87"/>
    </row>
    <row r="1804">
      <c r="A1804" s="128"/>
      <c r="B1804" s="139"/>
      <c r="C1804" s="140"/>
      <c r="D1804" s="141"/>
      <c r="E1804" s="141"/>
      <c r="F1804" s="87"/>
      <c r="G1804" s="99"/>
      <c r="H1804" s="87"/>
      <c r="I1804" s="87"/>
      <c r="J1804" s="87"/>
    </row>
    <row r="1805">
      <c r="A1805" s="128"/>
      <c r="B1805" s="139"/>
      <c r="C1805" s="140"/>
      <c r="D1805" s="141"/>
      <c r="E1805" s="141"/>
      <c r="F1805" s="87"/>
      <c r="G1805" s="99"/>
      <c r="H1805" s="87"/>
      <c r="I1805" s="87"/>
      <c r="J1805" s="87"/>
    </row>
    <row r="1806">
      <c r="A1806" s="128"/>
      <c r="B1806" s="139"/>
      <c r="C1806" s="140"/>
      <c r="D1806" s="141"/>
      <c r="E1806" s="141"/>
      <c r="F1806" s="87"/>
      <c r="G1806" s="99"/>
      <c r="H1806" s="87"/>
      <c r="I1806" s="87"/>
      <c r="J1806" s="87"/>
    </row>
    <row r="1807">
      <c r="A1807" s="128"/>
      <c r="B1807" s="139"/>
      <c r="C1807" s="140"/>
      <c r="D1807" s="141"/>
      <c r="E1807" s="141"/>
      <c r="F1807" s="87"/>
      <c r="G1807" s="99"/>
      <c r="H1807" s="87"/>
      <c r="I1807" s="87"/>
      <c r="J1807" s="87"/>
    </row>
    <row r="1808">
      <c r="A1808" s="128"/>
      <c r="B1808" s="139"/>
      <c r="C1808" s="140"/>
      <c r="D1808" s="141"/>
      <c r="E1808" s="141"/>
      <c r="F1808" s="87"/>
      <c r="G1808" s="99"/>
      <c r="H1808" s="87"/>
      <c r="I1808" s="87"/>
      <c r="J1808" s="87"/>
    </row>
    <row r="1809">
      <c r="A1809" s="128"/>
      <c r="B1809" s="139"/>
      <c r="C1809" s="140"/>
      <c r="D1809" s="141"/>
      <c r="E1809" s="141"/>
      <c r="F1809" s="87"/>
      <c r="G1809" s="99"/>
      <c r="H1809" s="87"/>
      <c r="I1809" s="87"/>
      <c r="J1809" s="87"/>
    </row>
    <row r="1810">
      <c r="A1810" s="128"/>
      <c r="B1810" s="139"/>
      <c r="C1810" s="140"/>
      <c r="D1810" s="141"/>
      <c r="E1810" s="141"/>
      <c r="F1810" s="87"/>
      <c r="G1810" s="99"/>
      <c r="H1810" s="87"/>
      <c r="I1810" s="87"/>
      <c r="J1810" s="87"/>
    </row>
    <row r="1811">
      <c r="A1811" s="128"/>
      <c r="B1811" s="139"/>
      <c r="C1811" s="140"/>
      <c r="D1811" s="141"/>
      <c r="E1811" s="141"/>
      <c r="F1811" s="87"/>
      <c r="G1811" s="99"/>
      <c r="H1811" s="87"/>
      <c r="I1811" s="87"/>
      <c r="J1811" s="87"/>
    </row>
    <row r="1812">
      <c r="A1812" s="128"/>
      <c r="B1812" s="139"/>
      <c r="C1812" s="140"/>
      <c r="D1812" s="141"/>
      <c r="E1812" s="141"/>
      <c r="F1812" s="87"/>
      <c r="G1812" s="99"/>
      <c r="H1812" s="87"/>
      <c r="I1812" s="87"/>
      <c r="J1812" s="87"/>
    </row>
    <row r="1813">
      <c r="A1813" s="128"/>
      <c r="B1813" s="139"/>
      <c r="C1813" s="140"/>
      <c r="D1813" s="141"/>
      <c r="E1813" s="141"/>
      <c r="F1813" s="87"/>
      <c r="G1813" s="99"/>
      <c r="H1813" s="87"/>
      <c r="I1813" s="87"/>
      <c r="J1813" s="87"/>
    </row>
    <row r="1814">
      <c r="A1814" s="128"/>
      <c r="B1814" s="139"/>
      <c r="C1814" s="140"/>
      <c r="D1814" s="141"/>
      <c r="E1814" s="141"/>
      <c r="F1814" s="87"/>
      <c r="G1814" s="99"/>
      <c r="H1814" s="87"/>
      <c r="I1814" s="87"/>
      <c r="J1814" s="87"/>
    </row>
    <row r="1815">
      <c r="A1815" s="128"/>
      <c r="B1815" s="139"/>
      <c r="C1815" s="140"/>
      <c r="D1815" s="141"/>
      <c r="E1815" s="141"/>
      <c r="F1815" s="87"/>
      <c r="G1815" s="99"/>
      <c r="H1815" s="87"/>
      <c r="I1815" s="87"/>
      <c r="J1815" s="87"/>
    </row>
    <row r="1816">
      <c r="A1816" s="128"/>
      <c r="B1816" s="139"/>
      <c r="C1816" s="140"/>
      <c r="D1816" s="141"/>
      <c r="E1816" s="141"/>
      <c r="F1816" s="87"/>
      <c r="G1816" s="99"/>
      <c r="H1816" s="87"/>
      <c r="I1816" s="87"/>
      <c r="J1816" s="87"/>
    </row>
    <row r="1817">
      <c r="A1817" s="128"/>
      <c r="B1817" s="139"/>
      <c r="C1817" s="140"/>
      <c r="D1817" s="141"/>
      <c r="E1817" s="141"/>
      <c r="F1817" s="87"/>
      <c r="G1817" s="99"/>
      <c r="H1817" s="87"/>
      <c r="I1817" s="87"/>
      <c r="J1817" s="87"/>
    </row>
    <row r="1818">
      <c r="A1818" s="128"/>
      <c r="B1818" s="139"/>
      <c r="C1818" s="140"/>
      <c r="D1818" s="141"/>
      <c r="E1818" s="141"/>
      <c r="F1818" s="87"/>
      <c r="G1818" s="99"/>
      <c r="H1818" s="87"/>
      <c r="I1818" s="87"/>
      <c r="J1818" s="87"/>
    </row>
    <row r="1819">
      <c r="A1819" s="128"/>
      <c r="B1819" s="139"/>
      <c r="C1819" s="140"/>
      <c r="D1819" s="141"/>
      <c r="E1819" s="141"/>
      <c r="F1819" s="87"/>
      <c r="G1819" s="99"/>
      <c r="H1819" s="87"/>
      <c r="I1819" s="87"/>
      <c r="J1819" s="87"/>
    </row>
    <row r="1820">
      <c r="A1820" s="128"/>
      <c r="B1820" s="139"/>
      <c r="C1820" s="140"/>
      <c r="D1820" s="141"/>
      <c r="E1820" s="141"/>
      <c r="F1820" s="87"/>
      <c r="G1820" s="99"/>
      <c r="H1820" s="87"/>
      <c r="I1820" s="87"/>
      <c r="J1820" s="87"/>
    </row>
    <row r="1821">
      <c r="A1821" s="128"/>
      <c r="B1821" s="139"/>
      <c r="C1821" s="140"/>
      <c r="D1821" s="141"/>
      <c r="E1821" s="141"/>
      <c r="F1821" s="87"/>
      <c r="G1821" s="99"/>
      <c r="H1821" s="87"/>
      <c r="I1821" s="87"/>
      <c r="J1821" s="87"/>
    </row>
    <row r="1822">
      <c r="A1822" s="128"/>
      <c r="B1822" s="139"/>
      <c r="C1822" s="140"/>
      <c r="D1822" s="141"/>
      <c r="E1822" s="141"/>
      <c r="F1822" s="87"/>
      <c r="G1822" s="99"/>
      <c r="H1822" s="87"/>
      <c r="I1822" s="87"/>
      <c r="J1822" s="87"/>
    </row>
    <row r="1823">
      <c r="A1823" s="128"/>
      <c r="B1823" s="139"/>
      <c r="C1823" s="140"/>
      <c r="D1823" s="141"/>
      <c r="E1823" s="141"/>
      <c r="F1823" s="87"/>
      <c r="G1823" s="99"/>
      <c r="H1823" s="87"/>
      <c r="I1823" s="87"/>
      <c r="J1823" s="87"/>
    </row>
    <row r="1824">
      <c r="A1824" s="128"/>
      <c r="B1824" s="139"/>
      <c r="C1824" s="140"/>
      <c r="D1824" s="141"/>
      <c r="E1824" s="141"/>
      <c r="F1824" s="87"/>
      <c r="G1824" s="99"/>
      <c r="H1824" s="87"/>
      <c r="I1824" s="87"/>
      <c r="J1824" s="87"/>
    </row>
    <row r="1825">
      <c r="A1825" s="128"/>
      <c r="B1825" s="139"/>
      <c r="C1825" s="140"/>
      <c r="D1825" s="141"/>
      <c r="E1825" s="141"/>
      <c r="F1825" s="87"/>
      <c r="G1825" s="99"/>
      <c r="H1825" s="87"/>
      <c r="I1825" s="87"/>
      <c r="J1825" s="87"/>
    </row>
    <row r="1826">
      <c r="A1826" s="128"/>
      <c r="B1826" s="139"/>
      <c r="C1826" s="140"/>
      <c r="D1826" s="141"/>
      <c r="E1826" s="141"/>
      <c r="F1826" s="87"/>
      <c r="G1826" s="99"/>
      <c r="H1826" s="87"/>
      <c r="I1826" s="87"/>
      <c r="J1826" s="87"/>
    </row>
    <row r="1827">
      <c r="A1827" s="128"/>
      <c r="B1827" s="139"/>
      <c r="C1827" s="140"/>
      <c r="D1827" s="141"/>
      <c r="E1827" s="141"/>
      <c r="F1827" s="87"/>
      <c r="G1827" s="99"/>
      <c r="H1827" s="87"/>
      <c r="I1827" s="87"/>
      <c r="J1827" s="87"/>
    </row>
    <row r="1828">
      <c r="A1828" s="128"/>
      <c r="B1828" s="139"/>
      <c r="C1828" s="140"/>
      <c r="D1828" s="141"/>
      <c r="E1828" s="141"/>
      <c r="F1828" s="87"/>
      <c r="G1828" s="99"/>
      <c r="H1828" s="87"/>
      <c r="I1828" s="87"/>
      <c r="J1828" s="87"/>
    </row>
    <row r="1829">
      <c r="A1829" s="128"/>
      <c r="B1829" s="139"/>
      <c r="C1829" s="140"/>
      <c r="D1829" s="141"/>
      <c r="E1829" s="141"/>
      <c r="F1829" s="87"/>
      <c r="G1829" s="99"/>
      <c r="H1829" s="87"/>
      <c r="I1829" s="87"/>
      <c r="J1829" s="87"/>
    </row>
    <row r="1830">
      <c r="A1830" s="128"/>
      <c r="B1830" s="139"/>
      <c r="C1830" s="140"/>
      <c r="D1830" s="141"/>
      <c r="E1830" s="141"/>
      <c r="F1830" s="87"/>
      <c r="G1830" s="99"/>
      <c r="H1830" s="87"/>
      <c r="I1830" s="87"/>
      <c r="J1830" s="87"/>
    </row>
    <row r="1831">
      <c r="A1831" s="128"/>
      <c r="B1831" s="139"/>
      <c r="C1831" s="140"/>
      <c r="D1831" s="141"/>
      <c r="E1831" s="141"/>
      <c r="F1831" s="87"/>
      <c r="G1831" s="99"/>
      <c r="H1831" s="87"/>
      <c r="I1831" s="87"/>
      <c r="J1831" s="87"/>
    </row>
    <row r="1832">
      <c r="A1832" s="128"/>
      <c r="B1832" s="139"/>
      <c r="C1832" s="140"/>
      <c r="D1832" s="141"/>
      <c r="E1832" s="141"/>
      <c r="F1832" s="87"/>
      <c r="G1832" s="99"/>
      <c r="H1832" s="87"/>
      <c r="I1832" s="87"/>
      <c r="J1832" s="87"/>
    </row>
    <row r="1833">
      <c r="A1833" s="128"/>
      <c r="B1833" s="139"/>
      <c r="C1833" s="140"/>
      <c r="D1833" s="141"/>
      <c r="E1833" s="141"/>
      <c r="F1833" s="87"/>
      <c r="G1833" s="99"/>
      <c r="H1833" s="87"/>
      <c r="I1833" s="87"/>
      <c r="J1833" s="87"/>
    </row>
    <row r="1834">
      <c r="A1834" s="128"/>
      <c r="B1834" s="139"/>
      <c r="C1834" s="140"/>
      <c r="D1834" s="141"/>
      <c r="E1834" s="141"/>
      <c r="F1834" s="87"/>
      <c r="G1834" s="99"/>
      <c r="H1834" s="87"/>
      <c r="I1834" s="87"/>
      <c r="J1834" s="87"/>
    </row>
    <row r="1835">
      <c r="A1835" s="128"/>
      <c r="B1835" s="139"/>
      <c r="C1835" s="140"/>
      <c r="D1835" s="141"/>
      <c r="E1835" s="141"/>
      <c r="F1835" s="87"/>
      <c r="G1835" s="99"/>
      <c r="H1835" s="87"/>
      <c r="I1835" s="87"/>
      <c r="J1835" s="87"/>
    </row>
    <row r="1836">
      <c r="A1836" s="128"/>
      <c r="B1836" s="139"/>
      <c r="C1836" s="140"/>
      <c r="D1836" s="141"/>
      <c r="E1836" s="141"/>
      <c r="F1836" s="87"/>
      <c r="G1836" s="99"/>
      <c r="H1836" s="87"/>
      <c r="I1836" s="87"/>
      <c r="J1836" s="87"/>
    </row>
    <row r="1837">
      <c r="A1837" s="128"/>
      <c r="B1837" s="139"/>
      <c r="C1837" s="140"/>
      <c r="D1837" s="141"/>
      <c r="E1837" s="141"/>
      <c r="F1837" s="87"/>
      <c r="G1837" s="99"/>
      <c r="H1837" s="87"/>
      <c r="I1837" s="87"/>
      <c r="J1837" s="87"/>
    </row>
    <row r="1838">
      <c r="A1838" s="128"/>
      <c r="B1838" s="139"/>
      <c r="C1838" s="140"/>
      <c r="D1838" s="141"/>
      <c r="E1838" s="141"/>
      <c r="F1838" s="87"/>
      <c r="G1838" s="99"/>
      <c r="H1838" s="87"/>
      <c r="I1838" s="87"/>
      <c r="J1838" s="87"/>
    </row>
    <row r="1839">
      <c r="A1839" s="128"/>
      <c r="B1839" s="139"/>
      <c r="C1839" s="140"/>
      <c r="D1839" s="141"/>
      <c r="E1839" s="141"/>
      <c r="F1839" s="87"/>
      <c r="G1839" s="99"/>
      <c r="H1839" s="87"/>
      <c r="I1839" s="87"/>
      <c r="J1839" s="87"/>
    </row>
    <row r="1840">
      <c r="A1840" s="128"/>
      <c r="B1840" s="139"/>
      <c r="C1840" s="140"/>
      <c r="D1840" s="141"/>
      <c r="E1840" s="141"/>
      <c r="F1840" s="87"/>
      <c r="G1840" s="99"/>
      <c r="H1840" s="87"/>
      <c r="I1840" s="87"/>
      <c r="J1840" s="87"/>
    </row>
    <row r="1841">
      <c r="A1841" s="128"/>
      <c r="B1841" s="139"/>
      <c r="C1841" s="140"/>
      <c r="D1841" s="141"/>
      <c r="E1841" s="141"/>
      <c r="F1841" s="87"/>
      <c r="G1841" s="99"/>
      <c r="H1841" s="87"/>
      <c r="I1841" s="87"/>
      <c r="J1841" s="87"/>
    </row>
    <row r="1842">
      <c r="A1842" s="128"/>
      <c r="B1842" s="139"/>
      <c r="C1842" s="140"/>
      <c r="D1842" s="141"/>
      <c r="E1842" s="141"/>
      <c r="F1842" s="87"/>
      <c r="G1842" s="99"/>
      <c r="H1842" s="87"/>
      <c r="I1842" s="87"/>
      <c r="J1842" s="87"/>
    </row>
    <row r="1843">
      <c r="A1843" s="128"/>
      <c r="B1843" s="139"/>
      <c r="C1843" s="140"/>
      <c r="D1843" s="141"/>
      <c r="E1843" s="141"/>
      <c r="F1843" s="87"/>
      <c r="G1843" s="99"/>
      <c r="H1843" s="87"/>
      <c r="I1843" s="87"/>
      <c r="J1843" s="87"/>
    </row>
    <row r="1844">
      <c r="A1844" s="128"/>
      <c r="B1844" s="139"/>
      <c r="C1844" s="140"/>
      <c r="D1844" s="141"/>
      <c r="E1844" s="141"/>
      <c r="F1844" s="87"/>
      <c r="G1844" s="99"/>
      <c r="H1844" s="87"/>
      <c r="I1844" s="87"/>
      <c r="J1844" s="87"/>
    </row>
    <row r="1845">
      <c r="A1845" s="128"/>
      <c r="B1845" s="139"/>
      <c r="C1845" s="140"/>
      <c r="D1845" s="141"/>
      <c r="E1845" s="141"/>
      <c r="F1845" s="87"/>
      <c r="G1845" s="99"/>
      <c r="H1845" s="87"/>
      <c r="I1845" s="87"/>
      <c r="J1845" s="87"/>
    </row>
    <row r="1846">
      <c r="A1846" s="128"/>
      <c r="B1846" s="139"/>
      <c r="C1846" s="140"/>
      <c r="D1846" s="141"/>
      <c r="E1846" s="141"/>
      <c r="F1846" s="87"/>
      <c r="G1846" s="99"/>
      <c r="H1846" s="87"/>
      <c r="I1846" s="87"/>
      <c r="J1846" s="87"/>
    </row>
    <row r="1847">
      <c r="A1847" s="128"/>
      <c r="B1847" s="139"/>
      <c r="C1847" s="140"/>
      <c r="D1847" s="141"/>
      <c r="E1847" s="141"/>
      <c r="F1847" s="87"/>
      <c r="G1847" s="99"/>
      <c r="H1847" s="87"/>
      <c r="I1847" s="87"/>
      <c r="J1847" s="87"/>
    </row>
    <row r="1848">
      <c r="A1848" s="128"/>
      <c r="B1848" s="139"/>
      <c r="C1848" s="140"/>
      <c r="D1848" s="141"/>
      <c r="E1848" s="141"/>
      <c r="F1848" s="87"/>
      <c r="G1848" s="99"/>
      <c r="H1848" s="87"/>
      <c r="I1848" s="87"/>
      <c r="J1848" s="87"/>
    </row>
    <row r="1849">
      <c r="A1849" s="128"/>
      <c r="B1849" s="139"/>
      <c r="C1849" s="140"/>
      <c r="D1849" s="141"/>
      <c r="E1849" s="141"/>
      <c r="F1849" s="87"/>
      <c r="G1849" s="99"/>
      <c r="H1849" s="87"/>
      <c r="I1849" s="87"/>
      <c r="J1849" s="87"/>
    </row>
    <row r="1850">
      <c r="A1850" s="128"/>
      <c r="B1850" s="139"/>
      <c r="C1850" s="140"/>
      <c r="D1850" s="141"/>
      <c r="E1850" s="141"/>
      <c r="F1850" s="87"/>
      <c r="G1850" s="99"/>
      <c r="H1850" s="87"/>
      <c r="I1850" s="87"/>
      <c r="J1850" s="87"/>
    </row>
    <row r="1851">
      <c r="A1851" s="128"/>
      <c r="B1851" s="139"/>
      <c r="C1851" s="140"/>
      <c r="D1851" s="141"/>
      <c r="E1851" s="141"/>
      <c r="F1851" s="87"/>
      <c r="G1851" s="99"/>
      <c r="H1851" s="87"/>
      <c r="I1851" s="87"/>
      <c r="J1851" s="87"/>
    </row>
    <row r="1852">
      <c r="A1852" s="128"/>
      <c r="B1852" s="139"/>
      <c r="C1852" s="140"/>
      <c r="D1852" s="141"/>
      <c r="E1852" s="141"/>
      <c r="F1852" s="87"/>
      <c r="G1852" s="99"/>
      <c r="H1852" s="87"/>
      <c r="I1852" s="87"/>
      <c r="J1852" s="87"/>
    </row>
    <row r="1853">
      <c r="A1853" s="128"/>
      <c r="B1853" s="139"/>
      <c r="C1853" s="140"/>
      <c r="D1853" s="141"/>
      <c r="E1853" s="141"/>
      <c r="F1853" s="87"/>
      <c r="G1853" s="99"/>
      <c r="H1853" s="87"/>
      <c r="I1853" s="87"/>
      <c r="J1853" s="87"/>
    </row>
    <row r="1854">
      <c r="A1854" s="128"/>
      <c r="B1854" s="139"/>
      <c r="C1854" s="140"/>
      <c r="D1854" s="141"/>
      <c r="E1854" s="141"/>
      <c r="F1854" s="87"/>
      <c r="G1854" s="99"/>
      <c r="H1854" s="87"/>
      <c r="I1854" s="87"/>
      <c r="J1854" s="87"/>
    </row>
    <row r="1855">
      <c r="A1855" s="128"/>
      <c r="B1855" s="139"/>
      <c r="C1855" s="140"/>
      <c r="D1855" s="141"/>
      <c r="E1855" s="141"/>
      <c r="F1855" s="87"/>
      <c r="G1855" s="99"/>
      <c r="H1855" s="87"/>
      <c r="I1855" s="87"/>
      <c r="J1855" s="87"/>
    </row>
    <row r="1856">
      <c r="A1856" s="128"/>
      <c r="B1856" s="139"/>
      <c r="C1856" s="140"/>
      <c r="D1856" s="141"/>
      <c r="E1856" s="141"/>
      <c r="F1856" s="87"/>
      <c r="G1856" s="99"/>
      <c r="H1856" s="87"/>
      <c r="I1856" s="87"/>
      <c r="J1856" s="87"/>
    </row>
    <row r="1857">
      <c r="A1857" s="128"/>
      <c r="B1857" s="139"/>
      <c r="C1857" s="140"/>
      <c r="D1857" s="141"/>
      <c r="E1857" s="141"/>
      <c r="F1857" s="87"/>
      <c r="G1857" s="99"/>
      <c r="H1857" s="87"/>
      <c r="I1857" s="87"/>
      <c r="J1857" s="87"/>
    </row>
    <row r="1858">
      <c r="A1858" s="128"/>
      <c r="B1858" s="139"/>
      <c r="C1858" s="140"/>
      <c r="D1858" s="141"/>
      <c r="E1858" s="141"/>
      <c r="F1858" s="87"/>
      <c r="G1858" s="99"/>
      <c r="H1858" s="87"/>
      <c r="I1858" s="87"/>
      <c r="J1858" s="87"/>
    </row>
    <row r="1859">
      <c r="A1859" s="128"/>
      <c r="B1859" s="139"/>
      <c r="C1859" s="140"/>
      <c r="D1859" s="141"/>
      <c r="E1859" s="141"/>
      <c r="F1859" s="87"/>
      <c r="G1859" s="99"/>
      <c r="H1859" s="87"/>
      <c r="I1859" s="87"/>
      <c r="J1859" s="87"/>
    </row>
    <row r="1860">
      <c r="A1860" s="128"/>
      <c r="B1860" s="139"/>
      <c r="C1860" s="140"/>
      <c r="D1860" s="141"/>
      <c r="E1860" s="141"/>
      <c r="F1860" s="87"/>
      <c r="G1860" s="99"/>
      <c r="H1860" s="87"/>
      <c r="I1860" s="87"/>
      <c r="J1860" s="87"/>
    </row>
    <row r="1861">
      <c r="A1861" s="128"/>
      <c r="B1861" s="139"/>
      <c r="C1861" s="140"/>
      <c r="D1861" s="141"/>
      <c r="E1861" s="141"/>
      <c r="F1861" s="87"/>
      <c r="G1861" s="99"/>
      <c r="H1861" s="87"/>
      <c r="I1861" s="87"/>
      <c r="J1861" s="87"/>
    </row>
    <row r="1862">
      <c r="A1862" s="128"/>
      <c r="B1862" s="139"/>
      <c r="C1862" s="140"/>
      <c r="D1862" s="141"/>
      <c r="E1862" s="141"/>
      <c r="F1862" s="87"/>
      <c r="G1862" s="99"/>
      <c r="H1862" s="87"/>
      <c r="I1862" s="87"/>
      <c r="J1862" s="87"/>
    </row>
    <row r="1863">
      <c r="A1863" s="128"/>
      <c r="B1863" s="139"/>
      <c r="C1863" s="140"/>
      <c r="D1863" s="141"/>
      <c r="E1863" s="141"/>
      <c r="F1863" s="87"/>
      <c r="G1863" s="99"/>
      <c r="H1863" s="87"/>
      <c r="I1863" s="87"/>
      <c r="J1863" s="87"/>
    </row>
    <row r="1864">
      <c r="A1864" s="128"/>
      <c r="B1864" s="139"/>
      <c r="C1864" s="140"/>
      <c r="D1864" s="141"/>
      <c r="E1864" s="141"/>
      <c r="F1864" s="87"/>
      <c r="G1864" s="99"/>
      <c r="H1864" s="87"/>
      <c r="I1864" s="87"/>
      <c r="J1864" s="87"/>
    </row>
    <row r="1865">
      <c r="A1865" s="128"/>
      <c r="B1865" s="139"/>
      <c r="C1865" s="140"/>
      <c r="D1865" s="141"/>
      <c r="E1865" s="141"/>
      <c r="F1865" s="87"/>
      <c r="G1865" s="99"/>
      <c r="H1865" s="87"/>
      <c r="I1865" s="87"/>
      <c r="J1865" s="87"/>
    </row>
    <row r="1866">
      <c r="A1866" s="128"/>
      <c r="B1866" s="139"/>
      <c r="C1866" s="140"/>
      <c r="D1866" s="141"/>
      <c r="E1866" s="141"/>
      <c r="F1866" s="87"/>
      <c r="G1866" s="99"/>
      <c r="H1866" s="87"/>
      <c r="I1866" s="87"/>
      <c r="J1866" s="87"/>
    </row>
    <row r="1867">
      <c r="A1867" s="128"/>
      <c r="B1867" s="139"/>
      <c r="C1867" s="140"/>
      <c r="D1867" s="141"/>
      <c r="E1867" s="141"/>
      <c r="F1867" s="87"/>
      <c r="G1867" s="99"/>
      <c r="H1867" s="87"/>
      <c r="I1867" s="87"/>
      <c r="J1867" s="87"/>
    </row>
    <row r="1868">
      <c r="A1868" s="128"/>
      <c r="B1868" s="139"/>
      <c r="C1868" s="140"/>
      <c r="D1868" s="141"/>
      <c r="E1868" s="141"/>
      <c r="F1868" s="87"/>
      <c r="G1868" s="99"/>
      <c r="H1868" s="87"/>
      <c r="I1868" s="87"/>
      <c r="J1868" s="87"/>
    </row>
    <row r="1869">
      <c r="A1869" s="128"/>
      <c r="B1869" s="139"/>
      <c r="C1869" s="140"/>
      <c r="D1869" s="141"/>
      <c r="E1869" s="141"/>
      <c r="F1869" s="87"/>
      <c r="G1869" s="99"/>
      <c r="H1869" s="87"/>
      <c r="I1869" s="87"/>
      <c r="J1869" s="87"/>
    </row>
    <row r="1870">
      <c r="A1870" s="128"/>
      <c r="B1870" s="139"/>
      <c r="C1870" s="140"/>
      <c r="D1870" s="141"/>
      <c r="E1870" s="141"/>
      <c r="F1870" s="87"/>
      <c r="G1870" s="99"/>
      <c r="H1870" s="87"/>
      <c r="I1870" s="87"/>
      <c r="J1870" s="87"/>
    </row>
    <row r="1871">
      <c r="A1871" s="128"/>
      <c r="B1871" s="139"/>
      <c r="C1871" s="140"/>
      <c r="D1871" s="141"/>
      <c r="E1871" s="141"/>
      <c r="F1871" s="87"/>
      <c r="G1871" s="99"/>
      <c r="H1871" s="87"/>
      <c r="I1871" s="87"/>
      <c r="J1871" s="87"/>
    </row>
    <row r="1872">
      <c r="A1872" s="128"/>
      <c r="B1872" s="139"/>
      <c r="C1872" s="140"/>
      <c r="D1872" s="141"/>
      <c r="E1872" s="141"/>
      <c r="F1872" s="87"/>
      <c r="G1872" s="99"/>
      <c r="H1872" s="87"/>
      <c r="I1872" s="87"/>
      <c r="J1872" s="87"/>
    </row>
    <row r="1873">
      <c r="A1873" s="128"/>
      <c r="B1873" s="139"/>
      <c r="C1873" s="140"/>
      <c r="D1873" s="141"/>
      <c r="E1873" s="141"/>
      <c r="F1873" s="87"/>
      <c r="G1873" s="99"/>
      <c r="H1873" s="87"/>
      <c r="I1873" s="87"/>
      <c r="J1873" s="87"/>
    </row>
    <row r="1874">
      <c r="A1874" s="128"/>
      <c r="B1874" s="139"/>
      <c r="C1874" s="140"/>
      <c r="D1874" s="141"/>
      <c r="E1874" s="141"/>
      <c r="F1874" s="87"/>
      <c r="G1874" s="99"/>
      <c r="H1874" s="87"/>
      <c r="I1874" s="87"/>
      <c r="J1874" s="87"/>
    </row>
    <row r="1875">
      <c r="A1875" s="128"/>
      <c r="B1875" s="139"/>
      <c r="C1875" s="140"/>
      <c r="D1875" s="141"/>
      <c r="E1875" s="141"/>
      <c r="F1875" s="87"/>
      <c r="G1875" s="99"/>
      <c r="H1875" s="87"/>
      <c r="I1875" s="87"/>
      <c r="J1875" s="87"/>
    </row>
    <row r="1876">
      <c r="A1876" s="128"/>
      <c r="B1876" s="139"/>
      <c r="C1876" s="140"/>
      <c r="D1876" s="141"/>
      <c r="E1876" s="141"/>
      <c r="F1876" s="87"/>
      <c r="G1876" s="99"/>
      <c r="H1876" s="87"/>
      <c r="I1876" s="87"/>
      <c r="J1876" s="87"/>
    </row>
    <row r="1877">
      <c r="A1877" s="128"/>
      <c r="B1877" s="139"/>
      <c r="C1877" s="140"/>
      <c r="D1877" s="141"/>
      <c r="E1877" s="141"/>
      <c r="F1877" s="87"/>
      <c r="G1877" s="99"/>
      <c r="H1877" s="87"/>
      <c r="I1877" s="87"/>
      <c r="J1877" s="87"/>
    </row>
    <row r="1878">
      <c r="A1878" s="128"/>
      <c r="B1878" s="139"/>
      <c r="C1878" s="140"/>
      <c r="D1878" s="141"/>
      <c r="E1878" s="141"/>
      <c r="F1878" s="87"/>
      <c r="G1878" s="99"/>
      <c r="H1878" s="87"/>
      <c r="I1878" s="87"/>
      <c r="J1878" s="87"/>
    </row>
    <row r="1879">
      <c r="A1879" s="128"/>
      <c r="B1879" s="139"/>
      <c r="C1879" s="140"/>
      <c r="D1879" s="141"/>
      <c r="E1879" s="141"/>
      <c r="F1879" s="87"/>
      <c r="G1879" s="99"/>
      <c r="H1879" s="87"/>
      <c r="I1879" s="87"/>
      <c r="J1879" s="87"/>
    </row>
    <row r="1880">
      <c r="A1880" s="128"/>
      <c r="B1880" s="139"/>
      <c r="C1880" s="140"/>
      <c r="D1880" s="141"/>
      <c r="E1880" s="141"/>
      <c r="F1880" s="87"/>
      <c r="G1880" s="99"/>
      <c r="H1880" s="87"/>
      <c r="I1880" s="87"/>
      <c r="J1880" s="87"/>
    </row>
    <row r="1881">
      <c r="A1881" s="128"/>
      <c r="B1881" s="139"/>
      <c r="C1881" s="140"/>
      <c r="D1881" s="141"/>
      <c r="E1881" s="141"/>
      <c r="F1881" s="87"/>
      <c r="G1881" s="99"/>
      <c r="H1881" s="87"/>
      <c r="I1881" s="87"/>
      <c r="J1881" s="87"/>
    </row>
    <row r="1882">
      <c r="A1882" s="128"/>
      <c r="B1882" s="139"/>
      <c r="C1882" s="140"/>
      <c r="D1882" s="141"/>
      <c r="E1882" s="141"/>
      <c r="F1882" s="87"/>
      <c r="G1882" s="99"/>
      <c r="H1882" s="87"/>
      <c r="I1882" s="87"/>
      <c r="J1882" s="87"/>
    </row>
    <row r="1883">
      <c r="A1883" s="128"/>
      <c r="B1883" s="139"/>
      <c r="C1883" s="140"/>
      <c r="D1883" s="141"/>
      <c r="E1883" s="141"/>
      <c r="F1883" s="87"/>
      <c r="G1883" s="99"/>
      <c r="H1883" s="87"/>
      <c r="I1883" s="87"/>
      <c r="J1883" s="87"/>
    </row>
    <row r="1884">
      <c r="A1884" s="128"/>
      <c r="B1884" s="139"/>
      <c r="C1884" s="140"/>
      <c r="D1884" s="141"/>
      <c r="E1884" s="141"/>
      <c r="F1884" s="87"/>
      <c r="G1884" s="99"/>
      <c r="H1884" s="87"/>
      <c r="I1884" s="87"/>
      <c r="J1884" s="87"/>
    </row>
    <row r="1885">
      <c r="A1885" s="128"/>
      <c r="B1885" s="139"/>
      <c r="C1885" s="140"/>
      <c r="D1885" s="141"/>
      <c r="E1885" s="141"/>
      <c r="F1885" s="87"/>
      <c r="G1885" s="99"/>
      <c r="H1885" s="87"/>
      <c r="I1885" s="87"/>
      <c r="J1885" s="87"/>
    </row>
    <row r="1886">
      <c r="A1886" s="128"/>
      <c r="B1886" s="139"/>
      <c r="C1886" s="140"/>
      <c r="D1886" s="141"/>
      <c r="E1886" s="141"/>
      <c r="F1886" s="87"/>
      <c r="G1886" s="99"/>
      <c r="H1886" s="87"/>
      <c r="I1886" s="87"/>
      <c r="J1886" s="87"/>
    </row>
    <row r="1887">
      <c r="A1887" s="128"/>
      <c r="B1887" s="139"/>
      <c r="C1887" s="140"/>
      <c r="D1887" s="141"/>
      <c r="E1887" s="141"/>
      <c r="F1887" s="87"/>
      <c r="G1887" s="99"/>
      <c r="H1887" s="87"/>
      <c r="I1887" s="87"/>
      <c r="J1887" s="87"/>
    </row>
    <row r="1888">
      <c r="A1888" s="128"/>
      <c r="B1888" s="139"/>
      <c r="C1888" s="140"/>
      <c r="D1888" s="141"/>
      <c r="E1888" s="141"/>
      <c r="F1888" s="87"/>
      <c r="G1888" s="99"/>
      <c r="H1888" s="87"/>
      <c r="I1888" s="87"/>
      <c r="J1888" s="87"/>
    </row>
    <row r="1889">
      <c r="A1889" s="128"/>
      <c r="B1889" s="139"/>
      <c r="C1889" s="140"/>
      <c r="D1889" s="141"/>
      <c r="E1889" s="141"/>
      <c r="F1889" s="87"/>
      <c r="G1889" s="99"/>
      <c r="H1889" s="87"/>
      <c r="I1889" s="87"/>
      <c r="J1889" s="87"/>
    </row>
    <row r="1890">
      <c r="A1890" s="128"/>
      <c r="B1890" s="139"/>
      <c r="C1890" s="140"/>
      <c r="D1890" s="141"/>
      <c r="E1890" s="141"/>
      <c r="F1890" s="87"/>
      <c r="G1890" s="99"/>
      <c r="H1890" s="87"/>
      <c r="I1890" s="87"/>
      <c r="J1890" s="87"/>
    </row>
    <row r="1891">
      <c r="A1891" s="128"/>
      <c r="B1891" s="139"/>
      <c r="C1891" s="140"/>
      <c r="D1891" s="141"/>
      <c r="E1891" s="141"/>
      <c r="F1891" s="87"/>
      <c r="G1891" s="99"/>
      <c r="H1891" s="87"/>
      <c r="I1891" s="87"/>
      <c r="J1891" s="87"/>
    </row>
    <row r="1892">
      <c r="A1892" s="128"/>
      <c r="B1892" s="139"/>
      <c r="C1892" s="140"/>
      <c r="D1892" s="141"/>
      <c r="E1892" s="141"/>
      <c r="F1892" s="87"/>
      <c r="G1892" s="99"/>
      <c r="H1892" s="87"/>
      <c r="I1892" s="87"/>
      <c r="J1892" s="87"/>
    </row>
    <row r="1893">
      <c r="A1893" s="128"/>
      <c r="B1893" s="139"/>
      <c r="C1893" s="140"/>
      <c r="D1893" s="141"/>
      <c r="E1893" s="141"/>
      <c r="F1893" s="87"/>
      <c r="G1893" s="99"/>
      <c r="H1893" s="87"/>
      <c r="I1893" s="87"/>
      <c r="J1893" s="87"/>
    </row>
    <row r="1894">
      <c r="A1894" s="128"/>
      <c r="B1894" s="139"/>
      <c r="C1894" s="140"/>
      <c r="D1894" s="141"/>
      <c r="E1894" s="141"/>
      <c r="F1894" s="87"/>
      <c r="G1894" s="99"/>
      <c r="H1894" s="87"/>
      <c r="I1894" s="87"/>
      <c r="J1894" s="87"/>
    </row>
    <row r="1895">
      <c r="A1895" s="128"/>
      <c r="B1895" s="139"/>
      <c r="C1895" s="140"/>
      <c r="D1895" s="141"/>
      <c r="E1895" s="141"/>
      <c r="F1895" s="87"/>
      <c r="G1895" s="99"/>
      <c r="H1895" s="87"/>
      <c r="I1895" s="87"/>
      <c r="J1895" s="87"/>
    </row>
    <row r="1896">
      <c r="A1896" s="128"/>
      <c r="B1896" s="139"/>
      <c r="C1896" s="140"/>
      <c r="D1896" s="141"/>
      <c r="E1896" s="141"/>
      <c r="F1896" s="87"/>
      <c r="G1896" s="99"/>
      <c r="H1896" s="87"/>
      <c r="I1896" s="87"/>
      <c r="J1896" s="87"/>
    </row>
    <row r="1897">
      <c r="A1897" s="128"/>
      <c r="B1897" s="139"/>
      <c r="C1897" s="140"/>
      <c r="D1897" s="141"/>
      <c r="E1897" s="141"/>
      <c r="F1897" s="87"/>
      <c r="G1897" s="99"/>
      <c r="H1897" s="87"/>
      <c r="I1897" s="87"/>
      <c r="J1897" s="87"/>
    </row>
    <row r="1898">
      <c r="A1898" s="128"/>
      <c r="B1898" s="139"/>
      <c r="C1898" s="140"/>
      <c r="D1898" s="141"/>
      <c r="E1898" s="141"/>
      <c r="F1898" s="87"/>
      <c r="G1898" s="99"/>
      <c r="H1898" s="87"/>
      <c r="I1898" s="87"/>
      <c r="J1898" s="87"/>
    </row>
    <row r="1899">
      <c r="A1899" s="128"/>
      <c r="B1899" s="139"/>
      <c r="C1899" s="140"/>
      <c r="D1899" s="141"/>
      <c r="E1899" s="141"/>
      <c r="F1899" s="87"/>
      <c r="G1899" s="99"/>
      <c r="H1899" s="87"/>
      <c r="I1899" s="87"/>
      <c r="J1899" s="87"/>
    </row>
    <row r="1900">
      <c r="A1900" s="128"/>
      <c r="B1900" s="139"/>
      <c r="C1900" s="140"/>
      <c r="D1900" s="141"/>
      <c r="E1900" s="141"/>
      <c r="F1900" s="87"/>
      <c r="G1900" s="99"/>
      <c r="H1900" s="87"/>
      <c r="I1900" s="87"/>
      <c r="J1900" s="87"/>
    </row>
    <row r="1901">
      <c r="A1901" s="128"/>
      <c r="B1901" s="139"/>
      <c r="C1901" s="140"/>
      <c r="D1901" s="141"/>
      <c r="E1901" s="141"/>
      <c r="F1901" s="87"/>
      <c r="G1901" s="99"/>
      <c r="H1901" s="87"/>
      <c r="I1901" s="87"/>
      <c r="J1901" s="87"/>
    </row>
    <row r="1902">
      <c r="A1902" s="128"/>
      <c r="B1902" s="139"/>
      <c r="C1902" s="140"/>
      <c r="D1902" s="141"/>
      <c r="E1902" s="141"/>
      <c r="F1902" s="87"/>
      <c r="G1902" s="99"/>
      <c r="H1902" s="87"/>
      <c r="I1902" s="87"/>
      <c r="J1902" s="87"/>
    </row>
    <row r="1903">
      <c r="A1903" s="128"/>
      <c r="B1903" s="139"/>
      <c r="C1903" s="140"/>
      <c r="D1903" s="141"/>
      <c r="E1903" s="141"/>
      <c r="F1903" s="87"/>
      <c r="G1903" s="99"/>
      <c r="H1903" s="87"/>
      <c r="I1903" s="87"/>
      <c r="J1903" s="87"/>
    </row>
    <row r="1904">
      <c r="A1904" s="128"/>
      <c r="B1904" s="139"/>
      <c r="C1904" s="140"/>
      <c r="D1904" s="141"/>
      <c r="E1904" s="141"/>
      <c r="F1904" s="87"/>
      <c r="G1904" s="99"/>
      <c r="H1904" s="87"/>
      <c r="I1904" s="87"/>
      <c r="J1904" s="87"/>
    </row>
    <row r="1905">
      <c r="A1905" s="128"/>
      <c r="B1905" s="139"/>
      <c r="C1905" s="140"/>
      <c r="D1905" s="141"/>
      <c r="E1905" s="141"/>
      <c r="F1905" s="87"/>
      <c r="G1905" s="99"/>
      <c r="H1905" s="87"/>
      <c r="I1905" s="87"/>
      <c r="J1905" s="87"/>
    </row>
    <row r="1906">
      <c r="A1906" s="128"/>
      <c r="B1906" s="139"/>
      <c r="C1906" s="140"/>
      <c r="D1906" s="141"/>
      <c r="E1906" s="141"/>
      <c r="F1906" s="87"/>
      <c r="G1906" s="99"/>
      <c r="H1906" s="87"/>
      <c r="I1906" s="87"/>
      <c r="J1906" s="87"/>
    </row>
    <row r="1907">
      <c r="A1907" s="128"/>
      <c r="B1907" s="139"/>
      <c r="C1907" s="140"/>
      <c r="D1907" s="141"/>
      <c r="E1907" s="141"/>
      <c r="F1907" s="87"/>
      <c r="G1907" s="99"/>
      <c r="H1907" s="87"/>
      <c r="I1907" s="87"/>
      <c r="J1907" s="87"/>
    </row>
    <row r="1908">
      <c r="A1908" s="128"/>
      <c r="B1908" s="139"/>
      <c r="C1908" s="140"/>
      <c r="D1908" s="141"/>
      <c r="E1908" s="141"/>
      <c r="F1908" s="87"/>
      <c r="G1908" s="99"/>
      <c r="H1908" s="87"/>
      <c r="I1908" s="87"/>
      <c r="J1908" s="87"/>
    </row>
    <row r="1909">
      <c r="A1909" s="128"/>
      <c r="B1909" s="139"/>
      <c r="C1909" s="140"/>
      <c r="D1909" s="141"/>
      <c r="E1909" s="141"/>
      <c r="F1909" s="87"/>
      <c r="G1909" s="99"/>
      <c r="H1909" s="87"/>
      <c r="I1909" s="87"/>
      <c r="J1909" s="87"/>
    </row>
    <row r="1910">
      <c r="A1910" s="128"/>
      <c r="B1910" s="139"/>
      <c r="C1910" s="140"/>
      <c r="D1910" s="141"/>
      <c r="E1910" s="141"/>
      <c r="F1910" s="87"/>
      <c r="G1910" s="99"/>
      <c r="H1910" s="87"/>
      <c r="I1910" s="87"/>
      <c r="J1910" s="87"/>
    </row>
    <row r="1911">
      <c r="A1911" s="128"/>
      <c r="B1911" s="139"/>
      <c r="C1911" s="140"/>
      <c r="D1911" s="141"/>
      <c r="E1911" s="141"/>
      <c r="F1911" s="87"/>
      <c r="G1911" s="99"/>
      <c r="H1911" s="87"/>
      <c r="I1911" s="87"/>
      <c r="J1911" s="87"/>
    </row>
    <row r="1912">
      <c r="A1912" s="128"/>
      <c r="B1912" s="139"/>
      <c r="C1912" s="140"/>
      <c r="D1912" s="141"/>
      <c r="E1912" s="141"/>
      <c r="F1912" s="87"/>
      <c r="G1912" s="99"/>
      <c r="H1912" s="87"/>
      <c r="I1912" s="87"/>
      <c r="J1912" s="87"/>
    </row>
    <row r="1913">
      <c r="A1913" s="128"/>
      <c r="B1913" s="139"/>
      <c r="C1913" s="140"/>
      <c r="D1913" s="141"/>
      <c r="E1913" s="141"/>
      <c r="F1913" s="87"/>
      <c r="G1913" s="99"/>
      <c r="H1913" s="87"/>
      <c r="I1913" s="87"/>
      <c r="J1913" s="87"/>
    </row>
    <row r="1914">
      <c r="A1914" s="128"/>
      <c r="B1914" s="139"/>
      <c r="C1914" s="140"/>
      <c r="D1914" s="141"/>
      <c r="E1914" s="141"/>
      <c r="F1914" s="87"/>
      <c r="G1914" s="99"/>
      <c r="H1914" s="87"/>
      <c r="I1914" s="87"/>
      <c r="J1914" s="87"/>
    </row>
    <row r="1915">
      <c r="A1915" s="128"/>
      <c r="B1915" s="139"/>
      <c r="C1915" s="140"/>
      <c r="D1915" s="141"/>
      <c r="E1915" s="141"/>
      <c r="F1915" s="87"/>
      <c r="G1915" s="99"/>
      <c r="H1915" s="87"/>
      <c r="I1915" s="87"/>
      <c r="J1915" s="87"/>
    </row>
    <row r="1916">
      <c r="A1916" s="128"/>
      <c r="B1916" s="139"/>
      <c r="C1916" s="140"/>
      <c r="D1916" s="141"/>
      <c r="E1916" s="141"/>
      <c r="F1916" s="87"/>
      <c r="G1916" s="99"/>
      <c r="H1916" s="87"/>
      <c r="I1916" s="87"/>
      <c r="J1916" s="87"/>
    </row>
    <row r="1917">
      <c r="A1917" s="128"/>
      <c r="B1917" s="139"/>
      <c r="C1917" s="140"/>
      <c r="D1917" s="141"/>
      <c r="E1917" s="141"/>
      <c r="F1917" s="87"/>
      <c r="G1917" s="99"/>
      <c r="H1917" s="87"/>
      <c r="I1917" s="87"/>
      <c r="J1917" s="87"/>
    </row>
    <row r="1918">
      <c r="A1918" s="128"/>
      <c r="B1918" s="139"/>
      <c r="C1918" s="140"/>
      <c r="D1918" s="141"/>
      <c r="E1918" s="141"/>
      <c r="F1918" s="87"/>
      <c r="G1918" s="99"/>
      <c r="H1918" s="87"/>
      <c r="I1918" s="87"/>
      <c r="J1918" s="87"/>
    </row>
    <row r="1919">
      <c r="A1919" s="128"/>
      <c r="B1919" s="139"/>
      <c r="C1919" s="140"/>
      <c r="D1919" s="141"/>
      <c r="E1919" s="141"/>
      <c r="F1919" s="87"/>
      <c r="G1919" s="99"/>
      <c r="H1919" s="87"/>
      <c r="I1919" s="87"/>
      <c r="J1919" s="87"/>
    </row>
    <row r="1920">
      <c r="A1920" s="128"/>
      <c r="B1920" s="139"/>
      <c r="C1920" s="140"/>
      <c r="D1920" s="141"/>
      <c r="E1920" s="141"/>
      <c r="F1920" s="87"/>
      <c r="G1920" s="99"/>
      <c r="H1920" s="87"/>
      <c r="I1920" s="87"/>
      <c r="J1920" s="87"/>
    </row>
    <row r="1921">
      <c r="A1921" s="128"/>
      <c r="B1921" s="139"/>
      <c r="C1921" s="140"/>
      <c r="D1921" s="141"/>
      <c r="E1921" s="141"/>
      <c r="F1921" s="87"/>
      <c r="G1921" s="99"/>
      <c r="H1921" s="87"/>
      <c r="I1921" s="87"/>
      <c r="J1921" s="87"/>
    </row>
    <row r="1922">
      <c r="A1922" s="128"/>
      <c r="B1922" s="139"/>
      <c r="C1922" s="140"/>
      <c r="D1922" s="141"/>
      <c r="E1922" s="141"/>
      <c r="F1922" s="87"/>
      <c r="G1922" s="99"/>
      <c r="H1922" s="87"/>
      <c r="I1922" s="87"/>
      <c r="J1922" s="87"/>
    </row>
    <row r="1923">
      <c r="A1923" s="128"/>
      <c r="B1923" s="139"/>
      <c r="C1923" s="140"/>
      <c r="D1923" s="141"/>
      <c r="E1923" s="141"/>
      <c r="F1923" s="87"/>
      <c r="G1923" s="99"/>
      <c r="H1923" s="87"/>
      <c r="I1923" s="87"/>
      <c r="J1923" s="87"/>
    </row>
    <row r="1924">
      <c r="A1924" s="128"/>
      <c r="B1924" s="139"/>
      <c r="C1924" s="140"/>
      <c r="D1924" s="141"/>
      <c r="E1924" s="141"/>
      <c r="F1924" s="87"/>
      <c r="G1924" s="99"/>
      <c r="H1924" s="87"/>
      <c r="I1924" s="87"/>
      <c r="J1924" s="87"/>
    </row>
    <row r="1925">
      <c r="A1925" s="128"/>
      <c r="B1925" s="139"/>
      <c r="C1925" s="140"/>
      <c r="D1925" s="141"/>
      <c r="E1925" s="141"/>
      <c r="F1925" s="87"/>
      <c r="G1925" s="99"/>
      <c r="H1925" s="87"/>
      <c r="I1925" s="87"/>
      <c r="J1925" s="87"/>
    </row>
    <row r="1926">
      <c r="A1926" s="128"/>
      <c r="B1926" s="139"/>
      <c r="C1926" s="140"/>
      <c r="D1926" s="141"/>
      <c r="E1926" s="141"/>
      <c r="F1926" s="87"/>
      <c r="G1926" s="99"/>
      <c r="H1926" s="87"/>
      <c r="I1926" s="87"/>
      <c r="J1926" s="87"/>
    </row>
    <row r="1927">
      <c r="A1927" s="128"/>
      <c r="B1927" s="139"/>
      <c r="C1927" s="140"/>
      <c r="D1927" s="141"/>
      <c r="E1927" s="141"/>
      <c r="F1927" s="87"/>
      <c r="G1927" s="99"/>
      <c r="H1927" s="87"/>
      <c r="I1927" s="87"/>
      <c r="J1927" s="87"/>
    </row>
    <row r="1928">
      <c r="A1928" s="128"/>
      <c r="B1928" s="139"/>
      <c r="C1928" s="140"/>
      <c r="D1928" s="141"/>
      <c r="E1928" s="141"/>
      <c r="F1928" s="87"/>
      <c r="G1928" s="99"/>
      <c r="H1928" s="87"/>
      <c r="I1928" s="87"/>
      <c r="J1928" s="87"/>
    </row>
    <row r="1929">
      <c r="A1929" s="128"/>
      <c r="B1929" s="139"/>
      <c r="C1929" s="140"/>
      <c r="D1929" s="141"/>
      <c r="E1929" s="141"/>
      <c r="F1929" s="87"/>
      <c r="G1929" s="99"/>
      <c r="H1929" s="87"/>
      <c r="I1929" s="87"/>
      <c r="J1929" s="87"/>
    </row>
    <row r="1930">
      <c r="A1930" s="128"/>
      <c r="B1930" s="139"/>
      <c r="C1930" s="140"/>
      <c r="D1930" s="141"/>
      <c r="E1930" s="141"/>
      <c r="F1930" s="87"/>
      <c r="G1930" s="99"/>
      <c r="H1930" s="87"/>
      <c r="I1930" s="87"/>
      <c r="J1930" s="87"/>
    </row>
    <row r="1931">
      <c r="A1931" s="128"/>
      <c r="B1931" s="139"/>
      <c r="C1931" s="140"/>
      <c r="D1931" s="141"/>
      <c r="E1931" s="141"/>
      <c r="F1931" s="87"/>
      <c r="G1931" s="99"/>
      <c r="H1931" s="87"/>
      <c r="I1931" s="87"/>
      <c r="J1931" s="87"/>
    </row>
    <row r="1932">
      <c r="A1932" s="128"/>
      <c r="B1932" s="139"/>
      <c r="C1932" s="140"/>
      <c r="D1932" s="141"/>
      <c r="E1932" s="141"/>
      <c r="F1932" s="87"/>
      <c r="G1932" s="99"/>
      <c r="H1932" s="87"/>
      <c r="I1932" s="87"/>
      <c r="J1932" s="87"/>
    </row>
    <row r="1933">
      <c r="A1933" s="128"/>
      <c r="B1933" s="139"/>
      <c r="C1933" s="140"/>
      <c r="D1933" s="141"/>
      <c r="E1933" s="141"/>
      <c r="F1933" s="87"/>
      <c r="G1933" s="99"/>
      <c r="H1933" s="87"/>
      <c r="I1933" s="87"/>
      <c r="J1933" s="87"/>
    </row>
    <row r="1934">
      <c r="A1934" s="128"/>
      <c r="B1934" s="139"/>
      <c r="C1934" s="140"/>
      <c r="D1934" s="141"/>
      <c r="E1934" s="141"/>
      <c r="F1934" s="87"/>
      <c r="G1934" s="99"/>
      <c r="H1934" s="87"/>
      <c r="I1934" s="87"/>
      <c r="J1934" s="87"/>
    </row>
    <row r="1935">
      <c r="A1935" s="128"/>
      <c r="B1935" s="139"/>
      <c r="C1935" s="140"/>
      <c r="D1935" s="141"/>
      <c r="E1935" s="141"/>
      <c r="F1935" s="87"/>
      <c r="G1935" s="99"/>
      <c r="H1935" s="87"/>
      <c r="I1935" s="87"/>
      <c r="J1935" s="87"/>
    </row>
    <row r="1936">
      <c r="A1936" s="128"/>
      <c r="B1936" s="139"/>
      <c r="C1936" s="140"/>
      <c r="D1936" s="141"/>
      <c r="E1936" s="141"/>
      <c r="F1936" s="87"/>
      <c r="G1936" s="99"/>
      <c r="H1936" s="87"/>
      <c r="I1936" s="87"/>
      <c r="J1936" s="87"/>
    </row>
    <row r="1937">
      <c r="A1937" s="128"/>
      <c r="B1937" s="139"/>
      <c r="C1937" s="140"/>
      <c r="D1937" s="141"/>
      <c r="E1937" s="141"/>
      <c r="F1937" s="87"/>
      <c r="G1937" s="99"/>
      <c r="H1937" s="87"/>
      <c r="I1937" s="87"/>
      <c r="J1937" s="87"/>
    </row>
    <row r="1938">
      <c r="A1938" s="128"/>
      <c r="B1938" s="139"/>
      <c r="C1938" s="140"/>
      <c r="D1938" s="141"/>
      <c r="E1938" s="141"/>
      <c r="F1938" s="87"/>
      <c r="G1938" s="99"/>
      <c r="H1938" s="87"/>
      <c r="I1938" s="87"/>
      <c r="J1938" s="87"/>
    </row>
    <row r="1939">
      <c r="A1939" s="128"/>
      <c r="B1939" s="139"/>
      <c r="C1939" s="140"/>
      <c r="D1939" s="141"/>
      <c r="E1939" s="141"/>
      <c r="F1939" s="87"/>
      <c r="G1939" s="99"/>
      <c r="H1939" s="87"/>
      <c r="I1939" s="87"/>
      <c r="J1939" s="87"/>
    </row>
    <row r="1940">
      <c r="A1940" s="128"/>
      <c r="B1940" s="139"/>
      <c r="C1940" s="140"/>
      <c r="D1940" s="141"/>
      <c r="E1940" s="141"/>
      <c r="F1940" s="87"/>
      <c r="G1940" s="99"/>
      <c r="H1940" s="87"/>
      <c r="I1940" s="87"/>
      <c r="J1940" s="87"/>
    </row>
    <row r="1941">
      <c r="A1941" s="128"/>
      <c r="B1941" s="139"/>
      <c r="C1941" s="140"/>
      <c r="D1941" s="141"/>
      <c r="E1941" s="141"/>
      <c r="F1941" s="87"/>
      <c r="G1941" s="99"/>
      <c r="H1941" s="87"/>
      <c r="I1941" s="87"/>
      <c r="J1941" s="87"/>
    </row>
    <row r="1942">
      <c r="A1942" s="128"/>
      <c r="B1942" s="139"/>
      <c r="C1942" s="140"/>
      <c r="D1942" s="141"/>
      <c r="E1942" s="141"/>
      <c r="F1942" s="87"/>
      <c r="G1942" s="99"/>
      <c r="H1942" s="87"/>
      <c r="I1942" s="87"/>
      <c r="J1942" s="87"/>
    </row>
    <row r="1943">
      <c r="A1943" s="128"/>
      <c r="B1943" s="139"/>
      <c r="C1943" s="140"/>
      <c r="D1943" s="141"/>
      <c r="E1943" s="141"/>
      <c r="F1943" s="87"/>
      <c r="G1943" s="99"/>
      <c r="H1943" s="87"/>
      <c r="I1943" s="87"/>
      <c r="J1943" s="87"/>
    </row>
    <row r="1944">
      <c r="A1944" s="128"/>
      <c r="B1944" s="139"/>
      <c r="C1944" s="140"/>
      <c r="D1944" s="141"/>
      <c r="E1944" s="141"/>
      <c r="F1944" s="87"/>
      <c r="G1944" s="99"/>
      <c r="H1944" s="87"/>
      <c r="I1944" s="87"/>
      <c r="J1944" s="87"/>
    </row>
    <row r="1945">
      <c r="A1945" s="128"/>
      <c r="B1945" s="139"/>
      <c r="C1945" s="140"/>
      <c r="D1945" s="141"/>
      <c r="E1945" s="141"/>
      <c r="F1945" s="87"/>
      <c r="G1945" s="99"/>
      <c r="H1945" s="87"/>
      <c r="I1945" s="87"/>
      <c r="J1945" s="87"/>
    </row>
    <row r="1946">
      <c r="A1946" s="128"/>
      <c r="B1946" s="139"/>
      <c r="C1946" s="140"/>
      <c r="D1946" s="141"/>
      <c r="E1946" s="141"/>
      <c r="F1946" s="87"/>
      <c r="G1946" s="99"/>
      <c r="H1946" s="87"/>
      <c r="I1946" s="87"/>
      <c r="J1946" s="87"/>
    </row>
    <row r="1947">
      <c r="A1947" s="128"/>
      <c r="B1947" s="139"/>
      <c r="C1947" s="140"/>
      <c r="D1947" s="141"/>
      <c r="E1947" s="141"/>
      <c r="F1947" s="87"/>
      <c r="G1947" s="99"/>
      <c r="H1947" s="87"/>
      <c r="I1947" s="87"/>
      <c r="J1947" s="87"/>
    </row>
    <row r="1948">
      <c r="A1948" s="128"/>
      <c r="B1948" s="139"/>
      <c r="C1948" s="140"/>
      <c r="D1948" s="141"/>
      <c r="E1948" s="141"/>
      <c r="F1948" s="87"/>
      <c r="G1948" s="99"/>
      <c r="H1948" s="87"/>
      <c r="I1948" s="87"/>
      <c r="J1948" s="87"/>
    </row>
    <row r="1949">
      <c r="A1949" s="128"/>
      <c r="B1949" s="139"/>
      <c r="C1949" s="140"/>
      <c r="D1949" s="141"/>
      <c r="E1949" s="141"/>
      <c r="F1949" s="87"/>
      <c r="G1949" s="99"/>
      <c r="H1949" s="87"/>
      <c r="I1949" s="87"/>
      <c r="J1949" s="87"/>
    </row>
    <row r="1950">
      <c r="A1950" s="128"/>
      <c r="B1950" s="139"/>
      <c r="C1950" s="140"/>
      <c r="D1950" s="141"/>
      <c r="E1950" s="141"/>
      <c r="F1950" s="87"/>
      <c r="G1950" s="99"/>
      <c r="H1950" s="87"/>
      <c r="I1950" s="87"/>
      <c r="J1950" s="87"/>
    </row>
    <row r="1951">
      <c r="A1951" s="128"/>
      <c r="B1951" s="139"/>
      <c r="C1951" s="140"/>
      <c r="D1951" s="141"/>
      <c r="E1951" s="141"/>
      <c r="F1951" s="87"/>
      <c r="G1951" s="99"/>
      <c r="H1951" s="87"/>
      <c r="I1951" s="87"/>
      <c r="J1951" s="87"/>
    </row>
    <row r="1952">
      <c r="A1952" s="128"/>
      <c r="B1952" s="139"/>
      <c r="C1952" s="140"/>
      <c r="D1952" s="141"/>
      <c r="E1952" s="141"/>
      <c r="F1952" s="87"/>
      <c r="G1952" s="99"/>
      <c r="H1952" s="87"/>
      <c r="I1952" s="87"/>
      <c r="J1952" s="87"/>
    </row>
    <row r="1953">
      <c r="A1953" s="128"/>
      <c r="B1953" s="139"/>
      <c r="C1953" s="140"/>
      <c r="D1953" s="141"/>
      <c r="E1953" s="141"/>
      <c r="F1953" s="87"/>
      <c r="G1953" s="99"/>
      <c r="H1953" s="87"/>
      <c r="I1953" s="87"/>
      <c r="J1953" s="87"/>
    </row>
    <row r="1954">
      <c r="A1954" s="128"/>
      <c r="B1954" s="139"/>
      <c r="C1954" s="140"/>
      <c r="D1954" s="141"/>
      <c r="E1954" s="141"/>
      <c r="F1954" s="87"/>
      <c r="G1954" s="99"/>
      <c r="H1954" s="87"/>
      <c r="I1954" s="87"/>
      <c r="J1954" s="87"/>
    </row>
    <row r="1955">
      <c r="A1955" s="128"/>
      <c r="B1955" s="139"/>
      <c r="C1955" s="140"/>
      <c r="D1955" s="141"/>
      <c r="E1955" s="141"/>
      <c r="F1955" s="87"/>
      <c r="G1955" s="99"/>
      <c r="H1955" s="87"/>
      <c r="I1955" s="87"/>
      <c r="J1955" s="87"/>
    </row>
    <row r="1956">
      <c r="A1956" s="128"/>
      <c r="B1956" s="139"/>
      <c r="C1956" s="140"/>
      <c r="D1956" s="141"/>
      <c r="E1956" s="141"/>
      <c r="F1956" s="87"/>
      <c r="G1956" s="99"/>
      <c r="H1956" s="87"/>
      <c r="I1956" s="87"/>
      <c r="J1956" s="87"/>
    </row>
    <row r="1957">
      <c r="A1957" s="128"/>
      <c r="B1957" s="139"/>
      <c r="C1957" s="140"/>
      <c r="D1957" s="141"/>
      <c r="E1957" s="141"/>
      <c r="F1957" s="87"/>
      <c r="G1957" s="99"/>
      <c r="H1957" s="87"/>
      <c r="I1957" s="87"/>
      <c r="J1957" s="87"/>
    </row>
    <row r="1958">
      <c r="A1958" s="128"/>
      <c r="B1958" s="139"/>
      <c r="C1958" s="140"/>
      <c r="D1958" s="141"/>
      <c r="E1958" s="141"/>
      <c r="F1958" s="87"/>
      <c r="G1958" s="99"/>
      <c r="H1958" s="87"/>
      <c r="I1958" s="87"/>
      <c r="J1958" s="87"/>
    </row>
    <row r="1959">
      <c r="A1959" s="128"/>
      <c r="B1959" s="139"/>
      <c r="C1959" s="140"/>
      <c r="D1959" s="141"/>
      <c r="E1959" s="141"/>
      <c r="F1959" s="87"/>
      <c r="G1959" s="99"/>
      <c r="H1959" s="87"/>
      <c r="I1959" s="87"/>
      <c r="J1959" s="87"/>
    </row>
    <row r="1960">
      <c r="A1960" s="128"/>
      <c r="B1960" s="139"/>
      <c r="C1960" s="140"/>
      <c r="D1960" s="141"/>
      <c r="E1960" s="141"/>
      <c r="F1960" s="87"/>
      <c r="G1960" s="99"/>
      <c r="H1960" s="87"/>
      <c r="I1960" s="87"/>
      <c r="J1960" s="87"/>
    </row>
    <row r="1961">
      <c r="A1961" s="128"/>
      <c r="B1961" s="139"/>
      <c r="C1961" s="140"/>
      <c r="D1961" s="141"/>
      <c r="E1961" s="141"/>
      <c r="F1961" s="87"/>
      <c r="G1961" s="99"/>
      <c r="H1961" s="87"/>
      <c r="I1961" s="87"/>
      <c r="J1961" s="87"/>
    </row>
    <row r="1962">
      <c r="A1962" s="128"/>
      <c r="B1962" s="139"/>
      <c r="C1962" s="140"/>
      <c r="D1962" s="141"/>
      <c r="E1962" s="141"/>
      <c r="F1962" s="87"/>
      <c r="G1962" s="99"/>
      <c r="H1962" s="87"/>
      <c r="I1962" s="87"/>
      <c r="J1962" s="87"/>
    </row>
    <row r="1963">
      <c r="A1963" s="128"/>
      <c r="B1963" s="139"/>
      <c r="C1963" s="140"/>
      <c r="D1963" s="141"/>
      <c r="E1963" s="141"/>
      <c r="F1963" s="87"/>
      <c r="G1963" s="99"/>
      <c r="H1963" s="87"/>
      <c r="I1963" s="87"/>
      <c r="J1963" s="87"/>
    </row>
    <row r="1964">
      <c r="A1964" s="128"/>
      <c r="B1964" s="139"/>
      <c r="C1964" s="140"/>
      <c r="D1964" s="141"/>
      <c r="E1964" s="141"/>
      <c r="F1964" s="87"/>
      <c r="G1964" s="99"/>
      <c r="H1964" s="87"/>
      <c r="I1964" s="87"/>
      <c r="J1964" s="87"/>
    </row>
    <row r="1965">
      <c r="A1965" s="128"/>
      <c r="B1965" s="139"/>
      <c r="C1965" s="140"/>
      <c r="D1965" s="141"/>
      <c r="E1965" s="141"/>
      <c r="F1965" s="87"/>
      <c r="G1965" s="99"/>
      <c r="H1965" s="87"/>
      <c r="I1965" s="87"/>
      <c r="J1965" s="87"/>
    </row>
    <row r="1966">
      <c r="A1966" s="128"/>
      <c r="B1966" s="139"/>
      <c r="C1966" s="140"/>
      <c r="D1966" s="141"/>
      <c r="E1966" s="141"/>
      <c r="F1966" s="87"/>
      <c r="G1966" s="99"/>
      <c r="H1966" s="87"/>
      <c r="I1966" s="87"/>
      <c r="J1966" s="87"/>
    </row>
    <row r="1967">
      <c r="A1967" s="128"/>
      <c r="B1967" s="139"/>
      <c r="C1967" s="140"/>
      <c r="D1967" s="141"/>
      <c r="E1967" s="141"/>
      <c r="F1967" s="87"/>
      <c r="G1967" s="99"/>
      <c r="H1967" s="87"/>
      <c r="I1967" s="87"/>
      <c r="J1967" s="87"/>
    </row>
    <row r="1968">
      <c r="A1968" s="128"/>
      <c r="B1968" s="139"/>
      <c r="C1968" s="140"/>
      <c r="D1968" s="141"/>
      <c r="E1968" s="141"/>
      <c r="F1968" s="87"/>
      <c r="G1968" s="99"/>
      <c r="H1968" s="87"/>
      <c r="I1968" s="87"/>
      <c r="J1968" s="87"/>
    </row>
    <row r="1969">
      <c r="A1969" s="128"/>
      <c r="B1969" s="139"/>
      <c r="C1969" s="140"/>
      <c r="D1969" s="141"/>
      <c r="E1969" s="141"/>
      <c r="F1969" s="87"/>
      <c r="G1969" s="99"/>
      <c r="H1969" s="87"/>
      <c r="I1969" s="87"/>
      <c r="J1969" s="87"/>
    </row>
    <row r="1970">
      <c r="A1970" s="128"/>
      <c r="B1970" s="139"/>
      <c r="C1970" s="140"/>
      <c r="D1970" s="141"/>
      <c r="E1970" s="141"/>
      <c r="F1970" s="87"/>
      <c r="G1970" s="99"/>
      <c r="H1970" s="87"/>
      <c r="I1970" s="87"/>
      <c r="J1970" s="87"/>
    </row>
    <row r="1971">
      <c r="A1971" s="128"/>
      <c r="B1971" s="139"/>
      <c r="C1971" s="140"/>
      <c r="D1971" s="141"/>
      <c r="E1971" s="141"/>
      <c r="F1971" s="87"/>
      <c r="G1971" s="99"/>
      <c r="H1971" s="87"/>
      <c r="I1971" s="87"/>
      <c r="J1971" s="87"/>
    </row>
    <row r="1972">
      <c r="A1972" s="128"/>
      <c r="B1972" s="139"/>
      <c r="C1972" s="140"/>
      <c r="D1972" s="141"/>
      <c r="E1972" s="141"/>
      <c r="F1972" s="87"/>
      <c r="G1972" s="99"/>
      <c r="H1972" s="87"/>
      <c r="I1972" s="87"/>
      <c r="J1972" s="87"/>
    </row>
    <row r="1973">
      <c r="A1973" s="128"/>
      <c r="B1973" s="139"/>
      <c r="C1973" s="140"/>
      <c r="D1973" s="141"/>
      <c r="E1973" s="141"/>
      <c r="F1973" s="87"/>
      <c r="G1973" s="99"/>
      <c r="H1973" s="87"/>
      <c r="I1973" s="87"/>
      <c r="J1973" s="87"/>
    </row>
    <row r="1974">
      <c r="A1974" s="128"/>
      <c r="B1974" s="139"/>
      <c r="C1974" s="140"/>
      <c r="D1974" s="141"/>
      <c r="E1974" s="141"/>
      <c r="F1974" s="87"/>
      <c r="G1974" s="99"/>
      <c r="H1974" s="87"/>
      <c r="I1974" s="87"/>
      <c r="J1974" s="87"/>
    </row>
    <row r="1975">
      <c r="A1975" s="128"/>
      <c r="B1975" s="139"/>
      <c r="C1975" s="140"/>
      <c r="D1975" s="141"/>
      <c r="E1975" s="141"/>
      <c r="F1975" s="87"/>
      <c r="G1975" s="99"/>
      <c r="H1975" s="87"/>
      <c r="I1975" s="87"/>
      <c r="J1975" s="87"/>
    </row>
    <row r="1976">
      <c r="A1976" s="128"/>
      <c r="B1976" s="139"/>
      <c r="C1976" s="140"/>
      <c r="D1976" s="141"/>
      <c r="E1976" s="141"/>
      <c r="F1976" s="87"/>
      <c r="G1976" s="99"/>
      <c r="H1976" s="87"/>
      <c r="I1976" s="87"/>
      <c r="J1976" s="87"/>
    </row>
    <row r="1977">
      <c r="A1977" s="128"/>
      <c r="B1977" s="139"/>
      <c r="C1977" s="140"/>
      <c r="D1977" s="141"/>
      <c r="E1977" s="141"/>
      <c r="F1977" s="87"/>
      <c r="G1977" s="99"/>
      <c r="H1977" s="87"/>
      <c r="I1977" s="87"/>
      <c r="J1977" s="87"/>
    </row>
    <row r="1978">
      <c r="A1978" s="128"/>
      <c r="B1978" s="139"/>
      <c r="C1978" s="140"/>
      <c r="D1978" s="141"/>
      <c r="E1978" s="141"/>
      <c r="F1978" s="87"/>
      <c r="G1978" s="99"/>
      <c r="H1978" s="87"/>
      <c r="I1978" s="87"/>
      <c r="J1978" s="87"/>
    </row>
    <row r="1979">
      <c r="A1979" s="128"/>
      <c r="B1979" s="139"/>
      <c r="C1979" s="140"/>
      <c r="D1979" s="141"/>
      <c r="E1979" s="141"/>
      <c r="F1979" s="87"/>
      <c r="G1979" s="99"/>
      <c r="H1979" s="87"/>
      <c r="I1979" s="87"/>
      <c r="J1979" s="87"/>
    </row>
    <row r="1980">
      <c r="A1980" s="128"/>
      <c r="B1980" s="139"/>
      <c r="C1980" s="140"/>
      <c r="D1980" s="141"/>
      <c r="E1980" s="141"/>
      <c r="F1980" s="87"/>
      <c r="G1980" s="99"/>
      <c r="H1980" s="87"/>
      <c r="I1980" s="87"/>
      <c r="J1980" s="87"/>
    </row>
    <row r="1981">
      <c r="A1981" s="128"/>
      <c r="B1981" s="139"/>
      <c r="C1981" s="140"/>
      <c r="D1981" s="141"/>
      <c r="E1981" s="141"/>
      <c r="F1981" s="87"/>
      <c r="G1981" s="99"/>
      <c r="H1981" s="87"/>
      <c r="I1981" s="87"/>
      <c r="J1981" s="87"/>
    </row>
    <row r="1982">
      <c r="A1982" s="128"/>
      <c r="B1982" s="139"/>
      <c r="C1982" s="140"/>
      <c r="D1982" s="141"/>
      <c r="E1982" s="141"/>
      <c r="F1982" s="87"/>
      <c r="G1982" s="99"/>
      <c r="H1982" s="87"/>
      <c r="I1982" s="87"/>
      <c r="J1982" s="87"/>
    </row>
    <row r="1983">
      <c r="A1983" s="128"/>
      <c r="B1983" s="139"/>
      <c r="C1983" s="140"/>
      <c r="D1983" s="141"/>
      <c r="E1983" s="141"/>
      <c r="F1983" s="87"/>
      <c r="G1983" s="99"/>
      <c r="H1983" s="87"/>
      <c r="I1983" s="87"/>
      <c r="J1983" s="87"/>
    </row>
    <row r="1984">
      <c r="A1984" s="128"/>
      <c r="B1984" s="139"/>
      <c r="C1984" s="140"/>
      <c r="D1984" s="141"/>
      <c r="E1984" s="141"/>
      <c r="F1984" s="87"/>
      <c r="G1984" s="99"/>
      <c r="H1984" s="87"/>
      <c r="I1984" s="87"/>
      <c r="J1984" s="87"/>
    </row>
    <row r="1985">
      <c r="A1985" s="128"/>
      <c r="B1985" s="139"/>
      <c r="C1985" s="140"/>
      <c r="D1985" s="141"/>
      <c r="E1985" s="141"/>
      <c r="F1985" s="87"/>
      <c r="G1985" s="99"/>
      <c r="H1985" s="87"/>
      <c r="I1985" s="87"/>
      <c r="J1985" s="87"/>
    </row>
    <row r="1986">
      <c r="A1986" s="128"/>
      <c r="B1986" s="139"/>
      <c r="C1986" s="140"/>
      <c r="D1986" s="141"/>
      <c r="E1986" s="141"/>
      <c r="F1986" s="87"/>
      <c r="G1986" s="99"/>
      <c r="H1986" s="87"/>
      <c r="I1986" s="87"/>
      <c r="J1986" s="87"/>
    </row>
    <row r="1987">
      <c r="A1987" s="128"/>
      <c r="B1987" s="139"/>
      <c r="C1987" s="140"/>
      <c r="D1987" s="141"/>
      <c r="E1987" s="141"/>
      <c r="F1987" s="87"/>
      <c r="G1987" s="99"/>
      <c r="H1987" s="87"/>
      <c r="I1987" s="87"/>
      <c r="J1987" s="87"/>
    </row>
    <row r="1988">
      <c r="A1988" s="128"/>
      <c r="B1988" s="139"/>
      <c r="C1988" s="140"/>
      <c r="D1988" s="141"/>
      <c r="E1988" s="141"/>
      <c r="F1988" s="87"/>
      <c r="G1988" s="99"/>
      <c r="H1988" s="87"/>
      <c r="I1988" s="87"/>
      <c r="J1988" s="87"/>
    </row>
    <row r="1989">
      <c r="A1989" s="128"/>
      <c r="B1989" s="139"/>
      <c r="C1989" s="140"/>
      <c r="D1989" s="141"/>
      <c r="E1989" s="141"/>
      <c r="F1989" s="87"/>
      <c r="G1989" s="99"/>
      <c r="H1989" s="87"/>
      <c r="I1989" s="87"/>
      <c r="J1989" s="87"/>
    </row>
    <row r="1990">
      <c r="A1990" s="128"/>
      <c r="B1990" s="139"/>
      <c r="C1990" s="140"/>
      <c r="D1990" s="141"/>
      <c r="E1990" s="141"/>
      <c r="F1990" s="87"/>
      <c r="G1990" s="99"/>
      <c r="H1990" s="87"/>
      <c r="I1990" s="87"/>
      <c r="J1990" s="87"/>
    </row>
    <row r="1991">
      <c r="A1991" s="128"/>
      <c r="B1991" s="139"/>
      <c r="C1991" s="140"/>
      <c r="D1991" s="141"/>
      <c r="E1991" s="141"/>
      <c r="F1991" s="87"/>
      <c r="G1991" s="99"/>
      <c r="H1991" s="87"/>
      <c r="I1991" s="87"/>
      <c r="J1991" s="87"/>
    </row>
    <row r="1992">
      <c r="A1992" s="128"/>
      <c r="B1992" s="139"/>
      <c r="C1992" s="140"/>
      <c r="D1992" s="141"/>
      <c r="E1992" s="141"/>
      <c r="F1992" s="87"/>
      <c r="G1992" s="99"/>
      <c r="H1992" s="87"/>
      <c r="I1992" s="87"/>
      <c r="J1992" s="87"/>
    </row>
    <row r="1993">
      <c r="A1993" s="128"/>
      <c r="B1993" s="139"/>
      <c r="C1993" s="140"/>
      <c r="D1993" s="141"/>
      <c r="E1993" s="141"/>
      <c r="F1993" s="87"/>
      <c r="G1993" s="99"/>
      <c r="H1993" s="87"/>
      <c r="I1993" s="87"/>
      <c r="J1993" s="87"/>
    </row>
    <row r="1994">
      <c r="A1994" s="128"/>
      <c r="B1994" s="139"/>
      <c r="C1994" s="140"/>
      <c r="D1994" s="141"/>
      <c r="E1994" s="141"/>
      <c r="F1994" s="87"/>
      <c r="G1994" s="99"/>
      <c r="H1994" s="87"/>
      <c r="I1994" s="87"/>
      <c r="J1994" s="87"/>
    </row>
    <row r="1995">
      <c r="A1995" s="128"/>
      <c r="B1995" s="139"/>
      <c r="C1995" s="140"/>
      <c r="D1995" s="141"/>
      <c r="E1995" s="141"/>
      <c r="F1995" s="87"/>
      <c r="G1995" s="99"/>
      <c r="H1995" s="87"/>
      <c r="I1995" s="87"/>
      <c r="J1995" s="87"/>
    </row>
    <row r="1996">
      <c r="A1996" s="128"/>
      <c r="B1996" s="139"/>
      <c r="C1996" s="140"/>
      <c r="D1996" s="141"/>
      <c r="E1996" s="141"/>
      <c r="F1996" s="87"/>
      <c r="G1996" s="99"/>
      <c r="H1996" s="87"/>
      <c r="I1996" s="87"/>
      <c r="J1996" s="87"/>
    </row>
    <row r="1997">
      <c r="A1997" s="128"/>
      <c r="B1997" s="139"/>
      <c r="C1997" s="140"/>
      <c r="D1997" s="141"/>
      <c r="E1997" s="141"/>
      <c r="F1997" s="87"/>
      <c r="G1997" s="99"/>
      <c r="H1997" s="87"/>
      <c r="I1997" s="87"/>
      <c r="J1997" s="87"/>
    </row>
    <row r="1998">
      <c r="A1998" s="128"/>
      <c r="B1998" s="139"/>
      <c r="C1998" s="140"/>
      <c r="D1998" s="141"/>
      <c r="E1998" s="141"/>
      <c r="F1998" s="87"/>
      <c r="G1998" s="99"/>
      <c r="H1998" s="87"/>
      <c r="I1998" s="87"/>
      <c r="J1998" s="87"/>
    </row>
    <row r="1999">
      <c r="A1999" s="128"/>
      <c r="B1999" s="139"/>
      <c r="C1999" s="140"/>
      <c r="D1999" s="141"/>
      <c r="E1999" s="141"/>
      <c r="F1999" s="87"/>
      <c r="G1999" s="99"/>
      <c r="H1999" s="87"/>
      <c r="I1999" s="87"/>
      <c r="J1999" s="87"/>
    </row>
    <row r="2000">
      <c r="A2000" s="128"/>
      <c r="B2000" s="139"/>
      <c r="C2000" s="140"/>
      <c r="D2000" s="141"/>
      <c r="E2000" s="141"/>
      <c r="F2000" s="87"/>
      <c r="G2000" s="99"/>
      <c r="H2000" s="87"/>
      <c r="I2000" s="87"/>
      <c r="J2000" s="87"/>
    </row>
    <row r="2001">
      <c r="A2001" s="128"/>
      <c r="B2001" s="139"/>
      <c r="C2001" s="140"/>
      <c r="D2001" s="141"/>
      <c r="E2001" s="141"/>
      <c r="F2001" s="87"/>
      <c r="G2001" s="99"/>
      <c r="H2001" s="87"/>
      <c r="I2001" s="87"/>
      <c r="J2001" s="87"/>
    </row>
    <row r="2002">
      <c r="A2002" s="128"/>
      <c r="B2002" s="139"/>
      <c r="C2002" s="140"/>
      <c r="D2002" s="141"/>
      <c r="E2002" s="141"/>
      <c r="F2002" s="87"/>
      <c r="G2002" s="99"/>
      <c r="H2002" s="87"/>
      <c r="I2002" s="87"/>
      <c r="J2002" s="87"/>
    </row>
    <row r="2003">
      <c r="A2003" s="128"/>
      <c r="B2003" s="139"/>
      <c r="C2003" s="140"/>
      <c r="D2003" s="141"/>
      <c r="E2003" s="141"/>
      <c r="F2003" s="87"/>
      <c r="G2003" s="99"/>
      <c r="H2003" s="87"/>
      <c r="I2003" s="87"/>
      <c r="J2003" s="87"/>
    </row>
    <row r="2004">
      <c r="A2004" s="128"/>
      <c r="B2004" s="139"/>
      <c r="C2004" s="140"/>
      <c r="D2004" s="141"/>
      <c r="E2004" s="141"/>
      <c r="F2004" s="87"/>
      <c r="G2004" s="99"/>
      <c r="H2004" s="87"/>
      <c r="I2004" s="87"/>
      <c r="J2004" s="87"/>
    </row>
    <row r="2005">
      <c r="A2005" s="128"/>
      <c r="B2005" s="139"/>
      <c r="C2005" s="140"/>
      <c r="D2005" s="141"/>
      <c r="E2005" s="141"/>
      <c r="F2005" s="87"/>
      <c r="G2005" s="99"/>
      <c r="H2005" s="87"/>
      <c r="I2005" s="87"/>
      <c r="J2005" s="87"/>
    </row>
    <row r="2006">
      <c r="A2006" s="128"/>
      <c r="B2006" s="139"/>
      <c r="C2006" s="140"/>
      <c r="D2006" s="141"/>
      <c r="E2006" s="141"/>
      <c r="F2006" s="87"/>
      <c r="G2006" s="99"/>
      <c r="H2006" s="87"/>
      <c r="I2006" s="87"/>
      <c r="J2006" s="87"/>
    </row>
    <row r="2007">
      <c r="A2007" s="128"/>
      <c r="B2007" s="139"/>
      <c r="C2007" s="140"/>
      <c r="D2007" s="141"/>
      <c r="E2007" s="141"/>
      <c r="F2007" s="87"/>
      <c r="G2007" s="99"/>
      <c r="H2007" s="87"/>
      <c r="I2007" s="87"/>
      <c r="J2007" s="87"/>
    </row>
    <row r="2008">
      <c r="A2008" s="128"/>
      <c r="B2008" s="139"/>
      <c r="C2008" s="140"/>
      <c r="D2008" s="141"/>
      <c r="E2008" s="141"/>
      <c r="F2008" s="87"/>
      <c r="G2008" s="99"/>
      <c r="H2008" s="87"/>
      <c r="I2008" s="87"/>
      <c r="J2008" s="87"/>
    </row>
    <row r="2009">
      <c r="A2009" s="128"/>
      <c r="B2009" s="139"/>
      <c r="C2009" s="140"/>
      <c r="D2009" s="141"/>
      <c r="E2009" s="141"/>
      <c r="F2009" s="87"/>
      <c r="G2009" s="99"/>
      <c r="H2009" s="87"/>
      <c r="I2009" s="87"/>
      <c r="J2009" s="87"/>
    </row>
    <row r="2010">
      <c r="A2010" s="128"/>
      <c r="B2010" s="139"/>
      <c r="C2010" s="140"/>
      <c r="D2010" s="141"/>
      <c r="E2010" s="141"/>
      <c r="F2010" s="87"/>
      <c r="G2010" s="99"/>
      <c r="H2010" s="87"/>
      <c r="I2010" s="87"/>
      <c r="J2010" s="87"/>
    </row>
    <row r="2011">
      <c r="A2011" s="128"/>
      <c r="B2011" s="139"/>
      <c r="C2011" s="140"/>
      <c r="D2011" s="141"/>
      <c r="E2011" s="141"/>
      <c r="F2011" s="87"/>
      <c r="G2011" s="99"/>
      <c r="H2011" s="87"/>
      <c r="I2011" s="87"/>
      <c r="J2011" s="87"/>
    </row>
    <row r="2012">
      <c r="A2012" s="128"/>
      <c r="B2012" s="139"/>
      <c r="C2012" s="140"/>
      <c r="D2012" s="141"/>
      <c r="E2012" s="141"/>
      <c r="F2012" s="87"/>
      <c r="G2012" s="99"/>
      <c r="H2012" s="87"/>
      <c r="I2012" s="87"/>
      <c r="J2012" s="87"/>
    </row>
    <row r="2013">
      <c r="A2013" s="128"/>
      <c r="B2013" s="139"/>
      <c r="C2013" s="140"/>
      <c r="D2013" s="141"/>
      <c r="E2013" s="141"/>
      <c r="F2013" s="87"/>
      <c r="G2013" s="99"/>
      <c r="H2013" s="87"/>
      <c r="I2013" s="87"/>
      <c r="J2013" s="87"/>
    </row>
    <row r="2014">
      <c r="A2014" s="128"/>
      <c r="B2014" s="139"/>
      <c r="C2014" s="140"/>
      <c r="D2014" s="141"/>
      <c r="E2014" s="141"/>
      <c r="F2014" s="87"/>
      <c r="G2014" s="99"/>
      <c r="H2014" s="87"/>
      <c r="I2014" s="87"/>
      <c r="J2014" s="87"/>
    </row>
    <row r="2015">
      <c r="A2015" s="128"/>
      <c r="B2015" s="139"/>
      <c r="C2015" s="140"/>
      <c r="D2015" s="141"/>
      <c r="E2015" s="141"/>
      <c r="F2015" s="87"/>
      <c r="G2015" s="99"/>
      <c r="H2015" s="87"/>
      <c r="I2015" s="87"/>
      <c r="J2015" s="87"/>
    </row>
    <row r="2016">
      <c r="A2016" s="128"/>
      <c r="B2016" s="139"/>
      <c r="C2016" s="140"/>
      <c r="D2016" s="141"/>
      <c r="E2016" s="141"/>
      <c r="F2016" s="87"/>
      <c r="G2016" s="99"/>
      <c r="H2016" s="87"/>
      <c r="I2016" s="87"/>
      <c r="J2016" s="87"/>
    </row>
    <row r="2017">
      <c r="A2017" s="128"/>
      <c r="B2017" s="139"/>
      <c r="C2017" s="140"/>
      <c r="D2017" s="141"/>
      <c r="E2017" s="141"/>
      <c r="F2017" s="87"/>
      <c r="G2017" s="99"/>
      <c r="H2017" s="87"/>
      <c r="I2017" s="87"/>
      <c r="J2017" s="87"/>
    </row>
    <row r="2018">
      <c r="A2018" s="128"/>
      <c r="B2018" s="139"/>
      <c r="C2018" s="140"/>
      <c r="D2018" s="141"/>
      <c r="E2018" s="141"/>
      <c r="F2018" s="87"/>
      <c r="G2018" s="99"/>
      <c r="H2018" s="87"/>
      <c r="I2018" s="87"/>
      <c r="J2018" s="87"/>
    </row>
    <row r="2019">
      <c r="A2019" s="128"/>
      <c r="B2019" s="139"/>
      <c r="C2019" s="140"/>
      <c r="D2019" s="141"/>
      <c r="E2019" s="141"/>
      <c r="F2019" s="87"/>
      <c r="G2019" s="99"/>
      <c r="H2019" s="87"/>
      <c r="I2019" s="87"/>
      <c r="J2019" s="87"/>
    </row>
    <row r="2020">
      <c r="A2020" s="128"/>
      <c r="B2020" s="139"/>
      <c r="C2020" s="140"/>
      <c r="D2020" s="141"/>
      <c r="E2020" s="141"/>
      <c r="F2020" s="87"/>
      <c r="G2020" s="99"/>
      <c r="H2020" s="87"/>
      <c r="I2020" s="87"/>
      <c r="J2020" s="87"/>
    </row>
    <row r="2021">
      <c r="A2021" s="128"/>
      <c r="B2021" s="139"/>
      <c r="C2021" s="140"/>
      <c r="D2021" s="141"/>
      <c r="E2021" s="141"/>
      <c r="F2021" s="87"/>
      <c r="G2021" s="99"/>
      <c r="H2021" s="87"/>
      <c r="I2021" s="87"/>
      <c r="J2021" s="87"/>
    </row>
    <row r="2022">
      <c r="A2022" s="128"/>
      <c r="B2022" s="139"/>
      <c r="C2022" s="140"/>
      <c r="D2022" s="141"/>
      <c r="E2022" s="141"/>
      <c r="F2022" s="87"/>
      <c r="G2022" s="99"/>
      <c r="H2022" s="87"/>
      <c r="I2022" s="87"/>
      <c r="J2022" s="87"/>
    </row>
    <row r="2023">
      <c r="A2023" s="128"/>
      <c r="B2023" s="139"/>
      <c r="C2023" s="140"/>
      <c r="D2023" s="141"/>
      <c r="E2023" s="141"/>
      <c r="F2023" s="87"/>
      <c r="G2023" s="99"/>
      <c r="H2023" s="87"/>
      <c r="I2023" s="87"/>
      <c r="J2023" s="87"/>
    </row>
    <row r="2024">
      <c r="A2024" s="128"/>
      <c r="B2024" s="139"/>
      <c r="C2024" s="140"/>
      <c r="D2024" s="141"/>
      <c r="E2024" s="141"/>
      <c r="F2024" s="87"/>
      <c r="G2024" s="99"/>
      <c r="H2024" s="87"/>
      <c r="I2024" s="87"/>
      <c r="J2024" s="87"/>
    </row>
    <row r="2025">
      <c r="A2025" s="128"/>
      <c r="B2025" s="139"/>
      <c r="C2025" s="140"/>
      <c r="D2025" s="141"/>
      <c r="E2025" s="141"/>
      <c r="F2025" s="87"/>
      <c r="G2025" s="99"/>
      <c r="H2025" s="87"/>
      <c r="I2025" s="87"/>
      <c r="J2025" s="87"/>
    </row>
    <row r="2026">
      <c r="A2026" s="128"/>
      <c r="B2026" s="139"/>
      <c r="C2026" s="140"/>
      <c r="D2026" s="141"/>
      <c r="E2026" s="141"/>
      <c r="F2026" s="87"/>
      <c r="G2026" s="99"/>
      <c r="H2026" s="87"/>
      <c r="I2026" s="87"/>
      <c r="J2026" s="87"/>
    </row>
    <row r="2027">
      <c r="A2027" s="128"/>
      <c r="B2027" s="139"/>
      <c r="C2027" s="140"/>
      <c r="D2027" s="141"/>
      <c r="E2027" s="141"/>
      <c r="F2027" s="87"/>
      <c r="G2027" s="99"/>
      <c r="H2027" s="87"/>
      <c r="I2027" s="87"/>
      <c r="J2027" s="87"/>
    </row>
    <row r="2028">
      <c r="A2028" s="128"/>
      <c r="B2028" s="139"/>
      <c r="C2028" s="140"/>
      <c r="D2028" s="141"/>
      <c r="E2028" s="141"/>
      <c r="F2028" s="87"/>
      <c r="G2028" s="99"/>
      <c r="H2028" s="87"/>
      <c r="I2028" s="87"/>
      <c r="J2028" s="87"/>
    </row>
    <row r="2029">
      <c r="A2029" s="128"/>
      <c r="B2029" s="139"/>
      <c r="C2029" s="140"/>
      <c r="D2029" s="141"/>
      <c r="E2029" s="141"/>
      <c r="F2029" s="87"/>
      <c r="G2029" s="99"/>
      <c r="H2029" s="87"/>
      <c r="I2029" s="87"/>
      <c r="J2029" s="87"/>
    </row>
    <row r="2030">
      <c r="A2030" s="128"/>
      <c r="B2030" s="139"/>
      <c r="C2030" s="140"/>
      <c r="D2030" s="141"/>
      <c r="E2030" s="141"/>
      <c r="F2030" s="87"/>
      <c r="G2030" s="99"/>
      <c r="H2030" s="87"/>
      <c r="I2030" s="87"/>
      <c r="J2030" s="87"/>
    </row>
    <row r="2031">
      <c r="A2031" s="128"/>
      <c r="B2031" s="139"/>
      <c r="C2031" s="140"/>
      <c r="D2031" s="141"/>
      <c r="E2031" s="141"/>
      <c r="F2031" s="87"/>
      <c r="G2031" s="99"/>
      <c r="H2031" s="87"/>
      <c r="I2031" s="87"/>
      <c r="J2031" s="87"/>
    </row>
    <row r="2032">
      <c r="A2032" s="128"/>
      <c r="B2032" s="139"/>
      <c r="C2032" s="140"/>
      <c r="D2032" s="141"/>
      <c r="E2032" s="141"/>
      <c r="F2032" s="87"/>
      <c r="G2032" s="99"/>
      <c r="H2032" s="87"/>
      <c r="I2032" s="87"/>
      <c r="J2032" s="87"/>
    </row>
    <row r="2033">
      <c r="A2033" s="128"/>
      <c r="B2033" s="139"/>
      <c r="C2033" s="140"/>
      <c r="D2033" s="141"/>
      <c r="E2033" s="141"/>
      <c r="F2033" s="87"/>
      <c r="G2033" s="99"/>
      <c r="H2033" s="87"/>
      <c r="I2033" s="87"/>
      <c r="J2033" s="87"/>
    </row>
    <row r="2034">
      <c r="A2034" s="128"/>
      <c r="B2034" s="139"/>
      <c r="C2034" s="140"/>
      <c r="D2034" s="141"/>
      <c r="E2034" s="141"/>
      <c r="F2034" s="87"/>
      <c r="G2034" s="99"/>
      <c r="H2034" s="87"/>
      <c r="I2034" s="87"/>
      <c r="J2034" s="87"/>
    </row>
    <row r="2035">
      <c r="A2035" s="128"/>
      <c r="B2035" s="139"/>
      <c r="C2035" s="140"/>
      <c r="D2035" s="141"/>
      <c r="E2035" s="141"/>
      <c r="F2035" s="87"/>
      <c r="G2035" s="99"/>
      <c r="H2035" s="87"/>
      <c r="I2035" s="87"/>
      <c r="J2035" s="87"/>
    </row>
    <row r="2036">
      <c r="A2036" s="128"/>
      <c r="B2036" s="139"/>
      <c r="C2036" s="140"/>
      <c r="D2036" s="141"/>
      <c r="E2036" s="141"/>
      <c r="F2036" s="87"/>
      <c r="G2036" s="99"/>
      <c r="H2036" s="87"/>
      <c r="I2036" s="87"/>
      <c r="J2036" s="87"/>
    </row>
    <row r="2037">
      <c r="A2037" s="128"/>
      <c r="B2037" s="139"/>
      <c r="C2037" s="140"/>
      <c r="D2037" s="141"/>
      <c r="E2037" s="141"/>
      <c r="F2037" s="87"/>
      <c r="G2037" s="99"/>
      <c r="H2037" s="87"/>
      <c r="I2037" s="87"/>
      <c r="J2037" s="87"/>
    </row>
    <row r="2038">
      <c r="A2038" s="128"/>
      <c r="B2038" s="139"/>
      <c r="C2038" s="140"/>
      <c r="D2038" s="141"/>
      <c r="E2038" s="141"/>
      <c r="F2038" s="87"/>
      <c r="G2038" s="99"/>
      <c r="H2038" s="87"/>
      <c r="I2038" s="87"/>
      <c r="J2038" s="87"/>
    </row>
    <row r="2039">
      <c r="A2039" s="128"/>
      <c r="B2039" s="139"/>
      <c r="C2039" s="140"/>
      <c r="D2039" s="141"/>
      <c r="E2039" s="141"/>
      <c r="F2039" s="87"/>
      <c r="G2039" s="99"/>
      <c r="H2039" s="87"/>
      <c r="I2039" s="87"/>
      <c r="J2039" s="87"/>
    </row>
    <row r="2040">
      <c r="A2040" s="128"/>
      <c r="B2040" s="139"/>
      <c r="C2040" s="140"/>
      <c r="D2040" s="141"/>
      <c r="E2040" s="141"/>
      <c r="F2040" s="87"/>
      <c r="G2040" s="99"/>
      <c r="H2040" s="87"/>
      <c r="I2040" s="87"/>
      <c r="J2040" s="87"/>
    </row>
    <row r="2041">
      <c r="A2041" s="128"/>
      <c r="B2041" s="139"/>
      <c r="C2041" s="140"/>
      <c r="D2041" s="141"/>
      <c r="E2041" s="141"/>
      <c r="F2041" s="87"/>
      <c r="G2041" s="99"/>
      <c r="H2041" s="87"/>
      <c r="I2041" s="87"/>
      <c r="J2041" s="87"/>
    </row>
    <row r="2042">
      <c r="A2042" s="128"/>
      <c r="B2042" s="139"/>
      <c r="C2042" s="140"/>
      <c r="D2042" s="141"/>
      <c r="E2042" s="141"/>
      <c r="F2042" s="87"/>
      <c r="G2042" s="99"/>
      <c r="H2042" s="87"/>
      <c r="I2042" s="87"/>
      <c r="J2042" s="87"/>
    </row>
    <row r="2043">
      <c r="A2043" s="128"/>
      <c r="B2043" s="139"/>
      <c r="C2043" s="140"/>
      <c r="D2043" s="141"/>
      <c r="E2043" s="141"/>
      <c r="F2043" s="87"/>
      <c r="G2043" s="99"/>
      <c r="H2043" s="87"/>
      <c r="I2043" s="87"/>
      <c r="J2043" s="87"/>
    </row>
    <row r="2044">
      <c r="A2044" s="128"/>
      <c r="B2044" s="139"/>
      <c r="C2044" s="140"/>
      <c r="D2044" s="141"/>
      <c r="E2044" s="141"/>
      <c r="F2044" s="87"/>
      <c r="G2044" s="99"/>
      <c r="H2044" s="87"/>
      <c r="I2044" s="87"/>
      <c r="J2044" s="87"/>
    </row>
    <row r="2045">
      <c r="A2045" s="128"/>
      <c r="B2045" s="139"/>
      <c r="C2045" s="140"/>
      <c r="D2045" s="141"/>
      <c r="E2045" s="141"/>
      <c r="F2045" s="87"/>
      <c r="G2045" s="99"/>
      <c r="H2045" s="87"/>
      <c r="I2045" s="87"/>
      <c r="J2045" s="87"/>
    </row>
    <row r="2046">
      <c r="A2046" s="128"/>
      <c r="B2046" s="139"/>
      <c r="C2046" s="140"/>
      <c r="D2046" s="141"/>
      <c r="E2046" s="141"/>
      <c r="F2046" s="87"/>
      <c r="G2046" s="99"/>
      <c r="H2046" s="87"/>
      <c r="I2046" s="87"/>
      <c r="J2046" s="87"/>
    </row>
    <row r="2047">
      <c r="A2047" s="128"/>
      <c r="B2047" s="139"/>
      <c r="C2047" s="140"/>
      <c r="D2047" s="141"/>
      <c r="E2047" s="141"/>
      <c r="F2047" s="87"/>
      <c r="G2047" s="99"/>
      <c r="H2047" s="87"/>
      <c r="I2047" s="87"/>
      <c r="J2047" s="87"/>
    </row>
    <row r="2048">
      <c r="A2048" s="128"/>
      <c r="B2048" s="139"/>
      <c r="C2048" s="140"/>
      <c r="D2048" s="141"/>
      <c r="E2048" s="141"/>
      <c r="F2048" s="87"/>
      <c r="G2048" s="99"/>
      <c r="H2048" s="87"/>
      <c r="I2048" s="87"/>
      <c r="J2048" s="87"/>
    </row>
    <row r="2049">
      <c r="A2049" s="128"/>
      <c r="B2049" s="139"/>
      <c r="C2049" s="140"/>
      <c r="D2049" s="141"/>
      <c r="E2049" s="141"/>
      <c r="F2049" s="87"/>
      <c r="G2049" s="99"/>
      <c r="H2049" s="87"/>
      <c r="I2049" s="87"/>
      <c r="J2049" s="87"/>
    </row>
    <row r="2050">
      <c r="A2050" s="128"/>
      <c r="B2050" s="139"/>
      <c r="C2050" s="140"/>
      <c r="D2050" s="141"/>
      <c r="E2050" s="141"/>
      <c r="F2050" s="87"/>
      <c r="G2050" s="99"/>
      <c r="H2050" s="87"/>
      <c r="I2050" s="87"/>
      <c r="J2050" s="87"/>
    </row>
    <row r="2051">
      <c r="A2051" s="128"/>
      <c r="B2051" s="139"/>
      <c r="C2051" s="140"/>
      <c r="D2051" s="141"/>
      <c r="E2051" s="141"/>
      <c r="F2051" s="87"/>
      <c r="G2051" s="99"/>
      <c r="H2051" s="87"/>
      <c r="I2051" s="87"/>
      <c r="J2051" s="87"/>
    </row>
    <row r="2052">
      <c r="A2052" s="128"/>
      <c r="B2052" s="139"/>
      <c r="C2052" s="140"/>
      <c r="D2052" s="141"/>
      <c r="E2052" s="141"/>
      <c r="F2052" s="87"/>
      <c r="G2052" s="99"/>
      <c r="H2052" s="87"/>
      <c r="I2052" s="87"/>
      <c r="J2052" s="87"/>
    </row>
    <row r="2053">
      <c r="A2053" s="128"/>
      <c r="B2053" s="139"/>
      <c r="C2053" s="140"/>
      <c r="D2053" s="141"/>
      <c r="E2053" s="141"/>
      <c r="F2053" s="87"/>
      <c r="G2053" s="99"/>
      <c r="H2053" s="87"/>
      <c r="I2053" s="87"/>
      <c r="J2053" s="87"/>
    </row>
    <row r="2054">
      <c r="A2054" s="128"/>
      <c r="B2054" s="139"/>
      <c r="C2054" s="140"/>
      <c r="D2054" s="141"/>
      <c r="E2054" s="141"/>
      <c r="F2054" s="87"/>
      <c r="G2054" s="99"/>
      <c r="H2054" s="87"/>
      <c r="I2054" s="87"/>
      <c r="J2054" s="87"/>
    </row>
    <row r="2055">
      <c r="A2055" s="128"/>
      <c r="B2055" s="139"/>
      <c r="C2055" s="140"/>
      <c r="D2055" s="141"/>
      <c r="E2055" s="141"/>
      <c r="F2055" s="87"/>
      <c r="G2055" s="99"/>
      <c r="H2055" s="87"/>
      <c r="I2055" s="87"/>
      <c r="J2055" s="87"/>
    </row>
    <row r="2056">
      <c r="A2056" s="128"/>
      <c r="B2056" s="139"/>
      <c r="C2056" s="140"/>
      <c r="D2056" s="141"/>
      <c r="E2056" s="141"/>
      <c r="F2056" s="87"/>
      <c r="G2056" s="99"/>
      <c r="H2056" s="87"/>
      <c r="I2056" s="87"/>
      <c r="J2056" s="87"/>
    </row>
    <row r="2057">
      <c r="A2057" s="128"/>
      <c r="B2057" s="139"/>
      <c r="C2057" s="140"/>
      <c r="D2057" s="141"/>
      <c r="E2057" s="141"/>
      <c r="F2057" s="87"/>
      <c r="G2057" s="99"/>
      <c r="H2057" s="87"/>
      <c r="I2057" s="87"/>
      <c r="J2057" s="87"/>
    </row>
    <row r="2058">
      <c r="A2058" s="128"/>
      <c r="B2058" s="139"/>
      <c r="C2058" s="140"/>
      <c r="D2058" s="141"/>
      <c r="E2058" s="141"/>
      <c r="F2058" s="87"/>
      <c r="G2058" s="99"/>
      <c r="H2058" s="87"/>
      <c r="I2058" s="87"/>
      <c r="J2058" s="87"/>
    </row>
    <row r="2059">
      <c r="A2059" s="128"/>
      <c r="B2059" s="139"/>
      <c r="C2059" s="140"/>
      <c r="D2059" s="141"/>
      <c r="E2059" s="141"/>
      <c r="F2059" s="87"/>
      <c r="G2059" s="99"/>
      <c r="H2059" s="87"/>
      <c r="I2059" s="87"/>
      <c r="J2059" s="87"/>
    </row>
    <row r="2060">
      <c r="A2060" s="128"/>
      <c r="B2060" s="139"/>
      <c r="C2060" s="140"/>
      <c r="D2060" s="141"/>
      <c r="E2060" s="141"/>
      <c r="F2060" s="87"/>
      <c r="G2060" s="99"/>
      <c r="H2060" s="87"/>
      <c r="I2060" s="87"/>
      <c r="J2060" s="87"/>
    </row>
    <row r="2061">
      <c r="A2061" s="128"/>
      <c r="B2061" s="139"/>
      <c r="C2061" s="140"/>
      <c r="D2061" s="141"/>
      <c r="E2061" s="141"/>
      <c r="F2061" s="87"/>
      <c r="G2061" s="99"/>
      <c r="H2061" s="87"/>
      <c r="I2061" s="87"/>
      <c r="J2061" s="87"/>
    </row>
    <row r="2062">
      <c r="A2062" s="128"/>
      <c r="B2062" s="139"/>
      <c r="C2062" s="140"/>
      <c r="D2062" s="141"/>
      <c r="E2062" s="141"/>
      <c r="F2062" s="87"/>
      <c r="G2062" s="99"/>
      <c r="H2062" s="87"/>
      <c r="I2062" s="87"/>
      <c r="J2062" s="87"/>
    </row>
    <row r="2063">
      <c r="A2063" s="128"/>
      <c r="B2063" s="139"/>
      <c r="C2063" s="140"/>
      <c r="D2063" s="141"/>
      <c r="E2063" s="141"/>
      <c r="F2063" s="87"/>
      <c r="G2063" s="99"/>
      <c r="H2063" s="87"/>
      <c r="I2063" s="87"/>
      <c r="J2063" s="87"/>
    </row>
    <row r="2064">
      <c r="A2064" s="128"/>
      <c r="B2064" s="139"/>
      <c r="C2064" s="140"/>
      <c r="D2064" s="141"/>
      <c r="E2064" s="141"/>
      <c r="F2064" s="87"/>
      <c r="G2064" s="99"/>
      <c r="H2064" s="87"/>
      <c r="I2064" s="87"/>
      <c r="J2064" s="87"/>
    </row>
    <row r="2065">
      <c r="A2065" s="128"/>
      <c r="B2065" s="139"/>
      <c r="C2065" s="140"/>
      <c r="D2065" s="141"/>
      <c r="E2065" s="141"/>
      <c r="F2065" s="87"/>
      <c r="G2065" s="99"/>
      <c r="H2065" s="87"/>
      <c r="I2065" s="87"/>
      <c r="J2065" s="87"/>
    </row>
    <row r="2066">
      <c r="A2066" s="128"/>
      <c r="B2066" s="139"/>
      <c r="C2066" s="140"/>
      <c r="D2066" s="141"/>
      <c r="E2066" s="141"/>
      <c r="F2066" s="87"/>
      <c r="G2066" s="99"/>
      <c r="H2066" s="87"/>
      <c r="I2066" s="87"/>
      <c r="J2066" s="87"/>
    </row>
    <row r="2067">
      <c r="A2067" s="128"/>
      <c r="B2067" s="139"/>
      <c r="C2067" s="140"/>
      <c r="D2067" s="141"/>
      <c r="E2067" s="141"/>
      <c r="F2067" s="87"/>
      <c r="G2067" s="99"/>
      <c r="H2067" s="87"/>
      <c r="I2067" s="87"/>
      <c r="J2067" s="87"/>
    </row>
    <row r="2068">
      <c r="A2068" s="128"/>
      <c r="B2068" s="139"/>
      <c r="C2068" s="140"/>
      <c r="D2068" s="141"/>
      <c r="E2068" s="141"/>
      <c r="F2068" s="87"/>
      <c r="G2068" s="99"/>
      <c r="H2068" s="87"/>
      <c r="I2068" s="87"/>
      <c r="J2068" s="87"/>
    </row>
    <row r="2069">
      <c r="A2069" s="128"/>
      <c r="B2069" s="139"/>
      <c r="C2069" s="140"/>
      <c r="D2069" s="141"/>
      <c r="E2069" s="141"/>
      <c r="F2069" s="87"/>
      <c r="G2069" s="99"/>
      <c r="H2069" s="87"/>
      <c r="I2069" s="87"/>
      <c r="J2069" s="87"/>
    </row>
    <row r="2070">
      <c r="A2070" s="128"/>
      <c r="B2070" s="139"/>
      <c r="C2070" s="140"/>
      <c r="D2070" s="141"/>
      <c r="E2070" s="141"/>
      <c r="F2070" s="87"/>
      <c r="G2070" s="99"/>
      <c r="H2070" s="87"/>
      <c r="I2070" s="87"/>
      <c r="J2070" s="87"/>
    </row>
    <row r="2071">
      <c r="A2071" s="128"/>
      <c r="B2071" s="139"/>
      <c r="C2071" s="140"/>
      <c r="D2071" s="141"/>
      <c r="E2071" s="141"/>
      <c r="F2071" s="87"/>
      <c r="G2071" s="99"/>
      <c r="H2071" s="87"/>
      <c r="I2071" s="87"/>
      <c r="J2071" s="87"/>
    </row>
    <row r="2072">
      <c r="A2072" s="128"/>
      <c r="B2072" s="139"/>
      <c r="C2072" s="140"/>
      <c r="D2072" s="141"/>
      <c r="E2072" s="141"/>
      <c r="F2072" s="87"/>
      <c r="G2072" s="99"/>
      <c r="H2072" s="87"/>
      <c r="I2072" s="87"/>
      <c r="J2072" s="87"/>
    </row>
    <row r="2073">
      <c r="A2073" s="128"/>
      <c r="B2073" s="139"/>
      <c r="C2073" s="140"/>
      <c r="D2073" s="141"/>
      <c r="E2073" s="141"/>
      <c r="F2073" s="87"/>
      <c r="G2073" s="99"/>
      <c r="H2073" s="87"/>
      <c r="I2073" s="87"/>
      <c r="J2073" s="87"/>
    </row>
    <row r="2074">
      <c r="A2074" s="128"/>
      <c r="B2074" s="139"/>
      <c r="C2074" s="140"/>
      <c r="D2074" s="141"/>
      <c r="E2074" s="141"/>
      <c r="F2074" s="87"/>
      <c r="G2074" s="99"/>
      <c r="H2074" s="87"/>
      <c r="I2074" s="87"/>
      <c r="J2074" s="87"/>
    </row>
    <row r="2075">
      <c r="A2075" s="128"/>
      <c r="B2075" s="139"/>
      <c r="C2075" s="140"/>
      <c r="D2075" s="141"/>
      <c r="E2075" s="141"/>
      <c r="F2075" s="87"/>
      <c r="G2075" s="99"/>
      <c r="H2075" s="87"/>
      <c r="I2075" s="87"/>
      <c r="J2075" s="87"/>
    </row>
    <row r="2076">
      <c r="A2076" s="128"/>
      <c r="B2076" s="139"/>
      <c r="C2076" s="140"/>
      <c r="D2076" s="141"/>
      <c r="E2076" s="141"/>
      <c r="F2076" s="87"/>
      <c r="G2076" s="99"/>
      <c r="H2076" s="87"/>
      <c r="I2076" s="87"/>
      <c r="J2076" s="87"/>
    </row>
    <row r="2077">
      <c r="A2077" s="128"/>
      <c r="B2077" s="139"/>
      <c r="C2077" s="140"/>
      <c r="D2077" s="141"/>
      <c r="E2077" s="141"/>
      <c r="F2077" s="87"/>
      <c r="G2077" s="99"/>
      <c r="H2077" s="87"/>
      <c r="I2077" s="87"/>
      <c r="J2077" s="87"/>
    </row>
    <row r="2078">
      <c r="A2078" s="128"/>
      <c r="B2078" s="139"/>
      <c r="C2078" s="140"/>
      <c r="D2078" s="141"/>
      <c r="E2078" s="141"/>
      <c r="F2078" s="87"/>
      <c r="G2078" s="99"/>
      <c r="H2078" s="87"/>
      <c r="I2078" s="87"/>
      <c r="J2078" s="87"/>
    </row>
    <row r="2079">
      <c r="A2079" s="128"/>
      <c r="B2079" s="139"/>
      <c r="C2079" s="140"/>
      <c r="D2079" s="141"/>
      <c r="E2079" s="141"/>
      <c r="F2079" s="87"/>
      <c r="G2079" s="99"/>
      <c r="H2079" s="87"/>
      <c r="I2079" s="87"/>
      <c r="J2079" s="87"/>
    </row>
    <row r="2080">
      <c r="A2080" s="128"/>
      <c r="B2080" s="139"/>
      <c r="C2080" s="140"/>
      <c r="D2080" s="141"/>
      <c r="E2080" s="141"/>
      <c r="F2080" s="87"/>
      <c r="G2080" s="99"/>
      <c r="H2080" s="87"/>
      <c r="I2080" s="87"/>
      <c r="J2080" s="87"/>
    </row>
    <row r="2081">
      <c r="A2081" s="128"/>
      <c r="B2081" s="139"/>
      <c r="C2081" s="140"/>
      <c r="D2081" s="141"/>
      <c r="E2081" s="141"/>
      <c r="F2081" s="87"/>
      <c r="G2081" s="99"/>
      <c r="H2081" s="87"/>
      <c r="I2081" s="87"/>
      <c r="J2081" s="87"/>
    </row>
    <row r="2082">
      <c r="A2082" s="128"/>
      <c r="B2082" s="139"/>
      <c r="C2082" s="140"/>
      <c r="D2082" s="141"/>
      <c r="E2082" s="141"/>
      <c r="F2082" s="87"/>
      <c r="G2082" s="99"/>
      <c r="H2082" s="87"/>
      <c r="I2082" s="87"/>
      <c r="J2082" s="87"/>
    </row>
    <row r="2083">
      <c r="A2083" s="128"/>
      <c r="B2083" s="139"/>
      <c r="C2083" s="140"/>
      <c r="D2083" s="141"/>
      <c r="E2083" s="141"/>
      <c r="F2083" s="87"/>
      <c r="G2083" s="99"/>
      <c r="H2083" s="87"/>
      <c r="I2083" s="87"/>
      <c r="J2083" s="87"/>
    </row>
    <row r="2084">
      <c r="A2084" s="128"/>
      <c r="B2084" s="139"/>
      <c r="C2084" s="140"/>
      <c r="D2084" s="141"/>
      <c r="E2084" s="141"/>
      <c r="F2084" s="87"/>
      <c r="G2084" s="99"/>
      <c r="H2084" s="87"/>
      <c r="I2084" s="87"/>
      <c r="J2084" s="87"/>
    </row>
    <row r="2085">
      <c r="A2085" s="128"/>
      <c r="B2085" s="139"/>
      <c r="C2085" s="140"/>
      <c r="D2085" s="141"/>
      <c r="E2085" s="141"/>
      <c r="F2085" s="87"/>
      <c r="G2085" s="99"/>
      <c r="H2085" s="87"/>
      <c r="I2085" s="87"/>
      <c r="J2085" s="87"/>
    </row>
    <row r="2086">
      <c r="A2086" s="128"/>
      <c r="B2086" s="139"/>
      <c r="C2086" s="140"/>
      <c r="D2086" s="141"/>
      <c r="E2086" s="141"/>
      <c r="F2086" s="87"/>
      <c r="G2086" s="99"/>
      <c r="H2086" s="87"/>
      <c r="I2086" s="87"/>
      <c r="J2086" s="87"/>
    </row>
    <row r="2087">
      <c r="A2087" s="128"/>
      <c r="B2087" s="139"/>
      <c r="C2087" s="140"/>
      <c r="D2087" s="141"/>
      <c r="E2087" s="141"/>
      <c r="F2087" s="87"/>
      <c r="G2087" s="99"/>
      <c r="H2087" s="87"/>
      <c r="I2087" s="87"/>
      <c r="J2087" s="87"/>
    </row>
    <row r="2088">
      <c r="A2088" s="128"/>
      <c r="B2088" s="139"/>
      <c r="C2088" s="140"/>
      <c r="D2088" s="141"/>
      <c r="E2088" s="141"/>
      <c r="F2088" s="87"/>
      <c r="G2088" s="99"/>
      <c r="H2088" s="87"/>
      <c r="I2088" s="87"/>
      <c r="J2088" s="87"/>
    </row>
    <row r="2089">
      <c r="A2089" s="128"/>
      <c r="B2089" s="139"/>
      <c r="C2089" s="140"/>
      <c r="D2089" s="141"/>
      <c r="E2089" s="141"/>
      <c r="F2089" s="87"/>
      <c r="G2089" s="99"/>
      <c r="H2089" s="87"/>
      <c r="I2089" s="87"/>
      <c r="J2089" s="87"/>
    </row>
    <row r="2090">
      <c r="A2090" s="128"/>
      <c r="B2090" s="139"/>
      <c r="C2090" s="140"/>
      <c r="D2090" s="141"/>
      <c r="E2090" s="141"/>
      <c r="F2090" s="87"/>
      <c r="G2090" s="99"/>
      <c r="H2090" s="87"/>
      <c r="I2090" s="87"/>
      <c r="J2090" s="87"/>
    </row>
    <row r="2091">
      <c r="A2091" s="128"/>
      <c r="B2091" s="139"/>
      <c r="C2091" s="140"/>
      <c r="D2091" s="141"/>
      <c r="E2091" s="141"/>
      <c r="F2091" s="87"/>
      <c r="G2091" s="99"/>
      <c r="H2091" s="87"/>
      <c r="I2091" s="87"/>
      <c r="J2091" s="87"/>
    </row>
    <row r="2092">
      <c r="A2092" s="128"/>
      <c r="B2092" s="139"/>
      <c r="C2092" s="140"/>
      <c r="D2092" s="141"/>
      <c r="E2092" s="141"/>
      <c r="F2092" s="87"/>
      <c r="G2092" s="99"/>
      <c r="H2092" s="87"/>
      <c r="I2092" s="87"/>
      <c r="J2092" s="87"/>
    </row>
    <row r="2093">
      <c r="A2093" s="128"/>
      <c r="B2093" s="139"/>
      <c r="C2093" s="140"/>
      <c r="D2093" s="141"/>
      <c r="E2093" s="141"/>
      <c r="F2093" s="87"/>
      <c r="G2093" s="99"/>
      <c r="H2093" s="87"/>
      <c r="I2093" s="87"/>
      <c r="J2093" s="87"/>
    </row>
    <row r="2094">
      <c r="A2094" s="128"/>
      <c r="B2094" s="139"/>
      <c r="C2094" s="140"/>
      <c r="D2094" s="141"/>
      <c r="E2094" s="141"/>
      <c r="F2094" s="87"/>
      <c r="G2094" s="99"/>
      <c r="H2094" s="87"/>
      <c r="I2094" s="87"/>
      <c r="J2094" s="87"/>
    </row>
    <row r="2095">
      <c r="A2095" s="128"/>
      <c r="B2095" s="139"/>
      <c r="C2095" s="140"/>
      <c r="D2095" s="141"/>
      <c r="E2095" s="141"/>
      <c r="F2095" s="87"/>
      <c r="G2095" s="99"/>
      <c r="H2095" s="87"/>
      <c r="I2095" s="87"/>
      <c r="J2095" s="87"/>
    </row>
    <row r="2096">
      <c r="A2096" s="128"/>
      <c r="B2096" s="139"/>
      <c r="C2096" s="140"/>
      <c r="D2096" s="141"/>
      <c r="E2096" s="141"/>
      <c r="F2096" s="87"/>
      <c r="G2096" s="99"/>
      <c r="H2096" s="87"/>
      <c r="I2096" s="87"/>
      <c r="J2096" s="87"/>
    </row>
    <row r="2097">
      <c r="A2097" s="128"/>
      <c r="B2097" s="139"/>
      <c r="C2097" s="140"/>
      <c r="D2097" s="141"/>
      <c r="E2097" s="141"/>
      <c r="F2097" s="87"/>
      <c r="G2097" s="99"/>
      <c r="H2097" s="87"/>
      <c r="I2097" s="87"/>
      <c r="J2097" s="87"/>
    </row>
    <row r="2098">
      <c r="A2098" s="128"/>
      <c r="B2098" s="139"/>
      <c r="C2098" s="140"/>
      <c r="D2098" s="141"/>
      <c r="E2098" s="141"/>
      <c r="F2098" s="87"/>
      <c r="G2098" s="99"/>
      <c r="H2098" s="87"/>
      <c r="I2098" s="87"/>
      <c r="J2098" s="87"/>
    </row>
    <row r="2099">
      <c r="A2099" s="128"/>
      <c r="B2099" s="139"/>
      <c r="C2099" s="140"/>
      <c r="D2099" s="141"/>
      <c r="E2099" s="141"/>
      <c r="F2099" s="87"/>
      <c r="G2099" s="99"/>
      <c r="H2099" s="87"/>
      <c r="I2099" s="87"/>
      <c r="J2099" s="87"/>
    </row>
    <row r="2100">
      <c r="A2100" s="128"/>
      <c r="B2100" s="139"/>
      <c r="C2100" s="140"/>
      <c r="D2100" s="141"/>
      <c r="E2100" s="141"/>
      <c r="F2100" s="87"/>
      <c r="G2100" s="99"/>
      <c r="H2100" s="87"/>
      <c r="I2100" s="87"/>
      <c r="J2100" s="87"/>
    </row>
    <row r="2101">
      <c r="A2101" s="128"/>
      <c r="B2101" s="139"/>
      <c r="C2101" s="140"/>
      <c r="D2101" s="141"/>
      <c r="E2101" s="141"/>
      <c r="F2101" s="87"/>
      <c r="G2101" s="99"/>
      <c r="H2101" s="87"/>
      <c r="I2101" s="87"/>
      <c r="J2101" s="87"/>
    </row>
    <row r="2102">
      <c r="A2102" s="128"/>
      <c r="B2102" s="139"/>
      <c r="C2102" s="140"/>
      <c r="D2102" s="141"/>
      <c r="E2102" s="141"/>
      <c r="F2102" s="87"/>
      <c r="G2102" s="99"/>
      <c r="H2102" s="87"/>
      <c r="I2102" s="87"/>
      <c r="J2102" s="87"/>
    </row>
    <row r="2103">
      <c r="A2103" s="128"/>
      <c r="B2103" s="139"/>
      <c r="C2103" s="140"/>
      <c r="D2103" s="141"/>
      <c r="E2103" s="141"/>
      <c r="F2103" s="87"/>
      <c r="G2103" s="99"/>
      <c r="H2103" s="87"/>
      <c r="I2103" s="87"/>
      <c r="J2103" s="87"/>
    </row>
    <row r="2104">
      <c r="A2104" s="128"/>
      <c r="B2104" s="139"/>
      <c r="C2104" s="140"/>
      <c r="D2104" s="141"/>
      <c r="E2104" s="141"/>
      <c r="F2104" s="87"/>
      <c r="G2104" s="99"/>
      <c r="H2104" s="87"/>
      <c r="I2104" s="87"/>
      <c r="J2104" s="87"/>
    </row>
    <row r="2105">
      <c r="A2105" s="128"/>
      <c r="B2105" s="139"/>
      <c r="C2105" s="140"/>
      <c r="D2105" s="141"/>
      <c r="E2105" s="141"/>
      <c r="F2105" s="87"/>
      <c r="G2105" s="99"/>
      <c r="H2105" s="87"/>
      <c r="I2105" s="87"/>
      <c r="J2105" s="87"/>
    </row>
    <row r="2106">
      <c r="A2106" s="128"/>
      <c r="B2106" s="139"/>
      <c r="C2106" s="140"/>
      <c r="D2106" s="141"/>
      <c r="E2106" s="141"/>
      <c r="F2106" s="87"/>
      <c r="G2106" s="99"/>
      <c r="H2106" s="87"/>
      <c r="I2106" s="87"/>
      <c r="J2106" s="87"/>
    </row>
    <row r="2107">
      <c r="A2107" s="128"/>
      <c r="B2107" s="139"/>
      <c r="C2107" s="140"/>
      <c r="D2107" s="141"/>
      <c r="E2107" s="141"/>
      <c r="F2107" s="87"/>
      <c r="G2107" s="99"/>
      <c r="H2107" s="87"/>
      <c r="I2107" s="87"/>
      <c r="J2107" s="87"/>
    </row>
    <row r="2108">
      <c r="A2108" s="128"/>
      <c r="B2108" s="139"/>
      <c r="C2108" s="140"/>
      <c r="D2108" s="141"/>
      <c r="E2108" s="141"/>
      <c r="F2108" s="87"/>
      <c r="G2108" s="99"/>
      <c r="H2108" s="87"/>
      <c r="I2108" s="87"/>
      <c r="J2108" s="87"/>
    </row>
    <row r="2109">
      <c r="A2109" s="128"/>
      <c r="B2109" s="139"/>
      <c r="C2109" s="140"/>
      <c r="D2109" s="141"/>
      <c r="E2109" s="141"/>
      <c r="F2109" s="87"/>
      <c r="G2109" s="99"/>
      <c r="H2109" s="87"/>
      <c r="I2109" s="87"/>
      <c r="J2109" s="87"/>
    </row>
    <row r="2110">
      <c r="A2110" s="128"/>
      <c r="B2110" s="139"/>
      <c r="C2110" s="140"/>
      <c r="D2110" s="141"/>
      <c r="E2110" s="141"/>
      <c r="F2110" s="87"/>
      <c r="G2110" s="99"/>
      <c r="H2110" s="87"/>
      <c r="I2110" s="87"/>
      <c r="J2110" s="87"/>
    </row>
    <row r="2111">
      <c r="A2111" s="128"/>
      <c r="B2111" s="139"/>
      <c r="C2111" s="140"/>
      <c r="D2111" s="141"/>
      <c r="E2111" s="141"/>
      <c r="F2111" s="87"/>
      <c r="G2111" s="99"/>
      <c r="H2111" s="87"/>
      <c r="I2111" s="87"/>
      <c r="J2111" s="87"/>
    </row>
    <row r="2112">
      <c r="A2112" s="128"/>
      <c r="B2112" s="139"/>
      <c r="C2112" s="140"/>
      <c r="D2112" s="141"/>
      <c r="E2112" s="141"/>
      <c r="F2112" s="87"/>
      <c r="G2112" s="99"/>
      <c r="H2112" s="87"/>
      <c r="I2112" s="87"/>
      <c r="J2112" s="87"/>
    </row>
    <row r="2113">
      <c r="A2113" s="128"/>
      <c r="B2113" s="139"/>
      <c r="C2113" s="140"/>
      <c r="D2113" s="141"/>
      <c r="E2113" s="141"/>
      <c r="F2113" s="87"/>
      <c r="G2113" s="99"/>
      <c r="H2113" s="87"/>
      <c r="I2113" s="87"/>
      <c r="J2113" s="87"/>
    </row>
    <row r="2114">
      <c r="A2114" s="128"/>
      <c r="B2114" s="139"/>
      <c r="C2114" s="140"/>
      <c r="D2114" s="141"/>
      <c r="E2114" s="141"/>
      <c r="F2114" s="87"/>
      <c r="G2114" s="99"/>
      <c r="H2114" s="87"/>
      <c r="I2114" s="87"/>
      <c r="J2114" s="87"/>
    </row>
    <row r="2115">
      <c r="A2115" s="128"/>
      <c r="B2115" s="139"/>
      <c r="C2115" s="140"/>
      <c r="D2115" s="141"/>
      <c r="E2115" s="141"/>
      <c r="F2115" s="87"/>
      <c r="G2115" s="99"/>
      <c r="H2115" s="87"/>
      <c r="I2115" s="87"/>
      <c r="J2115" s="87"/>
    </row>
    <row r="2116">
      <c r="A2116" s="128"/>
      <c r="B2116" s="139"/>
      <c r="C2116" s="140"/>
      <c r="D2116" s="141"/>
      <c r="E2116" s="141"/>
      <c r="F2116" s="87"/>
      <c r="G2116" s="99"/>
      <c r="H2116" s="87"/>
      <c r="I2116" s="87"/>
      <c r="J2116" s="87"/>
    </row>
    <row r="2117">
      <c r="A2117" s="128"/>
      <c r="B2117" s="139"/>
      <c r="C2117" s="140"/>
      <c r="D2117" s="141"/>
      <c r="E2117" s="141"/>
      <c r="F2117" s="87"/>
      <c r="G2117" s="99"/>
      <c r="H2117" s="87"/>
      <c r="I2117" s="87"/>
      <c r="J2117" s="87"/>
    </row>
    <row r="2118">
      <c r="A2118" s="128"/>
      <c r="B2118" s="139"/>
      <c r="C2118" s="140"/>
      <c r="D2118" s="141"/>
      <c r="E2118" s="141"/>
      <c r="F2118" s="87"/>
      <c r="G2118" s="99"/>
      <c r="H2118" s="87"/>
      <c r="I2118" s="87"/>
      <c r="J2118" s="87"/>
    </row>
    <row r="2119">
      <c r="A2119" s="128"/>
      <c r="B2119" s="139"/>
      <c r="C2119" s="140"/>
      <c r="D2119" s="141"/>
      <c r="E2119" s="141"/>
      <c r="F2119" s="87"/>
      <c r="G2119" s="99"/>
      <c r="H2119" s="87"/>
      <c r="I2119" s="87"/>
      <c r="J2119" s="87"/>
    </row>
    <row r="2120">
      <c r="A2120" s="128"/>
      <c r="B2120" s="139"/>
      <c r="C2120" s="140"/>
      <c r="D2120" s="141"/>
      <c r="E2120" s="141"/>
      <c r="F2120" s="87"/>
      <c r="G2120" s="99"/>
      <c r="H2120" s="87"/>
      <c r="I2120" s="87"/>
      <c r="J2120" s="87"/>
    </row>
    <row r="2121">
      <c r="A2121" s="128"/>
      <c r="B2121" s="139"/>
      <c r="C2121" s="140"/>
      <c r="D2121" s="141"/>
      <c r="E2121" s="141"/>
      <c r="F2121" s="87"/>
      <c r="G2121" s="99"/>
      <c r="H2121" s="87"/>
      <c r="I2121" s="87"/>
      <c r="J2121" s="87"/>
    </row>
    <row r="2122">
      <c r="A2122" s="128"/>
      <c r="B2122" s="139"/>
      <c r="C2122" s="140"/>
      <c r="D2122" s="141"/>
      <c r="E2122" s="141"/>
      <c r="F2122" s="87"/>
      <c r="G2122" s="99"/>
      <c r="H2122" s="87"/>
      <c r="I2122" s="87"/>
      <c r="J2122" s="87"/>
    </row>
    <row r="2123">
      <c r="A2123" s="128"/>
      <c r="B2123" s="139"/>
      <c r="C2123" s="140"/>
      <c r="D2123" s="141"/>
      <c r="E2123" s="141"/>
      <c r="F2123" s="87"/>
      <c r="G2123" s="99"/>
      <c r="H2123" s="87"/>
      <c r="I2123" s="87"/>
      <c r="J2123" s="87"/>
    </row>
    <row r="2124">
      <c r="A2124" s="128"/>
      <c r="B2124" s="139"/>
      <c r="C2124" s="140"/>
      <c r="D2124" s="141"/>
      <c r="E2124" s="141"/>
      <c r="F2124" s="87"/>
      <c r="G2124" s="99"/>
      <c r="H2124" s="87"/>
      <c r="I2124" s="87"/>
      <c r="J2124" s="87"/>
    </row>
    <row r="2125">
      <c r="A2125" s="128"/>
      <c r="B2125" s="139"/>
      <c r="C2125" s="140"/>
      <c r="D2125" s="141"/>
      <c r="E2125" s="141"/>
      <c r="F2125" s="87"/>
      <c r="G2125" s="99"/>
      <c r="H2125" s="87"/>
      <c r="I2125" s="87"/>
      <c r="J2125" s="87"/>
    </row>
    <row r="2126">
      <c r="A2126" s="128"/>
      <c r="B2126" s="139"/>
      <c r="C2126" s="140"/>
      <c r="D2126" s="141"/>
      <c r="E2126" s="141"/>
      <c r="F2126" s="87"/>
      <c r="G2126" s="99"/>
      <c r="H2126" s="87"/>
      <c r="I2126" s="87"/>
      <c r="J2126" s="87"/>
    </row>
    <row r="2127">
      <c r="A2127" s="128"/>
      <c r="B2127" s="139"/>
      <c r="C2127" s="140"/>
      <c r="D2127" s="141"/>
      <c r="E2127" s="141"/>
      <c r="F2127" s="87"/>
      <c r="G2127" s="99"/>
      <c r="H2127" s="87"/>
      <c r="I2127" s="87"/>
      <c r="J2127" s="87"/>
    </row>
    <row r="2128">
      <c r="A2128" s="128"/>
      <c r="B2128" s="139"/>
      <c r="C2128" s="140"/>
      <c r="D2128" s="141"/>
      <c r="E2128" s="141"/>
      <c r="F2128" s="87"/>
      <c r="G2128" s="99"/>
      <c r="H2128" s="87"/>
      <c r="I2128" s="87"/>
      <c r="J2128" s="87"/>
    </row>
    <row r="2129">
      <c r="A2129" s="128"/>
      <c r="B2129" s="139"/>
      <c r="C2129" s="140"/>
      <c r="D2129" s="141"/>
      <c r="E2129" s="141"/>
      <c r="F2129" s="87"/>
      <c r="G2129" s="99"/>
      <c r="H2129" s="87"/>
      <c r="I2129" s="87"/>
      <c r="J2129" s="87"/>
    </row>
    <row r="2130">
      <c r="A2130" s="128"/>
      <c r="B2130" s="139"/>
      <c r="C2130" s="140"/>
      <c r="D2130" s="141"/>
      <c r="E2130" s="141"/>
      <c r="F2130" s="87"/>
      <c r="G2130" s="99"/>
      <c r="H2130" s="87"/>
      <c r="I2130" s="87"/>
      <c r="J2130" s="87"/>
    </row>
    <row r="2131">
      <c r="A2131" s="128"/>
      <c r="B2131" s="139"/>
      <c r="C2131" s="140"/>
      <c r="D2131" s="141"/>
      <c r="E2131" s="141"/>
      <c r="F2131" s="87"/>
      <c r="G2131" s="99"/>
      <c r="H2131" s="87"/>
      <c r="I2131" s="87"/>
      <c r="J2131" s="87"/>
    </row>
    <row r="2132">
      <c r="A2132" s="128"/>
      <c r="B2132" s="139"/>
      <c r="C2132" s="140"/>
      <c r="D2132" s="141"/>
      <c r="E2132" s="141"/>
      <c r="F2132" s="87"/>
      <c r="G2132" s="99"/>
      <c r="H2132" s="87"/>
      <c r="I2132" s="87"/>
      <c r="J2132" s="87"/>
    </row>
    <row r="2133">
      <c r="A2133" s="128"/>
      <c r="B2133" s="139"/>
      <c r="C2133" s="140"/>
      <c r="D2133" s="141"/>
      <c r="E2133" s="141"/>
      <c r="F2133" s="87"/>
      <c r="G2133" s="99"/>
      <c r="H2133" s="87"/>
      <c r="I2133" s="87"/>
      <c r="J2133" s="87"/>
    </row>
    <row r="2134">
      <c r="A2134" s="128"/>
      <c r="B2134" s="139"/>
      <c r="C2134" s="140"/>
      <c r="D2134" s="141"/>
      <c r="E2134" s="141"/>
      <c r="F2134" s="87"/>
      <c r="G2134" s="99"/>
      <c r="H2134" s="87"/>
      <c r="I2134" s="87"/>
      <c r="J2134" s="87"/>
    </row>
    <row r="2135">
      <c r="A2135" s="128"/>
      <c r="B2135" s="139"/>
      <c r="C2135" s="140"/>
      <c r="D2135" s="141"/>
      <c r="E2135" s="141"/>
      <c r="F2135" s="87"/>
      <c r="G2135" s="99"/>
      <c r="H2135" s="87"/>
      <c r="I2135" s="87"/>
      <c r="J2135" s="87"/>
    </row>
    <row r="2136">
      <c r="A2136" s="128"/>
      <c r="B2136" s="139"/>
      <c r="C2136" s="140"/>
      <c r="D2136" s="141"/>
      <c r="E2136" s="141"/>
      <c r="F2136" s="87"/>
      <c r="G2136" s="99"/>
      <c r="H2136" s="87"/>
      <c r="I2136" s="87"/>
      <c r="J2136" s="87"/>
    </row>
    <row r="2137">
      <c r="A2137" s="128"/>
      <c r="B2137" s="139"/>
      <c r="C2137" s="140"/>
      <c r="D2137" s="141"/>
      <c r="E2137" s="141"/>
      <c r="F2137" s="87"/>
      <c r="G2137" s="99"/>
      <c r="H2137" s="87"/>
      <c r="I2137" s="87"/>
      <c r="J2137" s="87"/>
    </row>
    <row r="2138">
      <c r="A2138" s="128"/>
      <c r="B2138" s="139"/>
      <c r="C2138" s="140"/>
      <c r="D2138" s="141"/>
      <c r="E2138" s="141"/>
      <c r="F2138" s="87"/>
      <c r="G2138" s="99"/>
      <c r="H2138" s="87"/>
      <c r="I2138" s="87"/>
      <c r="J2138" s="87"/>
    </row>
    <row r="2139">
      <c r="A2139" s="128"/>
      <c r="B2139" s="139"/>
      <c r="C2139" s="140"/>
      <c r="D2139" s="141"/>
      <c r="E2139" s="141"/>
      <c r="F2139" s="87"/>
      <c r="G2139" s="99"/>
      <c r="H2139" s="87"/>
      <c r="I2139" s="87"/>
      <c r="J2139" s="87"/>
    </row>
    <row r="2140">
      <c r="A2140" s="128"/>
      <c r="B2140" s="139"/>
      <c r="C2140" s="140"/>
      <c r="D2140" s="141"/>
      <c r="E2140" s="141"/>
      <c r="F2140" s="87"/>
      <c r="G2140" s="99"/>
      <c r="H2140" s="87"/>
      <c r="I2140" s="87"/>
      <c r="J2140" s="87"/>
    </row>
    <row r="2141">
      <c r="A2141" s="128"/>
      <c r="B2141" s="139"/>
      <c r="C2141" s="140"/>
      <c r="D2141" s="141"/>
      <c r="E2141" s="141"/>
      <c r="F2141" s="87"/>
      <c r="G2141" s="99"/>
      <c r="H2141" s="87"/>
      <c r="I2141" s="87"/>
      <c r="J2141" s="87"/>
    </row>
    <row r="2142">
      <c r="A2142" s="128"/>
      <c r="B2142" s="139"/>
      <c r="C2142" s="140"/>
      <c r="D2142" s="141"/>
      <c r="E2142" s="141"/>
      <c r="F2142" s="87"/>
      <c r="G2142" s="99"/>
      <c r="H2142" s="87"/>
      <c r="I2142" s="87"/>
      <c r="J2142" s="87"/>
    </row>
    <row r="2143">
      <c r="A2143" s="128"/>
      <c r="B2143" s="139"/>
      <c r="C2143" s="140"/>
      <c r="D2143" s="141"/>
      <c r="E2143" s="141"/>
      <c r="F2143" s="87"/>
      <c r="G2143" s="99"/>
      <c r="H2143" s="87"/>
      <c r="I2143" s="87"/>
      <c r="J2143" s="87"/>
    </row>
    <row r="2144">
      <c r="A2144" s="128"/>
      <c r="B2144" s="139"/>
      <c r="C2144" s="140"/>
      <c r="D2144" s="141"/>
      <c r="E2144" s="141"/>
      <c r="F2144" s="87"/>
      <c r="G2144" s="99"/>
      <c r="H2144" s="87"/>
      <c r="I2144" s="87"/>
      <c r="J2144" s="87"/>
    </row>
    <row r="2145">
      <c r="A2145" s="128"/>
      <c r="B2145" s="139"/>
      <c r="C2145" s="140"/>
      <c r="D2145" s="141"/>
      <c r="E2145" s="141"/>
      <c r="F2145" s="87"/>
      <c r="G2145" s="99"/>
      <c r="H2145" s="87"/>
      <c r="I2145" s="87"/>
      <c r="J2145" s="87"/>
    </row>
    <row r="2146">
      <c r="A2146" s="128"/>
      <c r="B2146" s="139"/>
      <c r="C2146" s="140"/>
      <c r="D2146" s="141"/>
      <c r="E2146" s="141"/>
      <c r="F2146" s="87"/>
      <c r="G2146" s="99"/>
      <c r="H2146" s="87"/>
      <c r="I2146" s="87"/>
      <c r="J2146" s="87"/>
    </row>
    <row r="2147">
      <c r="A2147" s="128"/>
      <c r="B2147" s="139"/>
      <c r="C2147" s="140"/>
      <c r="D2147" s="141"/>
      <c r="E2147" s="141"/>
      <c r="F2147" s="87"/>
      <c r="G2147" s="99"/>
      <c r="H2147" s="87"/>
      <c r="I2147" s="87"/>
      <c r="J2147" s="87"/>
    </row>
    <row r="2148">
      <c r="A2148" s="128"/>
      <c r="B2148" s="139"/>
      <c r="C2148" s="140"/>
      <c r="D2148" s="141"/>
      <c r="E2148" s="141"/>
      <c r="F2148" s="87"/>
      <c r="G2148" s="99"/>
      <c r="H2148" s="87"/>
      <c r="I2148" s="87"/>
      <c r="J2148" s="87"/>
    </row>
    <row r="2149">
      <c r="A2149" s="128"/>
      <c r="B2149" s="139"/>
      <c r="C2149" s="140"/>
      <c r="D2149" s="141"/>
      <c r="E2149" s="141"/>
      <c r="F2149" s="87"/>
      <c r="G2149" s="99"/>
      <c r="H2149" s="87"/>
      <c r="I2149" s="87"/>
      <c r="J2149" s="87"/>
    </row>
    <row r="2150">
      <c r="A2150" s="128"/>
      <c r="B2150" s="139"/>
      <c r="C2150" s="140"/>
      <c r="D2150" s="141"/>
      <c r="E2150" s="141"/>
      <c r="F2150" s="87"/>
      <c r="G2150" s="99"/>
      <c r="H2150" s="87"/>
      <c r="I2150" s="87"/>
      <c r="J2150" s="87"/>
    </row>
    <row r="2151">
      <c r="A2151" s="128"/>
      <c r="B2151" s="139"/>
      <c r="C2151" s="140"/>
      <c r="D2151" s="141"/>
      <c r="E2151" s="141"/>
      <c r="F2151" s="87"/>
      <c r="G2151" s="99"/>
      <c r="H2151" s="87"/>
      <c r="I2151" s="87"/>
      <c r="J2151" s="87"/>
    </row>
    <row r="2152">
      <c r="A2152" s="128"/>
      <c r="B2152" s="139"/>
      <c r="C2152" s="140"/>
      <c r="D2152" s="141"/>
      <c r="E2152" s="141"/>
      <c r="F2152" s="87"/>
      <c r="G2152" s="99"/>
      <c r="H2152" s="87"/>
      <c r="I2152" s="87"/>
      <c r="J2152" s="87"/>
    </row>
    <row r="2153">
      <c r="A2153" s="128"/>
      <c r="B2153" s="139"/>
      <c r="C2153" s="140"/>
      <c r="D2153" s="141"/>
      <c r="E2153" s="141"/>
      <c r="F2153" s="87"/>
      <c r="G2153" s="99"/>
      <c r="H2153" s="87"/>
      <c r="I2153" s="87"/>
      <c r="J2153" s="87"/>
    </row>
    <row r="2154">
      <c r="A2154" s="128"/>
      <c r="B2154" s="139"/>
      <c r="C2154" s="140"/>
      <c r="D2154" s="141"/>
      <c r="E2154" s="141"/>
      <c r="F2154" s="87"/>
      <c r="G2154" s="99"/>
      <c r="H2154" s="87"/>
      <c r="I2154" s="87"/>
      <c r="J2154" s="87"/>
    </row>
    <row r="2155">
      <c r="A2155" s="128"/>
      <c r="B2155" s="139"/>
      <c r="C2155" s="140"/>
      <c r="D2155" s="141"/>
      <c r="E2155" s="141"/>
      <c r="F2155" s="87"/>
      <c r="G2155" s="99"/>
      <c r="H2155" s="87"/>
      <c r="I2155" s="87"/>
      <c r="J2155" s="87"/>
    </row>
    <row r="2156">
      <c r="A2156" s="128"/>
      <c r="B2156" s="139"/>
      <c r="C2156" s="140"/>
      <c r="D2156" s="141"/>
      <c r="E2156" s="141"/>
      <c r="F2156" s="87"/>
      <c r="G2156" s="99"/>
      <c r="H2156" s="87"/>
      <c r="I2156" s="87"/>
      <c r="J2156" s="87"/>
    </row>
    <row r="2157">
      <c r="A2157" s="128"/>
      <c r="B2157" s="139"/>
      <c r="C2157" s="140"/>
      <c r="D2157" s="141"/>
      <c r="E2157" s="141"/>
      <c r="F2157" s="87"/>
      <c r="G2157" s="99"/>
      <c r="H2157" s="87"/>
      <c r="I2157" s="87"/>
      <c r="J2157" s="87"/>
    </row>
    <row r="2158">
      <c r="A2158" s="128"/>
      <c r="B2158" s="139"/>
      <c r="C2158" s="140"/>
      <c r="D2158" s="141"/>
      <c r="E2158" s="141"/>
      <c r="F2158" s="87"/>
      <c r="G2158" s="99"/>
      <c r="H2158" s="87"/>
      <c r="I2158" s="87"/>
      <c r="J2158" s="87"/>
    </row>
    <row r="2159">
      <c r="A2159" s="128"/>
      <c r="B2159" s="139"/>
      <c r="C2159" s="140"/>
      <c r="D2159" s="141"/>
      <c r="E2159" s="141"/>
      <c r="F2159" s="87"/>
      <c r="G2159" s="99"/>
      <c r="H2159" s="87"/>
      <c r="I2159" s="87"/>
      <c r="J2159" s="87"/>
    </row>
    <row r="2160">
      <c r="A2160" s="128"/>
      <c r="B2160" s="139"/>
      <c r="C2160" s="140"/>
      <c r="D2160" s="141"/>
      <c r="E2160" s="141"/>
      <c r="F2160" s="87"/>
      <c r="G2160" s="99"/>
      <c r="H2160" s="87"/>
      <c r="I2160" s="87"/>
      <c r="J2160" s="87"/>
    </row>
    <row r="2161">
      <c r="A2161" s="128"/>
      <c r="B2161" s="139"/>
      <c r="C2161" s="140"/>
      <c r="D2161" s="141"/>
      <c r="E2161" s="141"/>
      <c r="F2161" s="87"/>
      <c r="G2161" s="99"/>
      <c r="H2161" s="87"/>
      <c r="I2161" s="87"/>
      <c r="J2161" s="87"/>
    </row>
    <row r="2162">
      <c r="A2162" s="128"/>
      <c r="B2162" s="139"/>
      <c r="C2162" s="140"/>
      <c r="D2162" s="141"/>
      <c r="E2162" s="141"/>
      <c r="F2162" s="87"/>
      <c r="G2162" s="99"/>
      <c r="H2162" s="87"/>
      <c r="I2162" s="87"/>
      <c r="J2162" s="87"/>
    </row>
    <row r="2163">
      <c r="A2163" s="128"/>
      <c r="B2163" s="139"/>
      <c r="C2163" s="140"/>
      <c r="D2163" s="141"/>
      <c r="E2163" s="141"/>
      <c r="F2163" s="87"/>
      <c r="G2163" s="99"/>
      <c r="H2163" s="87"/>
      <c r="I2163" s="87"/>
      <c r="J2163" s="87"/>
    </row>
    <row r="2164">
      <c r="A2164" s="128"/>
      <c r="B2164" s="139"/>
      <c r="C2164" s="140"/>
      <c r="D2164" s="141"/>
      <c r="E2164" s="141"/>
      <c r="F2164" s="87"/>
      <c r="G2164" s="99"/>
      <c r="H2164" s="87"/>
      <c r="I2164" s="87"/>
      <c r="J2164" s="87"/>
    </row>
    <row r="2165">
      <c r="A2165" s="128"/>
      <c r="B2165" s="139"/>
      <c r="C2165" s="140"/>
      <c r="D2165" s="141"/>
      <c r="E2165" s="141"/>
      <c r="F2165" s="87"/>
      <c r="G2165" s="99"/>
      <c r="H2165" s="87"/>
      <c r="I2165" s="87"/>
      <c r="J2165" s="87"/>
    </row>
    <row r="2166">
      <c r="A2166" s="128"/>
      <c r="B2166" s="139"/>
      <c r="C2166" s="140"/>
      <c r="D2166" s="141"/>
      <c r="E2166" s="141"/>
      <c r="F2166" s="87"/>
      <c r="G2166" s="99"/>
      <c r="H2166" s="87"/>
      <c r="I2166" s="87"/>
      <c r="J2166" s="87"/>
    </row>
    <row r="2167">
      <c r="A2167" s="128"/>
      <c r="B2167" s="139"/>
      <c r="C2167" s="140"/>
      <c r="D2167" s="141"/>
      <c r="E2167" s="141"/>
      <c r="F2167" s="87"/>
      <c r="G2167" s="99"/>
      <c r="H2167" s="87"/>
      <c r="I2167" s="87"/>
      <c r="J2167" s="87"/>
    </row>
    <row r="2168">
      <c r="A2168" s="128"/>
      <c r="B2168" s="139"/>
      <c r="C2168" s="140"/>
      <c r="D2168" s="141"/>
      <c r="E2168" s="141"/>
      <c r="F2168" s="87"/>
      <c r="G2168" s="99"/>
      <c r="H2168" s="87"/>
      <c r="I2168" s="87"/>
      <c r="J2168" s="87"/>
    </row>
    <row r="2169">
      <c r="A2169" s="128"/>
      <c r="B2169" s="139"/>
      <c r="C2169" s="140"/>
      <c r="D2169" s="141"/>
      <c r="E2169" s="141"/>
      <c r="F2169" s="87"/>
      <c r="G2169" s="99"/>
      <c r="H2169" s="87"/>
      <c r="I2169" s="87"/>
      <c r="J2169" s="87"/>
    </row>
    <row r="2170">
      <c r="A2170" s="128"/>
      <c r="B2170" s="139"/>
      <c r="C2170" s="140"/>
      <c r="D2170" s="141"/>
      <c r="E2170" s="141"/>
      <c r="F2170" s="87"/>
      <c r="G2170" s="99"/>
      <c r="H2170" s="87"/>
      <c r="I2170" s="87"/>
      <c r="J2170" s="87"/>
    </row>
    <row r="2171">
      <c r="A2171" s="128"/>
      <c r="B2171" s="139"/>
      <c r="C2171" s="140"/>
      <c r="D2171" s="141"/>
      <c r="E2171" s="141"/>
      <c r="F2171" s="87"/>
      <c r="G2171" s="99"/>
      <c r="H2171" s="87"/>
      <c r="I2171" s="87"/>
      <c r="J2171" s="87"/>
    </row>
    <row r="2172">
      <c r="A2172" s="128"/>
      <c r="B2172" s="139"/>
      <c r="C2172" s="140"/>
      <c r="D2172" s="141"/>
      <c r="E2172" s="141"/>
      <c r="F2172" s="87"/>
      <c r="G2172" s="99"/>
      <c r="H2172" s="87"/>
      <c r="I2172" s="87"/>
      <c r="J2172" s="87"/>
    </row>
    <row r="2173">
      <c r="A2173" s="128"/>
      <c r="B2173" s="139"/>
      <c r="C2173" s="140"/>
      <c r="D2173" s="141"/>
      <c r="E2173" s="141"/>
      <c r="F2173" s="87"/>
      <c r="G2173" s="99"/>
      <c r="H2173" s="87"/>
      <c r="I2173" s="87"/>
      <c r="J2173" s="87"/>
    </row>
    <row r="2174">
      <c r="A2174" s="128"/>
      <c r="B2174" s="139"/>
      <c r="C2174" s="140"/>
      <c r="D2174" s="141"/>
      <c r="E2174" s="141"/>
      <c r="F2174" s="87"/>
      <c r="G2174" s="99"/>
      <c r="H2174" s="87"/>
      <c r="I2174" s="87"/>
      <c r="J2174" s="87"/>
    </row>
    <row r="2175">
      <c r="A2175" s="128"/>
      <c r="B2175" s="139"/>
      <c r="C2175" s="140"/>
      <c r="D2175" s="141"/>
      <c r="E2175" s="141"/>
      <c r="F2175" s="87"/>
      <c r="G2175" s="99"/>
      <c r="H2175" s="87"/>
      <c r="I2175" s="87"/>
      <c r="J2175" s="87"/>
    </row>
    <row r="2176">
      <c r="A2176" s="128"/>
      <c r="B2176" s="139"/>
      <c r="C2176" s="140"/>
      <c r="D2176" s="141"/>
      <c r="E2176" s="141"/>
      <c r="F2176" s="87"/>
      <c r="G2176" s="99"/>
      <c r="H2176" s="87"/>
      <c r="I2176" s="87"/>
      <c r="J2176" s="87"/>
    </row>
    <row r="2177">
      <c r="A2177" s="128"/>
      <c r="B2177" s="139"/>
      <c r="C2177" s="140"/>
      <c r="D2177" s="141"/>
      <c r="E2177" s="141"/>
      <c r="F2177" s="87"/>
      <c r="G2177" s="99"/>
      <c r="H2177" s="87"/>
      <c r="I2177" s="87"/>
      <c r="J2177" s="87"/>
    </row>
    <row r="2178">
      <c r="A2178" s="128"/>
      <c r="B2178" s="139"/>
      <c r="C2178" s="140"/>
      <c r="D2178" s="141"/>
      <c r="E2178" s="141"/>
      <c r="F2178" s="87"/>
      <c r="G2178" s="99"/>
      <c r="H2178" s="87"/>
      <c r="I2178" s="87"/>
      <c r="J2178" s="87"/>
    </row>
    <row r="2179">
      <c r="A2179" s="128"/>
      <c r="B2179" s="139"/>
      <c r="C2179" s="140"/>
      <c r="D2179" s="141"/>
      <c r="E2179" s="141"/>
      <c r="F2179" s="87"/>
      <c r="G2179" s="99"/>
      <c r="H2179" s="87"/>
      <c r="I2179" s="87"/>
      <c r="J2179" s="87"/>
    </row>
    <row r="2180">
      <c r="A2180" s="128"/>
      <c r="B2180" s="139"/>
      <c r="C2180" s="140"/>
      <c r="D2180" s="141"/>
      <c r="E2180" s="141"/>
      <c r="F2180" s="87"/>
      <c r="G2180" s="99"/>
      <c r="H2180" s="87"/>
      <c r="I2180" s="87"/>
      <c r="J2180" s="87"/>
    </row>
    <row r="2181">
      <c r="A2181" s="128"/>
      <c r="B2181" s="139"/>
      <c r="C2181" s="140"/>
      <c r="D2181" s="141"/>
      <c r="E2181" s="141"/>
      <c r="F2181" s="87"/>
      <c r="G2181" s="99"/>
      <c r="H2181" s="87"/>
      <c r="I2181" s="87"/>
      <c r="J2181" s="87"/>
    </row>
    <row r="2182">
      <c r="A2182" s="128"/>
      <c r="B2182" s="139"/>
      <c r="C2182" s="140"/>
      <c r="D2182" s="141"/>
      <c r="E2182" s="141"/>
      <c r="F2182" s="87"/>
      <c r="G2182" s="99"/>
      <c r="H2182" s="87"/>
      <c r="I2182" s="87"/>
      <c r="J2182" s="87"/>
    </row>
    <row r="2183">
      <c r="A2183" s="128"/>
      <c r="B2183" s="139"/>
      <c r="C2183" s="140"/>
      <c r="D2183" s="141"/>
      <c r="E2183" s="141"/>
      <c r="F2183" s="87"/>
      <c r="G2183" s="99"/>
      <c r="H2183" s="87"/>
      <c r="I2183" s="87"/>
      <c r="J2183" s="87"/>
    </row>
    <row r="2184">
      <c r="A2184" s="128"/>
      <c r="B2184" s="139"/>
      <c r="C2184" s="140"/>
      <c r="D2184" s="141"/>
      <c r="E2184" s="141"/>
      <c r="F2184" s="87"/>
      <c r="G2184" s="99"/>
      <c r="H2184" s="87"/>
      <c r="I2184" s="87"/>
      <c r="J2184" s="87"/>
    </row>
    <row r="2185">
      <c r="A2185" s="128"/>
      <c r="B2185" s="139"/>
      <c r="C2185" s="140"/>
      <c r="D2185" s="141"/>
      <c r="E2185" s="141"/>
      <c r="F2185" s="87"/>
      <c r="G2185" s="99"/>
      <c r="H2185" s="87"/>
      <c r="I2185" s="87"/>
      <c r="J2185" s="87"/>
    </row>
    <row r="2186">
      <c r="A2186" s="128"/>
      <c r="B2186" s="139"/>
      <c r="C2186" s="140"/>
      <c r="D2186" s="141"/>
      <c r="E2186" s="141"/>
      <c r="F2186" s="87"/>
      <c r="G2186" s="99"/>
      <c r="H2186" s="87"/>
      <c r="I2186" s="87"/>
      <c r="J2186" s="87"/>
    </row>
    <row r="2187">
      <c r="A2187" s="128"/>
      <c r="B2187" s="139"/>
      <c r="C2187" s="140"/>
      <c r="D2187" s="141"/>
      <c r="E2187" s="141"/>
      <c r="F2187" s="87"/>
      <c r="G2187" s="99"/>
      <c r="H2187" s="87"/>
      <c r="I2187" s="87"/>
      <c r="J2187" s="87"/>
    </row>
    <row r="2188">
      <c r="A2188" s="128"/>
      <c r="B2188" s="139"/>
      <c r="C2188" s="140"/>
      <c r="D2188" s="141"/>
      <c r="E2188" s="141"/>
      <c r="F2188" s="87"/>
      <c r="G2188" s="99"/>
      <c r="H2188" s="87"/>
      <c r="I2188" s="87"/>
      <c r="J2188" s="87"/>
    </row>
    <row r="2189">
      <c r="A2189" s="128"/>
      <c r="B2189" s="139"/>
      <c r="C2189" s="140"/>
      <c r="D2189" s="141"/>
      <c r="E2189" s="141"/>
      <c r="F2189" s="87"/>
      <c r="G2189" s="99"/>
      <c r="H2189" s="87"/>
      <c r="I2189" s="87"/>
      <c r="J2189" s="87"/>
    </row>
    <row r="2190">
      <c r="A2190" s="128"/>
      <c r="B2190" s="139"/>
      <c r="C2190" s="140"/>
      <c r="D2190" s="141"/>
      <c r="E2190" s="141"/>
      <c r="F2190" s="87"/>
      <c r="G2190" s="99"/>
      <c r="H2190" s="87"/>
      <c r="I2190" s="87"/>
      <c r="J2190" s="87"/>
    </row>
    <row r="2191">
      <c r="A2191" s="128"/>
      <c r="B2191" s="139"/>
      <c r="C2191" s="140"/>
      <c r="D2191" s="141"/>
      <c r="E2191" s="141"/>
      <c r="F2191" s="87"/>
      <c r="G2191" s="99"/>
      <c r="H2191" s="87"/>
      <c r="I2191" s="87"/>
      <c r="J2191" s="87"/>
    </row>
    <row r="2192">
      <c r="A2192" s="128"/>
      <c r="B2192" s="139"/>
      <c r="C2192" s="140"/>
      <c r="D2192" s="141"/>
      <c r="E2192" s="141"/>
      <c r="F2192" s="87"/>
      <c r="G2192" s="99"/>
      <c r="H2192" s="87"/>
      <c r="I2192" s="87"/>
      <c r="J2192" s="87"/>
    </row>
    <row r="2193">
      <c r="A2193" s="128"/>
      <c r="B2193" s="139"/>
      <c r="C2193" s="140"/>
      <c r="D2193" s="141"/>
      <c r="E2193" s="141"/>
      <c r="F2193" s="87"/>
      <c r="G2193" s="99"/>
      <c r="H2193" s="87"/>
      <c r="I2193" s="87"/>
      <c r="J2193" s="87"/>
    </row>
    <row r="2194">
      <c r="A2194" s="128"/>
      <c r="B2194" s="139"/>
      <c r="C2194" s="140"/>
      <c r="D2194" s="141"/>
      <c r="E2194" s="141"/>
      <c r="F2194" s="87"/>
      <c r="G2194" s="99"/>
      <c r="H2194" s="87"/>
      <c r="I2194" s="87"/>
      <c r="J2194" s="87"/>
    </row>
    <row r="2195">
      <c r="A2195" s="128"/>
      <c r="B2195" s="139"/>
      <c r="C2195" s="140"/>
      <c r="D2195" s="141"/>
      <c r="E2195" s="141"/>
      <c r="F2195" s="87"/>
      <c r="G2195" s="99"/>
      <c r="H2195" s="87"/>
      <c r="I2195" s="87"/>
      <c r="J2195" s="87"/>
    </row>
    <row r="2196">
      <c r="A2196" s="128"/>
      <c r="B2196" s="139"/>
      <c r="C2196" s="140"/>
      <c r="D2196" s="141"/>
      <c r="E2196" s="141"/>
      <c r="F2196" s="87"/>
      <c r="G2196" s="99"/>
      <c r="H2196" s="87"/>
      <c r="I2196" s="87"/>
      <c r="J2196" s="87"/>
    </row>
    <row r="2197">
      <c r="A2197" s="128"/>
      <c r="B2197" s="139"/>
      <c r="C2197" s="140"/>
      <c r="D2197" s="141"/>
      <c r="E2197" s="141"/>
      <c r="F2197" s="87"/>
      <c r="G2197" s="99"/>
      <c r="H2197" s="87"/>
      <c r="I2197" s="87"/>
      <c r="J2197" s="87"/>
    </row>
    <row r="2198">
      <c r="A2198" s="128"/>
      <c r="B2198" s="139"/>
      <c r="C2198" s="140"/>
      <c r="D2198" s="141"/>
      <c r="E2198" s="141"/>
      <c r="F2198" s="87"/>
      <c r="G2198" s="99"/>
      <c r="H2198" s="87"/>
      <c r="I2198" s="87"/>
      <c r="J2198" s="87"/>
    </row>
    <row r="2199">
      <c r="A2199" s="128"/>
      <c r="B2199" s="139"/>
      <c r="C2199" s="140"/>
      <c r="D2199" s="141"/>
      <c r="E2199" s="141"/>
      <c r="F2199" s="87"/>
      <c r="G2199" s="99"/>
      <c r="H2199" s="87"/>
      <c r="I2199" s="87"/>
      <c r="J2199" s="87"/>
    </row>
    <row r="2200">
      <c r="A2200" s="128"/>
      <c r="B2200" s="139"/>
      <c r="C2200" s="140"/>
      <c r="D2200" s="141"/>
      <c r="E2200" s="141"/>
      <c r="F2200" s="87"/>
      <c r="G2200" s="99"/>
      <c r="H2200" s="87"/>
      <c r="I2200" s="87"/>
      <c r="J2200" s="87"/>
    </row>
    <row r="2201">
      <c r="A2201" s="128"/>
      <c r="B2201" s="139"/>
      <c r="C2201" s="140"/>
      <c r="D2201" s="141"/>
      <c r="E2201" s="141"/>
      <c r="F2201" s="87"/>
      <c r="G2201" s="99"/>
      <c r="H2201" s="87"/>
      <c r="I2201" s="87"/>
      <c r="J2201" s="87"/>
    </row>
    <row r="2202">
      <c r="A2202" s="128"/>
      <c r="B2202" s="139"/>
      <c r="C2202" s="140"/>
      <c r="D2202" s="141"/>
      <c r="E2202" s="141"/>
      <c r="F2202" s="87"/>
      <c r="G2202" s="99"/>
      <c r="H2202" s="87"/>
      <c r="I2202" s="87"/>
      <c r="J2202" s="87"/>
    </row>
    <row r="2203">
      <c r="A2203" s="128"/>
      <c r="B2203" s="139"/>
      <c r="C2203" s="140"/>
      <c r="D2203" s="141"/>
      <c r="E2203" s="141"/>
      <c r="F2203" s="87"/>
      <c r="G2203" s="99"/>
      <c r="H2203" s="87"/>
      <c r="I2203" s="87"/>
      <c r="J2203" s="87"/>
    </row>
    <row r="2204">
      <c r="A2204" s="128"/>
      <c r="B2204" s="139"/>
      <c r="C2204" s="140"/>
      <c r="D2204" s="141"/>
      <c r="E2204" s="141"/>
      <c r="F2204" s="87"/>
      <c r="G2204" s="99"/>
      <c r="H2204" s="87"/>
      <c r="I2204" s="87"/>
      <c r="J2204" s="87"/>
    </row>
    <row r="2205">
      <c r="A2205" s="128"/>
      <c r="B2205" s="139"/>
      <c r="C2205" s="140"/>
      <c r="D2205" s="141"/>
      <c r="E2205" s="141"/>
      <c r="F2205" s="87"/>
      <c r="G2205" s="99"/>
      <c r="H2205" s="87"/>
      <c r="I2205" s="87"/>
      <c r="J2205" s="87"/>
    </row>
    <row r="2206">
      <c r="A2206" s="128"/>
      <c r="B2206" s="139"/>
      <c r="C2206" s="140"/>
      <c r="D2206" s="141"/>
      <c r="E2206" s="141"/>
      <c r="F2206" s="87"/>
      <c r="G2206" s="99"/>
      <c r="H2206" s="87"/>
      <c r="I2206" s="87"/>
      <c r="J2206" s="87"/>
    </row>
    <row r="2207">
      <c r="A2207" s="128"/>
      <c r="B2207" s="139"/>
      <c r="C2207" s="140"/>
      <c r="D2207" s="141"/>
      <c r="E2207" s="141"/>
      <c r="F2207" s="87"/>
      <c r="G2207" s="99"/>
      <c r="H2207" s="87"/>
      <c r="I2207" s="87"/>
      <c r="J2207" s="87"/>
    </row>
    <row r="2208">
      <c r="A2208" s="128"/>
      <c r="B2208" s="139"/>
      <c r="C2208" s="140"/>
      <c r="D2208" s="141"/>
      <c r="E2208" s="141"/>
      <c r="F2208" s="87"/>
      <c r="G2208" s="99"/>
      <c r="H2208" s="87"/>
      <c r="I2208" s="87"/>
      <c r="J2208" s="87"/>
    </row>
    <row r="2209">
      <c r="A2209" s="128"/>
      <c r="B2209" s="139"/>
      <c r="C2209" s="140"/>
      <c r="D2209" s="141"/>
      <c r="E2209" s="141"/>
      <c r="F2209" s="87"/>
      <c r="G2209" s="99"/>
      <c r="H2209" s="87"/>
      <c r="I2209" s="87"/>
      <c r="J2209" s="87"/>
    </row>
    <row r="2210">
      <c r="A2210" s="128"/>
      <c r="B2210" s="139"/>
      <c r="C2210" s="140"/>
      <c r="D2210" s="141"/>
      <c r="E2210" s="141"/>
      <c r="F2210" s="87"/>
      <c r="G2210" s="99"/>
      <c r="H2210" s="87"/>
      <c r="I2210" s="87"/>
      <c r="J2210" s="87"/>
    </row>
    <row r="2211">
      <c r="A2211" s="128"/>
      <c r="B2211" s="139"/>
      <c r="C2211" s="140"/>
      <c r="D2211" s="141"/>
      <c r="E2211" s="141"/>
      <c r="F2211" s="87"/>
      <c r="G2211" s="99"/>
      <c r="H2211" s="87"/>
      <c r="I2211" s="87"/>
      <c r="J2211" s="87"/>
    </row>
    <row r="2212">
      <c r="A2212" s="128"/>
      <c r="B2212" s="139"/>
      <c r="C2212" s="140"/>
      <c r="D2212" s="141"/>
      <c r="E2212" s="141"/>
      <c r="F2212" s="87"/>
      <c r="G2212" s="99"/>
      <c r="H2212" s="87"/>
      <c r="I2212" s="87"/>
      <c r="J2212" s="87"/>
    </row>
    <row r="2213">
      <c r="A2213" s="128"/>
      <c r="B2213" s="139"/>
      <c r="C2213" s="140"/>
      <c r="D2213" s="141"/>
      <c r="E2213" s="141"/>
      <c r="F2213" s="87"/>
      <c r="G2213" s="99"/>
      <c r="H2213" s="87"/>
      <c r="I2213" s="87"/>
      <c r="J2213" s="87"/>
    </row>
    <row r="2214">
      <c r="A2214" s="128"/>
      <c r="B2214" s="139"/>
      <c r="C2214" s="140"/>
      <c r="D2214" s="141"/>
      <c r="E2214" s="141"/>
      <c r="F2214" s="87"/>
      <c r="G2214" s="99"/>
      <c r="H2214" s="87"/>
      <c r="I2214" s="87"/>
      <c r="J2214" s="87"/>
    </row>
    <row r="2215">
      <c r="A2215" s="128"/>
      <c r="B2215" s="139"/>
      <c r="C2215" s="140"/>
      <c r="D2215" s="141"/>
      <c r="E2215" s="141"/>
      <c r="F2215" s="87"/>
      <c r="G2215" s="99"/>
      <c r="H2215" s="87"/>
      <c r="I2215" s="87"/>
      <c r="J2215" s="87"/>
    </row>
    <row r="2216">
      <c r="A2216" s="128"/>
      <c r="B2216" s="139"/>
      <c r="C2216" s="140"/>
      <c r="D2216" s="141"/>
      <c r="E2216" s="141"/>
      <c r="F2216" s="87"/>
      <c r="G2216" s="99"/>
      <c r="H2216" s="87"/>
      <c r="I2216" s="87"/>
      <c r="J2216" s="87"/>
    </row>
    <row r="2217">
      <c r="A2217" s="128"/>
      <c r="B2217" s="139"/>
      <c r="C2217" s="140"/>
      <c r="D2217" s="141"/>
      <c r="E2217" s="141"/>
      <c r="F2217" s="87"/>
      <c r="G2217" s="99"/>
      <c r="H2217" s="87"/>
      <c r="I2217" s="87"/>
      <c r="J2217" s="87"/>
    </row>
    <row r="2218">
      <c r="A2218" s="128"/>
      <c r="B2218" s="139"/>
      <c r="C2218" s="140"/>
      <c r="D2218" s="141"/>
      <c r="E2218" s="141"/>
      <c r="F2218" s="87"/>
      <c r="G2218" s="99"/>
      <c r="H2218" s="87"/>
      <c r="I2218" s="87"/>
      <c r="J2218" s="87"/>
    </row>
    <row r="2219">
      <c r="A2219" s="128"/>
      <c r="B2219" s="139"/>
      <c r="C2219" s="140"/>
      <c r="D2219" s="141"/>
      <c r="E2219" s="141"/>
      <c r="F2219" s="87"/>
      <c r="G2219" s="99"/>
      <c r="H2219" s="87"/>
      <c r="I2219" s="87"/>
      <c r="J2219" s="87"/>
    </row>
    <row r="2220">
      <c r="A2220" s="128"/>
      <c r="B2220" s="139"/>
      <c r="C2220" s="140"/>
      <c r="D2220" s="141"/>
      <c r="E2220" s="141"/>
      <c r="F2220" s="87"/>
      <c r="G2220" s="99"/>
      <c r="H2220" s="87"/>
      <c r="I2220" s="87"/>
      <c r="J2220" s="87"/>
    </row>
    <row r="2221">
      <c r="A2221" s="128"/>
      <c r="B2221" s="139"/>
      <c r="C2221" s="140"/>
      <c r="D2221" s="141"/>
      <c r="E2221" s="141"/>
      <c r="F2221" s="87"/>
      <c r="G2221" s="99"/>
      <c r="H2221" s="87"/>
      <c r="I2221" s="87"/>
      <c r="J2221" s="87"/>
    </row>
    <row r="2222">
      <c r="A2222" s="128"/>
      <c r="B2222" s="139"/>
      <c r="C2222" s="140"/>
      <c r="D2222" s="141"/>
      <c r="E2222" s="141"/>
      <c r="F2222" s="87"/>
      <c r="G2222" s="99"/>
      <c r="H2222" s="87"/>
      <c r="I2222" s="87"/>
      <c r="J2222" s="87"/>
    </row>
    <row r="2223">
      <c r="A2223" s="128"/>
      <c r="B2223" s="139"/>
      <c r="C2223" s="140"/>
      <c r="D2223" s="141"/>
      <c r="E2223" s="141"/>
      <c r="F2223" s="87"/>
      <c r="G2223" s="99"/>
      <c r="H2223" s="87"/>
      <c r="I2223" s="87"/>
      <c r="J2223" s="87"/>
    </row>
    <row r="2224">
      <c r="A2224" s="128"/>
      <c r="B2224" s="139"/>
      <c r="C2224" s="140"/>
      <c r="D2224" s="141"/>
      <c r="E2224" s="141"/>
      <c r="F2224" s="87"/>
      <c r="G2224" s="99"/>
      <c r="H2224" s="87"/>
      <c r="I2224" s="87"/>
      <c r="J2224" s="87"/>
    </row>
    <row r="2225">
      <c r="A2225" s="128"/>
      <c r="B2225" s="139"/>
      <c r="C2225" s="140"/>
      <c r="D2225" s="141"/>
      <c r="E2225" s="141"/>
      <c r="F2225" s="87"/>
      <c r="G2225" s="99"/>
      <c r="H2225" s="87"/>
      <c r="I2225" s="87"/>
      <c r="J2225" s="87"/>
    </row>
    <row r="2226">
      <c r="A2226" s="128"/>
      <c r="B2226" s="139"/>
      <c r="C2226" s="140"/>
      <c r="D2226" s="141"/>
      <c r="E2226" s="141"/>
      <c r="F2226" s="87"/>
      <c r="G2226" s="99"/>
      <c r="H2226" s="87"/>
      <c r="I2226" s="87"/>
      <c r="J2226" s="87"/>
    </row>
    <row r="2227">
      <c r="A2227" s="128"/>
      <c r="B2227" s="139"/>
      <c r="C2227" s="140"/>
      <c r="D2227" s="141"/>
      <c r="E2227" s="141"/>
      <c r="F2227" s="87"/>
      <c r="G2227" s="99"/>
      <c r="H2227" s="87"/>
      <c r="I2227" s="87"/>
      <c r="J2227" s="87"/>
    </row>
    <row r="2228">
      <c r="A2228" s="128"/>
      <c r="B2228" s="139"/>
      <c r="C2228" s="140"/>
      <c r="D2228" s="141"/>
      <c r="E2228" s="141"/>
      <c r="F2228" s="87"/>
      <c r="G2228" s="99"/>
      <c r="H2228" s="87"/>
      <c r="I2228" s="87"/>
      <c r="J2228" s="87"/>
    </row>
    <row r="2229">
      <c r="A2229" s="128"/>
      <c r="B2229" s="139"/>
      <c r="C2229" s="140"/>
      <c r="D2229" s="141"/>
      <c r="E2229" s="141"/>
      <c r="F2229" s="87"/>
      <c r="G2229" s="99"/>
      <c r="H2229" s="87"/>
      <c r="I2229" s="87"/>
      <c r="J2229" s="87"/>
    </row>
    <row r="2230">
      <c r="A2230" s="128"/>
      <c r="B2230" s="139"/>
      <c r="C2230" s="140"/>
      <c r="D2230" s="141"/>
      <c r="E2230" s="141"/>
      <c r="F2230" s="87"/>
      <c r="G2230" s="99"/>
      <c r="H2230" s="87"/>
      <c r="I2230" s="87"/>
      <c r="J2230" s="87"/>
    </row>
    <row r="2231">
      <c r="A2231" s="128"/>
      <c r="B2231" s="139"/>
      <c r="C2231" s="140"/>
      <c r="D2231" s="141"/>
      <c r="E2231" s="141"/>
      <c r="F2231" s="87"/>
      <c r="G2231" s="99"/>
      <c r="H2231" s="87"/>
      <c r="I2231" s="87"/>
      <c r="J2231" s="87"/>
    </row>
    <row r="2232">
      <c r="A2232" s="128"/>
      <c r="B2232" s="139"/>
      <c r="C2232" s="140"/>
      <c r="D2232" s="141"/>
      <c r="E2232" s="141"/>
      <c r="F2232" s="87"/>
      <c r="G2232" s="99"/>
      <c r="H2232" s="87"/>
      <c r="I2232" s="87"/>
      <c r="J2232" s="87"/>
    </row>
    <row r="2233">
      <c r="A2233" s="128"/>
      <c r="B2233" s="139"/>
      <c r="C2233" s="140"/>
      <c r="D2233" s="141"/>
      <c r="E2233" s="141"/>
      <c r="F2233" s="87"/>
      <c r="G2233" s="99"/>
      <c r="H2233" s="87"/>
      <c r="I2233" s="87"/>
      <c r="J2233" s="87"/>
    </row>
    <row r="2234">
      <c r="A2234" s="128"/>
      <c r="B2234" s="139"/>
      <c r="C2234" s="140"/>
      <c r="D2234" s="141"/>
      <c r="E2234" s="141"/>
      <c r="F2234" s="87"/>
      <c r="G2234" s="99"/>
      <c r="H2234" s="87"/>
      <c r="I2234" s="87"/>
      <c r="J2234" s="87"/>
    </row>
    <row r="2235">
      <c r="A2235" s="128"/>
      <c r="B2235" s="139"/>
      <c r="C2235" s="140"/>
      <c r="D2235" s="141"/>
      <c r="E2235" s="141"/>
      <c r="F2235" s="87"/>
      <c r="G2235" s="99"/>
      <c r="H2235" s="87"/>
      <c r="I2235" s="87"/>
      <c r="J2235" s="87"/>
    </row>
    <row r="2236">
      <c r="A2236" s="128"/>
      <c r="B2236" s="139"/>
      <c r="C2236" s="140"/>
      <c r="D2236" s="141"/>
      <c r="E2236" s="141"/>
      <c r="F2236" s="87"/>
      <c r="G2236" s="99"/>
      <c r="H2236" s="87"/>
      <c r="I2236" s="87"/>
      <c r="J2236" s="87"/>
    </row>
    <row r="2237">
      <c r="A2237" s="128"/>
      <c r="B2237" s="139"/>
      <c r="C2237" s="140"/>
      <c r="D2237" s="141"/>
      <c r="E2237" s="141"/>
      <c r="F2237" s="87"/>
      <c r="G2237" s="99"/>
      <c r="H2237" s="87"/>
      <c r="I2237" s="87"/>
      <c r="J2237" s="87"/>
    </row>
    <row r="2238">
      <c r="A2238" s="128"/>
      <c r="B2238" s="139"/>
      <c r="C2238" s="140"/>
      <c r="D2238" s="141"/>
      <c r="E2238" s="141"/>
      <c r="F2238" s="87"/>
      <c r="G2238" s="99"/>
      <c r="H2238" s="87"/>
      <c r="I2238" s="87"/>
      <c r="J2238" s="87"/>
    </row>
    <row r="2239">
      <c r="A2239" s="128"/>
      <c r="B2239" s="139"/>
      <c r="C2239" s="140"/>
      <c r="D2239" s="141"/>
      <c r="E2239" s="141"/>
      <c r="F2239" s="87"/>
      <c r="G2239" s="99"/>
      <c r="H2239" s="87"/>
      <c r="I2239" s="87"/>
      <c r="J2239" s="87"/>
    </row>
    <row r="2240">
      <c r="A2240" s="128"/>
      <c r="B2240" s="139"/>
      <c r="C2240" s="140"/>
      <c r="D2240" s="141"/>
      <c r="E2240" s="141"/>
      <c r="F2240" s="87"/>
      <c r="G2240" s="99"/>
      <c r="H2240" s="87"/>
      <c r="I2240" s="87"/>
      <c r="J2240" s="87"/>
    </row>
    <row r="2241">
      <c r="A2241" s="128"/>
      <c r="B2241" s="139"/>
      <c r="C2241" s="140"/>
      <c r="D2241" s="141"/>
      <c r="E2241" s="141"/>
      <c r="F2241" s="87"/>
      <c r="G2241" s="99"/>
      <c r="H2241" s="87"/>
      <c r="I2241" s="87"/>
      <c r="J2241" s="87"/>
    </row>
    <row r="2242">
      <c r="A2242" s="128"/>
      <c r="B2242" s="139"/>
      <c r="C2242" s="140"/>
      <c r="D2242" s="141"/>
      <c r="E2242" s="141"/>
      <c r="F2242" s="87"/>
      <c r="G2242" s="99"/>
      <c r="H2242" s="87"/>
      <c r="I2242" s="87"/>
      <c r="J2242" s="87"/>
    </row>
    <row r="2243">
      <c r="A2243" s="128"/>
      <c r="B2243" s="139"/>
      <c r="C2243" s="140"/>
      <c r="D2243" s="141"/>
      <c r="E2243" s="141"/>
      <c r="F2243" s="87"/>
      <c r="G2243" s="99"/>
      <c r="H2243" s="87"/>
      <c r="I2243" s="87"/>
      <c r="J2243" s="87"/>
    </row>
    <row r="2244">
      <c r="A2244" s="128"/>
      <c r="B2244" s="139"/>
      <c r="C2244" s="140"/>
      <c r="D2244" s="141"/>
      <c r="E2244" s="141"/>
      <c r="F2244" s="87"/>
      <c r="G2244" s="99"/>
      <c r="H2244" s="87"/>
      <c r="I2244" s="87"/>
      <c r="J2244" s="87"/>
    </row>
    <row r="2245">
      <c r="A2245" s="128"/>
      <c r="B2245" s="139"/>
      <c r="C2245" s="140"/>
      <c r="D2245" s="141"/>
      <c r="E2245" s="141"/>
      <c r="F2245" s="87"/>
      <c r="G2245" s="99"/>
      <c r="H2245" s="87"/>
      <c r="I2245" s="87"/>
      <c r="J2245" s="87"/>
    </row>
    <row r="2246">
      <c r="A2246" s="128"/>
      <c r="B2246" s="139"/>
      <c r="C2246" s="140"/>
      <c r="D2246" s="141"/>
      <c r="E2246" s="141"/>
      <c r="F2246" s="87"/>
      <c r="G2246" s="99"/>
      <c r="H2246" s="87"/>
      <c r="I2246" s="87"/>
      <c r="J2246" s="87"/>
    </row>
    <row r="2247">
      <c r="A2247" s="128"/>
      <c r="B2247" s="139"/>
      <c r="C2247" s="140"/>
      <c r="D2247" s="141"/>
      <c r="E2247" s="141"/>
      <c r="F2247" s="87"/>
      <c r="G2247" s="99"/>
      <c r="H2247" s="87"/>
      <c r="I2247" s="87"/>
      <c r="J2247" s="87"/>
    </row>
    <row r="2248">
      <c r="A2248" s="128"/>
      <c r="B2248" s="139"/>
      <c r="C2248" s="140"/>
      <c r="D2248" s="141"/>
      <c r="E2248" s="141"/>
      <c r="F2248" s="87"/>
      <c r="G2248" s="99"/>
      <c r="H2248" s="87"/>
      <c r="I2248" s="87"/>
      <c r="J2248" s="87"/>
    </row>
    <row r="2249">
      <c r="A2249" s="128"/>
      <c r="B2249" s="139"/>
      <c r="C2249" s="140"/>
      <c r="D2249" s="141"/>
      <c r="E2249" s="141"/>
      <c r="F2249" s="87"/>
      <c r="G2249" s="99"/>
      <c r="H2249" s="87"/>
      <c r="I2249" s="87"/>
      <c r="J2249" s="87"/>
    </row>
    <row r="2250">
      <c r="A2250" s="128"/>
      <c r="B2250" s="139"/>
      <c r="C2250" s="140"/>
      <c r="D2250" s="141"/>
      <c r="E2250" s="141"/>
      <c r="F2250" s="87"/>
      <c r="G2250" s="99"/>
      <c r="H2250" s="87"/>
      <c r="I2250" s="87"/>
      <c r="J2250" s="87"/>
    </row>
    <row r="2251">
      <c r="A2251" s="128"/>
      <c r="B2251" s="139"/>
      <c r="C2251" s="140"/>
      <c r="D2251" s="141"/>
      <c r="E2251" s="141"/>
      <c r="F2251" s="87"/>
      <c r="G2251" s="99"/>
      <c r="H2251" s="87"/>
      <c r="I2251" s="87"/>
      <c r="J2251" s="87"/>
    </row>
    <row r="2252">
      <c r="A2252" s="128"/>
      <c r="B2252" s="139"/>
      <c r="C2252" s="140"/>
      <c r="D2252" s="141"/>
      <c r="E2252" s="141"/>
      <c r="F2252" s="87"/>
      <c r="G2252" s="99"/>
      <c r="H2252" s="87"/>
      <c r="I2252" s="87"/>
      <c r="J2252" s="87"/>
    </row>
    <row r="2253">
      <c r="A2253" s="128"/>
      <c r="B2253" s="139"/>
      <c r="C2253" s="140"/>
      <c r="D2253" s="141"/>
      <c r="E2253" s="141"/>
      <c r="F2253" s="87"/>
      <c r="G2253" s="99"/>
      <c r="H2253" s="87"/>
      <c r="I2253" s="87"/>
      <c r="J2253" s="87"/>
    </row>
    <row r="2254">
      <c r="A2254" s="128"/>
      <c r="B2254" s="139"/>
      <c r="C2254" s="140"/>
      <c r="D2254" s="141"/>
      <c r="E2254" s="141"/>
      <c r="F2254" s="87"/>
      <c r="G2254" s="99"/>
      <c r="H2254" s="87"/>
      <c r="I2254" s="87"/>
      <c r="J2254" s="87"/>
    </row>
    <row r="2255">
      <c r="A2255" s="128"/>
      <c r="B2255" s="139"/>
      <c r="C2255" s="140"/>
      <c r="D2255" s="141"/>
      <c r="E2255" s="141"/>
      <c r="F2255" s="87"/>
      <c r="G2255" s="99"/>
      <c r="H2255" s="87"/>
      <c r="I2255" s="87"/>
      <c r="J2255" s="87"/>
    </row>
    <row r="2256">
      <c r="A2256" s="128"/>
      <c r="B2256" s="139"/>
      <c r="C2256" s="140"/>
      <c r="D2256" s="141"/>
      <c r="E2256" s="141"/>
      <c r="F2256" s="87"/>
      <c r="G2256" s="99"/>
      <c r="H2256" s="87"/>
      <c r="I2256" s="87"/>
      <c r="J2256" s="87"/>
    </row>
    <row r="2257">
      <c r="A2257" s="128"/>
      <c r="B2257" s="139"/>
      <c r="C2257" s="140"/>
      <c r="D2257" s="141"/>
      <c r="E2257" s="141"/>
      <c r="F2257" s="87"/>
      <c r="G2257" s="99"/>
      <c r="H2257" s="87"/>
      <c r="I2257" s="87"/>
      <c r="J2257" s="87"/>
    </row>
    <row r="2258">
      <c r="A2258" s="128"/>
      <c r="B2258" s="139"/>
      <c r="C2258" s="140"/>
      <c r="D2258" s="141"/>
      <c r="E2258" s="141"/>
      <c r="F2258" s="87"/>
      <c r="G2258" s="99"/>
      <c r="H2258" s="87"/>
      <c r="I2258" s="87"/>
      <c r="J2258" s="87"/>
    </row>
    <row r="2259">
      <c r="A2259" s="128"/>
      <c r="B2259" s="139"/>
      <c r="C2259" s="140"/>
      <c r="D2259" s="141"/>
      <c r="E2259" s="141"/>
      <c r="F2259" s="87"/>
      <c r="G2259" s="99"/>
      <c r="H2259" s="87"/>
      <c r="I2259" s="87"/>
      <c r="J2259" s="87"/>
    </row>
    <row r="2260">
      <c r="A2260" s="128"/>
      <c r="B2260" s="139"/>
      <c r="C2260" s="140"/>
      <c r="D2260" s="141"/>
      <c r="E2260" s="141"/>
      <c r="F2260" s="87"/>
      <c r="G2260" s="99"/>
      <c r="H2260" s="87"/>
      <c r="I2260" s="87"/>
      <c r="J2260" s="87"/>
    </row>
    <row r="2261">
      <c r="A2261" s="128"/>
      <c r="B2261" s="139"/>
      <c r="C2261" s="140"/>
      <c r="D2261" s="141"/>
      <c r="E2261" s="141"/>
      <c r="F2261" s="87"/>
      <c r="G2261" s="99"/>
      <c r="H2261" s="87"/>
      <c r="I2261" s="87"/>
      <c r="J2261" s="87"/>
    </row>
    <row r="2262">
      <c r="A2262" s="128"/>
      <c r="B2262" s="139"/>
      <c r="C2262" s="140"/>
      <c r="D2262" s="141"/>
      <c r="E2262" s="141"/>
      <c r="F2262" s="87"/>
      <c r="G2262" s="99"/>
      <c r="H2262" s="87"/>
      <c r="I2262" s="87"/>
      <c r="J2262" s="87"/>
    </row>
    <row r="2263">
      <c r="A2263" s="128"/>
      <c r="B2263" s="139"/>
      <c r="C2263" s="140"/>
      <c r="D2263" s="141"/>
      <c r="E2263" s="141"/>
      <c r="F2263" s="87"/>
      <c r="G2263" s="99"/>
      <c r="H2263" s="87"/>
      <c r="I2263" s="87"/>
      <c r="J2263" s="87"/>
    </row>
    <row r="2264">
      <c r="A2264" s="128"/>
      <c r="B2264" s="139"/>
      <c r="C2264" s="140"/>
      <c r="D2264" s="141"/>
      <c r="E2264" s="141"/>
      <c r="F2264" s="87"/>
      <c r="G2264" s="99"/>
      <c r="H2264" s="87"/>
      <c r="I2264" s="87"/>
      <c r="J2264" s="87"/>
    </row>
    <row r="2265">
      <c r="A2265" s="128"/>
      <c r="B2265" s="139"/>
      <c r="C2265" s="140"/>
      <c r="D2265" s="141"/>
      <c r="E2265" s="141"/>
      <c r="F2265" s="87"/>
      <c r="G2265" s="99"/>
      <c r="H2265" s="87"/>
      <c r="I2265" s="87"/>
      <c r="J2265" s="87"/>
    </row>
    <row r="2266">
      <c r="A2266" s="128"/>
      <c r="B2266" s="139"/>
      <c r="C2266" s="140"/>
      <c r="D2266" s="141"/>
      <c r="E2266" s="141"/>
      <c r="F2266" s="87"/>
      <c r="G2266" s="99"/>
      <c r="H2266" s="87"/>
      <c r="I2266" s="87"/>
      <c r="J2266" s="87"/>
    </row>
    <row r="2267">
      <c r="A2267" s="128"/>
      <c r="B2267" s="139"/>
      <c r="C2267" s="140"/>
      <c r="D2267" s="141"/>
      <c r="E2267" s="141"/>
      <c r="F2267" s="87"/>
      <c r="G2267" s="99"/>
      <c r="H2267" s="87"/>
      <c r="I2267" s="87"/>
      <c r="J2267" s="87"/>
    </row>
    <row r="2268">
      <c r="A2268" s="128"/>
      <c r="B2268" s="139"/>
      <c r="C2268" s="140"/>
      <c r="D2268" s="141"/>
      <c r="E2268" s="141"/>
      <c r="F2268" s="87"/>
      <c r="G2268" s="99"/>
      <c r="H2268" s="87"/>
      <c r="I2268" s="87"/>
      <c r="J2268" s="87"/>
    </row>
    <row r="2269">
      <c r="A2269" s="128"/>
      <c r="B2269" s="139"/>
      <c r="C2269" s="140"/>
      <c r="D2269" s="141"/>
      <c r="E2269" s="141"/>
      <c r="F2269" s="87"/>
      <c r="G2269" s="99"/>
      <c r="H2269" s="87"/>
      <c r="I2269" s="87"/>
      <c r="J2269" s="87"/>
    </row>
    <row r="2270">
      <c r="A2270" s="128"/>
      <c r="B2270" s="139"/>
      <c r="C2270" s="140"/>
      <c r="D2270" s="141"/>
      <c r="E2270" s="141"/>
      <c r="F2270" s="87"/>
      <c r="G2270" s="99"/>
      <c r="H2270" s="87"/>
      <c r="I2270" s="87"/>
      <c r="J2270" s="87"/>
    </row>
    <row r="2271">
      <c r="A2271" s="128"/>
      <c r="B2271" s="139"/>
      <c r="C2271" s="140"/>
      <c r="D2271" s="141"/>
      <c r="E2271" s="141"/>
      <c r="F2271" s="87"/>
      <c r="G2271" s="99"/>
      <c r="H2271" s="87"/>
      <c r="I2271" s="87"/>
      <c r="J2271" s="87"/>
    </row>
    <row r="2272">
      <c r="A2272" s="128"/>
      <c r="B2272" s="139"/>
      <c r="C2272" s="140"/>
      <c r="D2272" s="141"/>
      <c r="E2272" s="141"/>
      <c r="F2272" s="87"/>
      <c r="G2272" s="99"/>
      <c r="H2272" s="87"/>
      <c r="I2272" s="87"/>
      <c r="J2272" s="87"/>
    </row>
    <row r="2273">
      <c r="A2273" s="128"/>
      <c r="B2273" s="139"/>
      <c r="C2273" s="140"/>
      <c r="D2273" s="141"/>
      <c r="E2273" s="141"/>
      <c r="F2273" s="87"/>
      <c r="G2273" s="99"/>
      <c r="H2273" s="87"/>
      <c r="I2273" s="87"/>
      <c r="J2273" s="87"/>
    </row>
    <row r="2274">
      <c r="A2274" s="128"/>
      <c r="B2274" s="139"/>
      <c r="C2274" s="140"/>
      <c r="D2274" s="141"/>
      <c r="E2274" s="141"/>
      <c r="F2274" s="87"/>
      <c r="G2274" s="99"/>
      <c r="H2274" s="87"/>
      <c r="I2274" s="87"/>
      <c r="J2274" s="87"/>
    </row>
    <row r="2275">
      <c r="A2275" s="128"/>
      <c r="B2275" s="139"/>
      <c r="C2275" s="140"/>
      <c r="D2275" s="141"/>
      <c r="E2275" s="141"/>
      <c r="F2275" s="87"/>
      <c r="G2275" s="99"/>
      <c r="H2275" s="87"/>
      <c r="I2275" s="87"/>
      <c r="J2275" s="87"/>
    </row>
    <row r="2276">
      <c r="A2276" s="128"/>
      <c r="B2276" s="139"/>
      <c r="C2276" s="140"/>
      <c r="D2276" s="141"/>
      <c r="E2276" s="141"/>
      <c r="F2276" s="87"/>
      <c r="G2276" s="99"/>
      <c r="H2276" s="87"/>
      <c r="I2276" s="87"/>
      <c r="J2276" s="87"/>
    </row>
    <row r="2277">
      <c r="A2277" s="128"/>
      <c r="B2277" s="139"/>
      <c r="C2277" s="140"/>
      <c r="D2277" s="141"/>
      <c r="E2277" s="141"/>
      <c r="F2277" s="87"/>
      <c r="G2277" s="99"/>
      <c r="H2277" s="87"/>
      <c r="I2277" s="87"/>
      <c r="J2277" s="87"/>
    </row>
    <row r="2278">
      <c r="A2278" s="128"/>
      <c r="B2278" s="139"/>
      <c r="C2278" s="140"/>
      <c r="D2278" s="141"/>
      <c r="E2278" s="141"/>
      <c r="F2278" s="87"/>
      <c r="G2278" s="99"/>
      <c r="H2278" s="87"/>
      <c r="I2278" s="87"/>
      <c r="J2278" s="87"/>
    </row>
    <row r="2279">
      <c r="A2279" s="128"/>
      <c r="B2279" s="139"/>
      <c r="C2279" s="140"/>
      <c r="D2279" s="141"/>
      <c r="E2279" s="141"/>
      <c r="F2279" s="87"/>
      <c r="G2279" s="99"/>
      <c r="H2279" s="87"/>
      <c r="I2279" s="87"/>
      <c r="J2279" s="87"/>
    </row>
    <row r="2280">
      <c r="A2280" s="128"/>
      <c r="B2280" s="139"/>
      <c r="C2280" s="140"/>
      <c r="D2280" s="141"/>
      <c r="E2280" s="141"/>
      <c r="F2280" s="87"/>
      <c r="G2280" s="99"/>
      <c r="H2280" s="87"/>
      <c r="I2280" s="87"/>
      <c r="J2280" s="87"/>
    </row>
    <row r="2281">
      <c r="A2281" s="128"/>
      <c r="B2281" s="139"/>
      <c r="C2281" s="140"/>
      <c r="D2281" s="141"/>
      <c r="E2281" s="141"/>
      <c r="F2281" s="87"/>
      <c r="G2281" s="99"/>
      <c r="H2281" s="87"/>
      <c r="I2281" s="87"/>
      <c r="J2281" s="87"/>
    </row>
    <row r="2282">
      <c r="A2282" s="128"/>
      <c r="B2282" s="139"/>
      <c r="C2282" s="140"/>
      <c r="D2282" s="141"/>
      <c r="E2282" s="141"/>
      <c r="F2282" s="87"/>
      <c r="G2282" s="99"/>
      <c r="H2282" s="87"/>
      <c r="I2282" s="87"/>
      <c r="J2282" s="87"/>
    </row>
    <row r="2283">
      <c r="A2283" s="128"/>
      <c r="B2283" s="139"/>
      <c r="C2283" s="140"/>
      <c r="D2283" s="141"/>
      <c r="E2283" s="141"/>
      <c r="F2283" s="87"/>
      <c r="G2283" s="99"/>
      <c r="H2283" s="87"/>
      <c r="I2283" s="87"/>
      <c r="J2283" s="87"/>
    </row>
    <row r="2284">
      <c r="A2284" s="128"/>
      <c r="B2284" s="139"/>
      <c r="C2284" s="140"/>
      <c r="D2284" s="141"/>
      <c r="E2284" s="141"/>
      <c r="F2284" s="87"/>
      <c r="G2284" s="99"/>
      <c r="H2284" s="87"/>
      <c r="I2284" s="87"/>
      <c r="J2284" s="87"/>
    </row>
    <row r="2285">
      <c r="A2285" s="128"/>
      <c r="B2285" s="139"/>
      <c r="C2285" s="140"/>
      <c r="D2285" s="141"/>
      <c r="E2285" s="141"/>
      <c r="F2285" s="87"/>
      <c r="G2285" s="99"/>
      <c r="H2285" s="87"/>
      <c r="I2285" s="87"/>
      <c r="J2285" s="87"/>
    </row>
    <row r="2286">
      <c r="A2286" s="128"/>
      <c r="B2286" s="139"/>
      <c r="C2286" s="140"/>
      <c r="D2286" s="141"/>
      <c r="E2286" s="141"/>
      <c r="F2286" s="87"/>
      <c r="G2286" s="99"/>
      <c r="H2286" s="87"/>
      <c r="I2286" s="87"/>
      <c r="J2286" s="87"/>
    </row>
    <row r="2287">
      <c r="A2287" s="128"/>
      <c r="B2287" s="139"/>
      <c r="C2287" s="140"/>
      <c r="D2287" s="141"/>
      <c r="E2287" s="141"/>
      <c r="F2287" s="87"/>
      <c r="G2287" s="99"/>
      <c r="H2287" s="87"/>
      <c r="I2287" s="87"/>
      <c r="J2287" s="87"/>
    </row>
    <row r="2288">
      <c r="A2288" s="128"/>
      <c r="B2288" s="139"/>
      <c r="C2288" s="140"/>
      <c r="D2288" s="141"/>
      <c r="E2288" s="141"/>
      <c r="F2288" s="87"/>
      <c r="G2288" s="99"/>
      <c r="H2288" s="87"/>
      <c r="I2288" s="87"/>
      <c r="J2288" s="87"/>
    </row>
    <row r="2289">
      <c r="A2289" s="128"/>
      <c r="B2289" s="139"/>
      <c r="C2289" s="140"/>
      <c r="D2289" s="141"/>
      <c r="E2289" s="141"/>
      <c r="F2289" s="87"/>
      <c r="G2289" s="99"/>
      <c r="H2289" s="87"/>
      <c r="I2289" s="87"/>
      <c r="J2289" s="87"/>
    </row>
    <row r="2290">
      <c r="A2290" s="128"/>
      <c r="B2290" s="139"/>
      <c r="C2290" s="140"/>
      <c r="D2290" s="141"/>
      <c r="E2290" s="141"/>
      <c r="F2290" s="87"/>
      <c r="G2290" s="99"/>
      <c r="H2290" s="87"/>
      <c r="I2290" s="87"/>
      <c r="J2290" s="87"/>
    </row>
    <row r="2291">
      <c r="A2291" s="128"/>
      <c r="B2291" s="139"/>
      <c r="C2291" s="140"/>
      <c r="D2291" s="141"/>
      <c r="E2291" s="141"/>
      <c r="F2291" s="87"/>
      <c r="G2291" s="99"/>
      <c r="H2291" s="87"/>
      <c r="I2291" s="87"/>
      <c r="J2291" s="87"/>
    </row>
    <row r="2292">
      <c r="A2292" s="128"/>
      <c r="B2292" s="139"/>
      <c r="C2292" s="140"/>
      <c r="D2292" s="141"/>
      <c r="E2292" s="141"/>
      <c r="F2292" s="87"/>
      <c r="G2292" s="99"/>
      <c r="H2292" s="87"/>
      <c r="I2292" s="87"/>
      <c r="J2292" s="87"/>
    </row>
    <row r="2293">
      <c r="A2293" s="128"/>
      <c r="B2293" s="139"/>
      <c r="C2293" s="140"/>
      <c r="D2293" s="141"/>
      <c r="E2293" s="141"/>
      <c r="F2293" s="87"/>
      <c r="G2293" s="99"/>
      <c r="H2293" s="87"/>
      <c r="I2293" s="87"/>
      <c r="J2293" s="87"/>
    </row>
    <row r="2294">
      <c r="A2294" s="128"/>
      <c r="B2294" s="139"/>
      <c r="C2294" s="140"/>
      <c r="D2294" s="141"/>
      <c r="E2294" s="141"/>
      <c r="F2294" s="87"/>
      <c r="G2294" s="99"/>
      <c r="H2294" s="87"/>
      <c r="I2294" s="87"/>
      <c r="J2294" s="87"/>
    </row>
    <row r="2295">
      <c r="A2295" s="128"/>
      <c r="B2295" s="139"/>
      <c r="C2295" s="140"/>
      <c r="D2295" s="141"/>
      <c r="E2295" s="141"/>
      <c r="F2295" s="87"/>
      <c r="G2295" s="99"/>
      <c r="H2295" s="87"/>
      <c r="I2295" s="87"/>
      <c r="J2295" s="87"/>
    </row>
  </sheetData>
  <autoFilter ref="$A$1:$I$1584"/>
  <dataValidations>
    <dataValidation type="list" allowBlank="1" sqref="A2:A2295">
      <formula1>Map!$B$5:$B$15</formula1>
    </dataValidation>
    <dataValidation type="list" allowBlank="1" showErrorMessage="1" sqref="F2:F2295">
      <formula1>"Yes,No"</formula1>
    </dataValidation>
    <dataValidation type="list" allowBlank="1" sqref="G2:G1604">
      <formula1>"Check connections for the backpad to ensure the heating cord is securely connected,Check connections for the Footrest to ensure the power cord is securely connected to the base,Check the connection of the remote to the base of the chair and ensure it is c"&amp;"onected securely,Make sure there are no buttons on the side panel that are stuck"</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63"/>
    <col customWidth="1" min="2" max="2" width="16.38"/>
    <col customWidth="1" min="3" max="3" width="12.63"/>
    <col customWidth="1" min="4" max="4" width="14.0"/>
    <col customWidth="1" min="5" max="5" width="25.13" outlineLevel="1"/>
    <col customWidth="1" min="6" max="6" width="37.63"/>
    <col customWidth="1" min="7" max="7" width="43.88"/>
    <col customWidth="1" min="8" max="8" width="37.63"/>
    <col customWidth="1" min="9" max="9" width="12.63"/>
  </cols>
  <sheetData>
    <row r="1" ht="15.0" customHeight="1">
      <c r="D1" s="142"/>
      <c r="E1" s="142"/>
      <c r="F1" s="143"/>
      <c r="G1" s="143"/>
    </row>
    <row r="2">
      <c r="B2" s="144" t="s">
        <v>2733</v>
      </c>
      <c r="D2" s="142"/>
      <c r="E2" s="142"/>
      <c r="F2" s="143"/>
      <c r="G2" s="143"/>
    </row>
    <row r="3">
      <c r="D3" s="142"/>
      <c r="E3" s="142"/>
      <c r="F3" s="143"/>
      <c r="G3" s="143"/>
    </row>
    <row r="4">
      <c r="B4" s="19" t="s">
        <v>2734</v>
      </c>
      <c r="C4" s="145"/>
      <c r="D4" s="146"/>
      <c r="E4" s="146"/>
      <c r="F4" s="146"/>
      <c r="G4" s="147"/>
    </row>
    <row r="5">
      <c r="B5" s="19" t="s">
        <v>2735</v>
      </c>
      <c r="C5" s="145"/>
      <c r="D5" s="146"/>
      <c r="E5" s="146"/>
      <c r="F5" s="146"/>
      <c r="G5" s="147"/>
    </row>
    <row r="6">
      <c r="C6" s="19" t="s">
        <v>2736</v>
      </c>
      <c r="D6" s="142"/>
      <c r="E6" s="142"/>
      <c r="F6" s="143"/>
      <c r="G6" s="143"/>
    </row>
    <row r="7">
      <c r="C7" s="19" t="s">
        <v>2737</v>
      </c>
      <c r="D7" s="142"/>
      <c r="E7" s="142"/>
      <c r="F7" s="143"/>
      <c r="G7" s="143"/>
    </row>
    <row r="8" ht="22.5" customHeight="1">
      <c r="B8" s="148" t="s">
        <v>2</v>
      </c>
      <c r="C8" s="148" t="s">
        <v>2738</v>
      </c>
      <c r="D8" s="148" t="s">
        <v>502</v>
      </c>
      <c r="E8" s="148" t="s">
        <v>507</v>
      </c>
      <c r="F8" s="149" t="s">
        <v>503</v>
      </c>
      <c r="G8" s="149" t="s">
        <v>2739</v>
      </c>
      <c r="H8" s="148" t="s">
        <v>508</v>
      </c>
      <c r="I8" s="148" t="s">
        <v>2740</v>
      </c>
      <c r="J8" s="19"/>
    </row>
    <row r="9" ht="75.0" customHeight="1">
      <c r="A9" s="150"/>
      <c r="B9" s="151" t="str">
        <f>IFERROR(__xludf.DUMMYFUNCTION("IF(AND(C4="""", C5=""""), ""Please enter a Model Name or Error Code to search."", IFERROR(FILTER({'Error Code Log'!A2:C1000, 'Error Code Log'!H2:H1000, 'Error Code Log'!D2:E1000, 'Error Code Log'!I2:I1000}, IF(C4="""", ROW('Error Code Log'!B2:B1000)&gt;0, MA"&amp;"P('Error Code Log'!B2:B1000, LAMBDA(model, OR(REGEXMATCH(LOWER(TO_TEXT(model)), LOWER(TRIM(TO_TEXT(C4)))), COUNTIFS('Summary by Mfg &amp; Model'!B:B, ""*""&amp;C4&amp;""*"", 'Summary by Mfg &amp; Model'!C:C, model) &gt; 0)))), IF(C5="""", ROW('Error Code Log'!C2:C1000)&gt;0, R"&amp;"EGEXMATCH(LOWER(TO_TEXT('Error Code Log'!C2:C1000)), ""\b("" &amp; REGEXREPLACE(LOWER(TRIM(TO_TEXT(C5))), ""\s*,\s*"", ""|"") &amp; "")\b""))), IF(C4&lt;&gt;"""", IF(COUNTIFS('Summary by Mfg &amp; Model'!B:B, ""*""&amp;C4&amp;""*"") + COUNTIFS('Summary by Mfg &amp; Model'!C:C, ""*""&amp;C"&amp;"4&amp;""*"") &gt; 0, IF(SUMIFS('Summary by Mfg &amp; Model'!D:D, 'Summary by Mfg &amp; Model'!B:B, ""*""&amp;C4&amp;""*"") + SUMIFS('Summary by Mfg &amp; Model'!D:D, 'Summary by Mfg &amp; Model'!C:C, ""*""&amp;C4&amp;""*"") &gt; 0, ""No matching error codes found for this search."", ""This chair "&amp;"does not have error codes.""), ""There is no information on this chair at this time.""), ""No results found."")))"),"Please enter a Model Name or Error Code to search.")</f>
        <v>Please enter a Model Name or Error Code to search.</v>
      </c>
      <c r="C9" s="151"/>
      <c r="D9" s="151"/>
      <c r="E9" s="151"/>
      <c r="F9" s="152"/>
      <c r="G9" s="152"/>
      <c r="H9" s="151"/>
      <c r="I9" s="153"/>
    </row>
    <row r="10" ht="75.0" customHeight="1">
      <c r="A10" s="150"/>
      <c r="B10" s="151"/>
      <c r="C10" s="151"/>
      <c r="D10" s="151"/>
      <c r="E10" s="151"/>
      <c r="F10" s="152"/>
      <c r="G10" s="152"/>
      <c r="H10" s="151"/>
      <c r="I10" s="153"/>
    </row>
    <row r="11" ht="75.0" customHeight="1">
      <c r="A11" s="150"/>
      <c r="B11" s="151"/>
      <c r="C11" s="151"/>
      <c r="D11" s="151"/>
      <c r="E11" s="151"/>
      <c r="F11" s="152"/>
      <c r="G11" s="152"/>
      <c r="H11" s="151"/>
      <c r="I11" s="153"/>
    </row>
    <row r="12" ht="75.0" customHeight="1">
      <c r="A12" s="150"/>
      <c r="B12" s="151"/>
      <c r="C12" s="151"/>
      <c r="D12" s="151"/>
      <c r="E12" s="151"/>
      <c r="F12" s="152"/>
      <c r="G12" s="152"/>
      <c r="H12" s="151"/>
      <c r="I12" s="153"/>
    </row>
    <row r="13" ht="75.0" customHeight="1">
      <c r="A13" s="150"/>
      <c r="B13" s="151"/>
      <c r="C13" s="151"/>
      <c r="D13" s="151"/>
      <c r="E13" s="151"/>
      <c r="F13" s="152"/>
      <c r="G13" s="152"/>
      <c r="H13" s="151"/>
      <c r="I13" s="153"/>
    </row>
    <row r="14" ht="75.0" customHeight="1">
      <c r="A14" s="150"/>
      <c r="B14" s="151"/>
      <c r="C14" s="151"/>
      <c r="D14" s="151"/>
      <c r="E14" s="151"/>
      <c r="F14" s="152"/>
      <c r="G14" s="152"/>
      <c r="H14" s="151"/>
      <c r="I14" s="153"/>
    </row>
    <row r="15" ht="75.0" customHeight="1">
      <c r="A15" s="150"/>
      <c r="B15" s="151"/>
      <c r="C15" s="151"/>
      <c r="D15" s="151"/>
      <c r="E15" s="151"/>
      <c r="F15" s="152"/>
      <c r="G15" s="152"/>
      <c r="H15" s="151"/>
      <c r="I15" s="153"/>
    </row>
    <row r="16" ht="75.0" customHeight="1">
      <c r="A16" s="150"/>
      <c r="B16" s="151"/>
      <c r="C16" s="151"/>
      <c r="D16" s="151"/>
      <c r="E16" s="151"/>
      <c r="F16" s="152"/>
      <c r="G16" s="152"/>
      <c r="H16" s="151"/>
      <c r="I16" s="153"/>
    </row>
    <row r="17" ht="75.0" customHeight="1">
      <c r="A17" s="150"/>
      <c r="B17" s="151"/>
      <c r="C17" s="151"/>
      <c r="D17" s="151"/>
      <c r="E17" s="151"/>
      <c r="F17" s="152"/>
      <c r="G17" s="152"/>
      <c r="H17" s="151"/>
      <c r="I17" s="153"/>
    </row>
    <row r="18" ht="75.0" customHeight="1">
      <c r="A18" s="150"/>
      <c r="B18" s="151"/>
      <c r="C18" s="151"/>
      <c r="D18" s="151"/>
      <c r="E18" s="151"/>
      <c r="F18" s="152"/>
      <c r="G18" s="152"/>
      <c r="H18" s="151"/>
      <c r="I18" s="153"/>
    </row>
    <row r="19" ht="75.0" customHeight="1">
      <c r="A19" s="150"/>
      <c r="B19" s="151"/>
      <c r="C19" s="151"/>
      <c r="D19" s="151"/>
      <c r="E19" s="151"/>
      <c r="F19" s="152"/>
      <c r="G19" s="152"/>
      <c r="H19" s="151"/>
      <c r="I19" s="153"/>
    </row>
    <row r="20" ht="75.0" customHeight="1">
      <c r="A20" s="150"/>
      <c r="B20" s="151"/>
      <c r="C20" s="151"/>
      <c r="D20" s="151"/>
      <c r="E20" s="151"/>
      <c r="F20" s="152"/>
      <c r="G20" s="152"/>
      <c r="H20" s="151"/>
      <c r="I20" s="153"/>
    </row>
    <row r="21" ht="75.0" customHeight="1">
      <c r="A21" s="154"/>
      <c r="B21" s="151"/>
      <c r="C21" s="151"/>
      <c r="D21" s="151"/>
      <c r="E21" s="151"/>
      <c r="F21" s="152"/>
      <c r="G21" s="152"/>
      <c r="H21" s="151"/>
      <c r="I21" s="153"/>
    </row>
    <row r="22" ht="75.0" customHeight="1">
      <c r="B22" s="151"/>
      <c r="C22" s="151"/>
      <c r="D22" s="151"/>
      <c r="E22" s="151"/>
      <c r="F22" s="152"/>
      <c r="G22" s="152"/>
      <c r="H22" s="151"/>
      <c r="I22" s="153"/>
    </row>
    <row r="23" ht="75.0" customHeight="1">
      <c r="B23" s="151"/>
      <c r="C23" s="151"/>
      <c r="D23" s="151"/>
      <c r="E23" s="151"/>
      <c r="F23" s="152"/>
      <c r="G23" s="152"/>
      <c r="H23" s="151"/>
      <c r="I23" s="153"/>
    </row>
    <row r="24" ht="75.0" customHeight="1">
      <c r="B24" s="151"/>
      <c r="C24" s="151"/>
      <c r="D24" s="151"/>
      <c r="E24" s="151"/>
      <c r="F24" s="152"/>
      <c r="G24" s="152"/>
      <c r="H24" s="151"/>
      <c r="I24" s="153"/>
    </row>
    <row r="25" ht="75.0" customHeight="1">
      <c r="B25" s="151"/>
      <c r="C25" s="151"/>
      <c r="D25" s="151"/>
      <c r="E25" s="151"/>
      <c r="F25" s="152"/>
      <c r="G25" s="152"/>
      <c r="H25" s="151"/>
      <c r="I25" s="153"/>
    </row>
    <row r="26" ht="75.0" customHeight="1">
      <c r="B26" s="151"/>
      <c r="C26" s="151"/>
      <c r="D26" s="151"/>
      <c r="E26" s="151"/>
      <c r="F26" s="152"/>
      <c r="G26" s="152"/>
      <c r="H26" s="151"/>
      <c r="I26" s="153"/>
    </row>
    <row r="27" ht="75.0" customHeight="1">
      <c r="B27" s="151"/>
      <c r="C27" s="151"/>
      <c r="D27" s="151"/>
      <c r="E27" s="151"/>
      <c r="F27" s="152"/>
      <c r="G27" s="152"/>
      <c r="H27" s="151"/>
      <c r="I27" s="153"/>
    </row>
    <row r="28" ht="75.0" customHeight="1">
      <c r="B28" s="151"/>
      <c r="C28" s="151"/>
      <c r="D28" s="151"/>
      <c r="E28" s="151"/>
      <c r="F28" s="152"/>
      <c r="G28" s="152"/>
      <c r="H28" s="151"/>
      <c r="I28" s="153"/>
    </row>
    <row r="29" ht="75.0" customHeight="1">
      <c r="B29" s="155"/>
      <c r="C29" s="155"/>
      <c r="D29" s="155"/>
      <c r="E29" s="155"/>
      <c r="F29" s="156"/>
      <c r="G29" s="156"/>
      <c r="H29" s="155"/>
      <c r="I29" s="157"/>
    </row>
    <row r="30" ht="75.0" customHeight="1">
      <c r="B30" s="155"/>
      <c r="C30" s="155"/>
      <c r="D30" s="155"/>
      <c r="E30" s="155"/>
      <c r="F30" s="156"/>
      <c r="G30" s="156"/>
      <c r="H30" s="155"/>
      <c r="I30" s="157"/>
    </row>
    <row r="31" ht="75.0" customHeight="1">
      <c r="B31" s="155"/>
      <c r="C31" s="155"/>
      <c r="D31" s="155"/>
      <c r="E31" s="155"/>
      <c r="F31" s="156"/>
      <c r="G31" s="156"/>
      <c r="H31" s="155"/>
      <c r="I31" s="157"/>
    </row>
    <row r="32" ht="75.0" customHeight="1">
      <c r="B32" s="155"/>
      <c r="C32" s="155"/>
      <c r="D32" s="155"/>
      <c r="E32" s="155"/>
      <c r="F32" s="156"/>
      <c r="G32" s="156"/>
      <c r="H32" s="155"/>
      <c r="I32" s="157"/>
    </row>
    <row r="33" ht="75.0" customHeight="1">
      <c r="B33" s="155"/>
      <c r="C33" s="155"/>
      <c r="D33" s="155"/>
      <c r="E33" s="155"/>
      <c r="F33" s="156"/>
      <c r="G33" s="156"/>
      <c r="H33" s="155"/>
      <c r="I33" s="157"/>
    </row>
    <row r="34" ht="75.0" customHeight="1">
      <c r="B34" s="155"/>
      <c r="C34" s="155"/>
      <c r="D34" s="155"/>
      <c r="E34" s="155"/>
      <c r="F34" s="156"/>
      <c r="G34" s="156"/>
      <c r="H34" s="155"/>
      <c r="I34" s="157"/>
    </row>
    <row r="35" ht="75.0" customHeight="1">
      <c r="B35" s="155"/>
      <c r="C35" s="155"/>
      <c r="D35" s="155"/>
      <c r="E35" s="155"/>
      <c r="F35" s="156"/>
      <c r="G35" s="156"/>
      <c r="H35" s="155"/>
      <c r="I35" s="157"/>
    </row>
    <row r="36" ht="75.0" customHeight="1">
      <c r="B36" s="155"/>
      <c r="C36" s="155"/>
      <c r="D36" s="155"/>
      <c r="E36" s="155"/>
      <c r="F36" s="156"/>
      <c r="G36" s="156"/>
      <c r="H36" s="155"/>
      <c r="I36" s="157"/>
    </row>
    <row r="37" ht="75.0" customHeight="1">
      <c r="B37" s="155"/>
      <c r="C37" s="155"/>
      <c r="D37" s="155"/>
      <c r="E37" s="155"/>
      <c r="F37" s="156"/>
      <c r="G37" s="156"/>
      <c r="H37" s="155"/>
      <c r="I37" s="157"/>
    </row>
    <row r="38" ht="75.0" customHeight="1">
      <c r="B38" s="155"/>
      <c r="C38" s="155"/>
      <c r="D38" s="155"/>
      <c r="E38" s="155"/>
      <c r="F38" s="156"/>
      <c r="G38" s="156"/>
      <c r="H38" s="155"/>
      <c r="I38" s="157"/>
    </row>
    <row r="39" ht="75.0" customHeight="1">
      <c r="B39" s="155"/>
      <c r="C39" s="155"/>
      <c r="D39" s="155"/>
      <c r="E39" s="155"/>
      <c r="F39" s="156"/>
      <c r="G39" s="156"/>
      <c r="H39" s="155"/>
      <c r="I39" s="157"/>
    </row>
    <row r="40" ht="75.0" customHeight="1">
      <c r="B40" s="155"/>
      <c r="C40" s="155"/>
      <c r="D40" s="155"/>
      <c r="E40" s="155"/>
      <c r="F40" s="156"/>
      <c r="G40" s="156"/>
      <c r="H40" s="155"/>
      <c r="I40" s="157"/>
    </row>
    <row r="41" ht="75.0" customHeight="1">
      <c r="B41" s="155"/>
      <c r="C41" s="155"/>
      <c r="D41" s="155"/>
      <c r="E41" s="155"/>
      <c r="F41" s="156"/>
      <c r="G41" s="156"/>
      <c r="H41" s="155"/>
      <c r="I41" s="157"/>
    </row>
    <row r="42" ht="75.0" customHeight="1">
      <c r="B42" s="155"/>
      <c r="C42" s="155"/>
      <c r="D42" s="155"/>
      <c r="E42" s="155"/>
      <c r="F42" s="156"/>
      <c r="G42" s="156"/>
      <c r="H42" s="155"/>
      <c r="I42" s="157"/>
    </row>
    <row r="43" ht="75.0" customHeight="1">
      <c r="B43" s="155"/>
      <c r="C43" s="155"/>
      <c r="D43" s="155"/>
      <c r="E43" s="155"/>
      <c r="F43" s="156"/>
      <c r="G43" s="156"/>
      <c r="H43" s="155"/>
      <c r="I43" s="157"/>
    </row>
    <row r="44" ht="75.0" customHeight="1">
      <c r="B44" s="155"/>
      <c r="C44" s="155"/>
      <c r="D44" s="155"/>
      <c r="E44" s="155"/>
      <c r="F44" s="156"/>
      <c r="G44" s="156"/>
      <c r="H44" s="155"/>
      <c r="I44" s="157"/>
    </row>
    <row r="45" ht="75.0" customHeight="1">
      <c r="B45" s="155"/>
      <c r="C45" s="155"/>
      <c r="D45" s="155"/>
      <c r="E45" s="155"/>
      <c r="F45" s="156"/>
      <c r="G45" s="156"/>
      <c r="H45" s="155"/>
      <c r="I45" s="157"/>
    </row>
    <row r="46" ht="75.0" customHeight="1">
      <c r="B46" s="155"/>
      <c r="C46" s="155"/>
      <c r="D46" s="155"/>
      <c r="E46" s="155"/>
      <c r="F46" s="156"/>
      <c r="G46" s="156"/>
      <c r="H46" s="155"/>
      <c r="I46" s="157"/>
    </row>
    <row r="47" ht="75.0" customHeight="1">
      <c r="B47" s="155"/>
      <c r="C47" s="155"/>
      <c r="D47" s="155"/>
      <c r="E47" s="155"/>
      <c r="F47" s="156"/>
      <c r="G47" s="156"/>
      <c r="H47" s="155"/>
      <c r="I47" s="157"/>
    </row>
    <row r="48" ht="75.0" customHeight="1">
      <c r="B48" s="155"/>
      <c r="C48" s="155"/>
      <c r="D48" s="155"/>
      <c r="E48" s="155"/>
      <c r="F48" s="156"/>
      <c r="G48" s="156"/>
      <c r="H48" s="155"/>
      <c r="I48" s="157"/>
    </row>
    <row r="49" ht="75.0" customHeight="1">
      <c r="B49" s="155"/>
      <c r="C49" s="155"/>
      <c r="D49" s="155"/>
      <c r="E49" s="155"/>
      <c r="F49" s="156"/>
      <c r="G49" s="156"/>
      <c r="H49" s="155"/>
      <c r="I49" s="157"/>
    </row>
    <row r="50" ht="75.0" customHeight="1">
      <c r="B50" s="155"/>
      <c r="C50" s="155"/>
      <c r="D50" s="155"/>
      <c r="E50" s="155"/>
      <c r="F50" s="156"/>
      <c r="G50" s="156"/>
      <c r="H50" s="155"/>
      <c r="I50" s="157"/>
    </row>
    <row r="51">
      <c r="B51" s="155"/>
      <c r="C51" s="155"/>
      <c r="D51" s="155"/>
      <c r="E51" s="155"/>
      <c r="F51" s="156"/>
      <c r="G51" s="156"/>
      <c r="H51" s="155"/>
      <c r="I51" s="157"/>
    </row>
    <row r="52">
      <c r="B52" s="155"/>
      <c r="C52" s="155"/>
      <c r="D52" s="155"/>
      <c r="E52" s="155"/>
      <c r="F52" s="156"/>
      <c r="G52" s="156"/>
      <c r="H52" s="155"/>
      <c r="I52" s="157"/>
    </row>
    <row r="53">
      <c r="B53" s="155"/>
      <c r="C53" s="155"/>
      <c r="D53" s="155"/>
      <c r="E53" s="155"/>
      <c r="F53" s="156"/>
      <c r="G53" s="156"/>
      <c r="H53" s="155"/>
      <c r="I53" s="157"/>
    </row>
    <row r="54">
      <c r="B54" s="155"/>
      <c r="C54" s="155"/>
      <c r="D54" s="155"/>
      <c r="E54" s="155"/>
      <c r="F54" s="156"/>
      <c r="G54" s="156"/>
      <c r="H54" s="155"/>
      <c r="I54" s="157"/>
    </row>
    <row r="55">
      <c r="B55" s="155"/>
      <c r="C55" s="155"/>
      <c r="D55" s="155"/>
      <c r="E55" s="155"/>
      <c r="F55" s="156"/>
      <c r="G55" s="156"/>
      <c r="H55" s="155"/>
      <c r="I55" s="157"/>
    </row>
    <row r="56">
      <c r="B56" s="155"/>
      <c r="C56" s="155"/>
      <c r="D56" s="155"/>
      <c r="E56" s="155"/>
      <c r="F56" s="156"/>
      <c r="G56" s="156"/>
      <c r="H56" s="155"/>
      <c r="I56" s="157"/>
    </row>
    <row r="57">
      <c r="B57" s="155"/>
      <c r="C57" s="155"/>
      <c r="D57" s="155"/>
      <c r="E57" s="155"/>
      <c r="F57" s="156"/>
      <c r="G57" s="156"/>
      <c r="H57" s="155"/>
      <c r="I57" s="157"/>
    </row>
    <row r="58">
      <c r="B58" s="155"/>
      <c r="C58" s="155"/>
      <c r="D58" s="155"/>
      <c r="E58" s="155"/>
      <c r="F58" s="156"/>
      <c r="G58" s="156"/>
      <c r="H58" s="155"/>
      <c r="I58" s="157"/>
    </row>
    <row r="59">
      <c r="B59" s="155"/>
      <c r="C59" s="155"/>
      <c r="D59" s="155"/>
      <c r="E59" s="155"/>
      <c r="F59" s="156"/>
      <c r="G59" s="156"/>
      <c r="H59" s="155"/>
      <c r="I59" s="157"/>
    </row>
    <row r="60">
      <c r="B60" s="155"/>
      <c r="C60" s="155"/>
      <c r="D60" s="155"/>
      <c r="E60" s="155"/>
      <c r="F60" s="156"/>
      <c r="G60" s="156"/>
      <c r="H60" s="155"/>
      <c r="I60" s="157"/>
    </row>
    <row r="61">
      <c r="B61" s="155"/>
      <c r="C61" s="155"/>
      <c r="D61" s="155"/>
      <c r="E61" s="155"/>
      <c r="F61" s="156"/>
      <c r="G61" s="156"/>
      <c r="H61" s="155"/>
      <c r="I61" s="157"/>
    </row>
    <row r="62">
      <c r="B62" s="155"/>
      <c r="C62" s="155"/>
      <c r="D62" s="155"/>
      <c r="E62" s="155"/>
      <c r="F62" s="156"/>
      <c r="G62" s="156"/>
      <c r="H62" s="155"/>
      <c r="I62" s="157"/>
    </row>
    <row r="63">
      <c r="B63" s="155"/>
      <c r="C63" s="155"/>
      <c r="D63" s="155"/>
      <c r="E63" s="155"/>
      <c r="F63" s="156"/>
      <c r="G63" s="156"/>
      <c r="H63" s="155"/>
      <c r="I63" s="157"/>
    </row>
    <row r="64">
      <c r="B64" s="155"/>
      <c r="C64" s="155"/>
      <c r="D64" s="155"/>
      <c r="E64" s="155"/>
      <c r="F64" s="156"/>
      <c r="G64" s="156"/>
      <c r="H64" s="155"/>
      <c r="I64" s="157"/>
    </row>
    <row r="65">
      <c r="B65" s="155"/>
      <c r="C65" s="155"/>
      <c r="D65" s="155"/>
      <c r="E65" s="155"/>
      <c r="F65" s="156"/>
      <c r="G65" s="156"/>
      <c r="H65" s="155"/>
      <c r="I65" s="157"/>
    </row>
    <row r="66">
      <c r="B66" s="155"/>
      <c r="C66" s="155"/>
      <c r="D66" s="155"/>
      <c r="E66" s="155"/>
      <c r="F66" s="156"/>
      <c r="G66" s="156"/>
      <c r="H66" s="155"/>
      <c r="I66" s="157"/>
    </row>
    <row r="67">
      <c r="B67" s="155"/>
      <c r="C67" s="155"/>
      <c r="D67" s="155"/>
      <c r="E67" s="155"/>
      <c r="F67" s="156"/>
      <c r="G67" s="156"/>
      <c r="H67" s="155"/>
      <c r="I67" s="157"/>
    </row>
    <row r="68">
      <c r="B68" s="155"/>
      <c r="C68" s="155"/>
      <c r="D68" s="155"/>
      <c r="E68" s="155"/>
      <c r="F68" s="156"/>
      <c r="G68" s="156"/>
      <c r="H68" s="155"/>
      <c r="I68" s="157"/>
    </row>
    <row r="69">
      <c r="B69" s="155"/>
      <c r="C69" s="155"/>
      <c r="D69" s="155"/>
      <c r="E69" s="155"/>
      <c r="F69" s="156"/>
      <c r="G69" s="156"/>
      <c r="H69" s="155"/>
      <c r="I69" s="157"/>
    </row>
    <row r="70">
      <c r="B70" s="155"/>
      <c r="C70" s="155"/>
      <c r="D70" s="155"/>
      <c r="E70" s="155"/>
      <c r="F70" s="156"/>
      <c r="G70" s="156"/>
      <c r="H70" s="155"/>
      <c r="I70" s="157"/>
    </row>
    <row r="71">
      <c r="B71" s="155"/>
      <c r="C71" s="155"/>
      <c r="D71" s="155"/>
      <c r="E71" s="155"/>
      <c r="F71" s="156"/>
      <c r="G71" s="156"/>
      <c r="H71" s="155"/>
      <c r="I71" s="157"/>
    </row>
    <row r="72">
      <c r="B72" s="155"/>
      <c r="C72" s="155"/>
      <c r="D72" s="155"/>
      <c r="E72" s="155"/>
      <c r="F72" s="156"/>
      <c r="G72" s="156"/>
      <c r="H72" s="155"/>
      <c r="I72" s="157"/>
    </row>
    <row r="73">
      <c r="B73" s="155"/>
      <c r="C73" s="155"/>
      <c r="D73" s="155"/>
      <c r="E73" s="155"/>
      <c r="F73" s="156"/>
      <c r="G73" s="156"/>
      <c r="H73" s="155"/>
      <c r="I73" s="157"/>
    </row>
    <row r="74">
      <c r="B74" s="155"/>
      <c r="C74" s="155"/>
      <c r="D74" s="155"/>
      <c r="E74" s="155"/>
      <c r="F74" s="156"/>
      <c r="G74" s="156"/>
      <c r="H74" s="155"/>
      <c r="I74" s="157"/>
    </row>
    <row r="75">
      <c r="B75" s="155"/>
      <c r="C75" s="155"/>
      <c r="D75" s="155"/>
      <c r="E75" s="155"/>
      <c r="F75" s="156"/>
      <c r="G75" s="156"/>
      <c r="H75" s="155"/>
      <c r="I75" s="157"/>
    </row>
    <row r="76">
      <c r="B76" s="155"/>
      <c r="C76" s="155"/>
      <c r="D76" s="155"/>
      <c r="E76" s="155"/>
      <c r="F76" s="156"/>
      <c r="G76" s="156"/>
      <c r="H76" s="155"/>
      <c r="I76" s="157"/>
    </row>
    <row r="77">
      <c r="B77" s="155"/>
      <c r="C77" s="155"/>
      <c r="D77" s="155"/>
      <c r="E77" s="155"/>
      <c r="F77" s="156"/>
      <c r="G77" s="156"/>
      <c r="H77" s="155"/>
      <c r="I77" s="157"/>
    </row>
    <row r="78">
      <c r="B78" s="155"/>
      <c r="C78" s="155"/>
      <c r="D78" s="155"/>
      <c r="E78" s="155"/>
      <c r="F78" s="156"/>
      <c r="G78" s="156"/>
      <c r="H78" s="155"/>
      <c r="I78" s="157"/>
    </row>
    <row r="79">
      <c r="B79" s="155"/>
      <c r="C79" s="155"/>
      <c r="D79" s="155"/>
      <c r="E79" s="155"/>
      <c r="F79" s="156"/>
      <c r="G79" s="156"/>
      <c r="H79" s="155"/>
      <c r="I79" s="157"/>
    </row>
    <row r="80">
      <c r="B80" s="155"/>
      <c r="C80" s="155"/>
      <c r="D80" s="155"/>
      <c r="E80" s="155"/>
      <c r="F80" s="156"/>
      <c r="G80" s="156"/>
      <c r="H80" s="155"/>
      <c r="I80" s="157"/>
    </row>
    <row r="81">
      <c r="B81" s="155"/>
      <c r="C81" s="155"/>
      <c r="D81" s="155"/>
      <c r="E81" s="155"/>
      <c r="F81" s="156"/>
      <c r="G81" s="156"/>
      <c r="H81" s="155"/>
      <c r="I81" s="157"/>
    </row>
    <row r="82">
      <c r="B82" s="155"/>
      <c r="C82" s="155"/>
      <c r="D82" s="155"/>
      <c r="E82" s="155"/>
      <c r="F82" s="156"/>
      <c r="G82" s="156"/>
      <c r="H82" s="155"/>
      <c r="I82" s="157"/>
    </row>
    <row r="83">
      <c r="B83" s="155"/>
      <c r="C83" s="155"/>
      <c r="D83" s="155"/>
      <c r="E83" s="155"/>
      <c r="F83" s="156"/>
      <c r="G83" s="156"/>
      <c r="H83" s="155"/>
      <c r="I83" s="157"/>
    </row>
    <row r="84">
      <c r="B84" s="155"/>
      <c r="C84" s="155"/>
      <c r="D84" s="155"/>
      <c r="E84" s="155"/>
      <c r="F84" s="156"/>
      <c r="G84" s="156"/>
      <c r="H84" s="155"/>
      <c r="I84" s="157"/>
    </row>
    <row r="85">
      <c r="B85" s="155"/>
      <c r="C85" s="155"/>
      <c r="D85" s="155"/>
      <c r="E85" s="155"/>
      <c r="F85" s="156"/>
      <c r="G85" s="156"/>
      <c r="H85" s="155"/>
      <c r="I85" s="157"/>
    </row>
    <row r="86">
      <c r="B86" s="155"/>
      <c r="C86" s="155"/>
      <c r="D86" s="155"/>
      <c r="E86" s="155"/>
      <c r="F86" s="156"/>
      <c r="G86" s="156"/>
      <c r="H86" s="155"/>
      <c r="I86" s="157"/>
    </row>
    <row r="87">
      <c r="B87" s="155"/>
      <c r="C87" s="155"/>
      <c r="D87" s="155"/>
      <c r="E87" s="155"/>
      <c r="F87" s="156"/>
      <c r="G87" s="156"/>
      <c r="H87" s="155"/>
      <c r="I87" s="157"/>
    </row>
    <row r="88">
      <c r="B88" s="155"/>
      <c r="C88" s="155"/>
      <c r="D88" s="155"/>
      <c r="E88" s="155"/>
      <c r="F88" s="156"/>
      <c r="G88" s="156"/>
      <c r="H88" s="155"/>
      <c r="I88" s="157"/>
    </row>
    <row r="89">
      <c r="B89" s="155"/>
      <c r="C89" s="155"/>
      <c r="D89" s="155"/>
      <c r="E89" s="155"/>
      <c r="F89" s="156"/>
      <c r="G89" s="156"/>
      <c r="H89" s="155"/>
      <c r="I89" s="157"/>
    </row>
    <row r="90">
      <c r="B90" s="155"/>
      <c r="C90" s="155"/>
      <c r="D90" s="155"/>
      <c r="E90" s="155"/>
      <c r="F90" s="156"/>
      <c r="G90" s="156"/>
      <c r="H90" s="155"/>
      <c r="I90" s="157"/>
    </row>
    <row r="91">
      <c r="B91" s="155"/>
      <c r="C91" s="155"/>
      <c r="D91" s="155"/>
      <c r="E91" s="155"/>
      <c r="F91" s="156"/>
      <c r="G91" s="156"/>
      <c r="H91" s="155"/>
      <c r="I91" s="157"/>
    </row>
    <row r="92">
      <c r="B92" s="155"/>
      <c r="C92" s="155"/>
      <c r="D92" s="155"/>
      <c r="E92" s="155"/>
      <c r="F92" s="156"/>
      <c r="G92" s="156"/>
      <c r="H92" s="155"/>
      <c r="I92" s="157"/>
    </row>
    <row r="93">
      <c r="B93" s="155"/>
      <c r="C93" s="155"/>
      <c r="D93" s="155"/>
      <c r="E93" s="155"/>
      <c r="F93" s="156"/>
      <c r="G93" s="156"/>
      <c r="H93" s="155"/>
      <c r="I93" s="157"/>
    </row>
    <row r="94">
      <c r="B94" s="155"/>
      <c r="C94" s="155"/>
      <c r="D94" s="155"/>
      <c r="E94" s="155"/>
      <c r="F94" s="156"/>
      <c r="G94" s="156"/>
      <c r="H94" s="155"/>
      <c r="I94" s="157"/>
    </row>
    <row r="95">
      <c r="B95" s="155"/>
      <c r="C95" s="155"/>
      <c r="D95" s="155"/>
      <c r="E95" s="155"/>
      <c r="F95" s="156"/>
      <c r="G95" s="156"/>
      <c r="H95" s="155"/>
      <c r="I95" s="157"/>
    </row>
    <row r="96">
      <c r="B96" s="155"/>
      <c r="C96" s="155"/>
      <c r="D96" s="155"/>
      <c r="E96" s="155"/>
      <c r="F96" s="156"/>
      <c r="G96" s="156"/>
      <c r="H96" s="155"/>
      <c r="I96" s="157"/>
    </row>
    <row r="97">
      <c r="B97" s="155"/>
      <c r="C97" s="155"/>
      <c r="D97" s="155"/>
      <c r="E97" s="155"/>
      <c r="F97" s="156"/>
      <c r="G97" s="156"/>
      <c r="H97" s="155"/>
      <c r="I97" s="157"/>
    </row>
    <row r="98">
      <c r="B98" s="155"/>
      <c r="C98" s="155"/>
      <c r="D98" s="155"/>
      <c r="E98" s="155"/>
      <c r="F98" s="156"/>
      <c r="G98" s="156"/>
      <c r="H98" s="155"/>
      <c r="I98" s="157"/>
    </row>
    <row r="99">
      <c r="B99" s="155"/>
      <c r="C99" s="155"/>
      <c r="D99" s="155"/>
      <c r="E99" s="155"/>
      <c r="F99" s="156"/>
      <c r="G99" s="156"/>
      <c r="H99" s="155"/>
      <c r="I99" s="157"/>
    </row>
    <row r="100">
      <c r="B100" s="155"/>
      <c r="C100" s="155"/>
      <c r="D100" s="155"/>
      <c r="E100" s="155"/>
      <c r="F100" s="156"/>
      <c r="G100" s="156"/>
      <c r="H100" s="155"/>
      <c r="I100" s="157"/>
    </row>
    <row r="101">
      <c r="B101" s="158"/>
      <c r="C101" s="158"/>
      <c r="D101" s="159"/>
      <c r="E101" s="159"/>
      <c r="F101" s="160"/>
      <c r="G101" s="160"/>
      <c r="H101" s="158"/>
      <c r="I101" s="158"/>
    </row>
    <row r="102">
      <c r="B102" s="158"/>
      <c r="C102" s="158"/>
      <c r="D102" s="159"/>
      <c r="E102" s="159"/>
      <c r="F102" s="160"/>
      <c r="G102" s="160"/>
      <c r="H102" s="158"/>
      <c r="I102" s="158"/>
    </row>
    <row r="103">
      <c r="B103" s="158"/>
      <c r="C103" s="158"/>
      <c r="D103" s="159"/>
      <c r="E103" s="159"/>
      <c r="F103" s="160"/>
      <c r="G103" s="160"/>
      <c r="H103" s="158"/>
      <c r="I103" s="158"/>
    </row>
    <row r="104">
      <c r="B104" s="158"/>
      <c r="C104" s="158"/>
      <c r="D104" s="159"/>
      <c r="E104" s="159"/>
      <c r="F104" s="160"/>
      <c r="G104" s="160"/>
      <c r="H104" s="158"/>
      <c r="I104" s="158"/>
    </row>
    <row r="105">
      <c r="B105" s="158"/>
      <c r="C105" s="158"/>
      <c r="D105" s="159"/>
      <c r="E105" s="159"/>
      <c r="F105" s="160"/>
      <c r="G105" s="160"/>
      <c r="H105" s="158"/>
      <c r="I105" s="158"/>
    </row>
    <row r="106">
      <c r="B106" s="158"/>
      <c r="C106" s="158"/>
      <c r="D106" s="159"/>
      <c r="E106" s="159"/>
      <c r="F106" s="160"/>
      <c r="G106" s="160"/>
      <c r="H106" s="158"/>
      <c r="I106" s="158"/>
    </row>
    <row r="107">
      <c r="B107" s="158"/>
      <c r="C107" s="158"/>
      <c r="D107" s="159"/>
      <c r="E107" s="159"/>
      <c r="F107" s="160"/>
      <c r="G107" s="160"/>
      <c r="H107" s="158"/>
      <c r="I107" s="158"/>
    </row>
    <row r="108">
      <c r="B108" s="158"/>
      <c r="C108" s="158"/>
      <c r="D108" s="159"/>
      <c r="E108" s="159"/>
      <c r="F108" s="160"/>
      <c r="G108" s="160"/>
      <c r="H108" s="158"/>
      <c r="I108" s="158"/>
    </row>
    <row r="109">
      <c r="B109" s="158"/>
      <c r="C109" s="158"/>
      <c r="D109" s="159"/>
      <c r="E109" s="159"/>
      <c r="F109" s="160"/>
      <c r="G109" s="160"/>
      <c r="H109" s="158"/>
      <c r="I109" s="158"/>
    </row>
    <row r="110">
      <c r="B110" s="158"/>
      <c r="C110" s="158"/>
      <c r="D110" s="159"/>
      <c r="E110" s="159"/>
      <c r="F110" s="160"/>
      <c r="G110" s="160"/>
      <c r="H110" s="158"/>
      <c r="I110" s="158"/>
    </row>
    <row r="111">
      <c r="B111" s="158"/>
      <c r="C111" s="158"/>
      <c r="D111" s="159"/>
      <c r="E111" s="159"/>
      <c r="F111" s="160"/>
      <c r="G111" s="160"/>
      <c r="H111" s="158"/>
      <c r="I111" s="158"/>
    </row>
    <row r="112">
      <c r="B112" s="158"/>
      <c r="C112" s="158"/>
      <c r="D112" s="159"/>
      <c r="E112" s="159"/>
      <c r="F112" s="160"/>
      <c r="G112" s="160"/>
      <c r="H112" s="158"/>
      <c r="I112" s="158"/>
    </row>
    <row r="113">
      <c r="B113" s="158"/>
      <c r="C113" s="158"/>
      <c r="D113" s="159"/>
      <c r="E113" s="159"/>
      <c r="F113" s="160"/>
      <c r="G113" s="160"/>
      <c r="H113" s="158"/>
      <c r="I113" s="158"/>
    </row>
    <row r="114">
      <c r="B114" s="158"/>
      <c r="C114" s="158"/>
      <c r="D114" s="159"/>
      <c r="E114" s="159"/>
      <c r="F114" s="160"/>
      <c r="G114" s="160"/>
      <c r="H114" s="158"/>
      <c r="I114" s="158"/>
    </row>
    <row r="115">
      <c r="B115" s="158"/>
      <c r="C115" s="158"/>
      <c r="D115" s="159"/>
      <c r="E115" s="159"/>
      <c r="F115" s="160"/>
      <c r="G115" s="160"/>
      <c r="H115" s="158"/>
      <c r="I115" s="158"/>
    </row>
    <row r="116">
      <c r="B116" s="158"/>
      <c r="C116" s="158"/>
      <c r="D116" s="159"/>
      <c r="E116" s="159"/>
      <c r="F116" s="160"/>
      <c r="G116" s="160"/>
      <c r="H116" s="158"/>
      <c r="I116" s="158"/>
    </row>
    <row r="117">
      <c r="B117" s="158"/>
      <c r="C117" s="158"/>
      <c r="D117" s="159"/>
      <c r="E117" s="159"/>
      <c r="F117" s="160"/>
      <c r="G117" s="160"/>
      <c r="H117" s="158"/>
      <c r="I117" s="158"/>
    </row>
    <row r="118">
      <c r="B118" s="158"/>
      <c r="C118" s="158"/>
      <c r="D118" s="159"/>
      <c r="E118" s="159"/>
      <c r="F118" s="160"/>
      <c r="G118" s="160"/>
      <c r="H118" s="158"/>
      <c r="I118" s="158"/>
    </row>
    <row r="119">
      <c r="B119" s="158"/>
      <c r="C119" s="158"/>
      <c r="D119" s="159"/>
      <c r="E119" s="159"/>
      <c r="F119" s="160"/>
      <c r="G119" s="160"/>
      <c r="H119" s="158"/>
      <c r="I119" s="158"/>
    </row>
    <row r="120">
      <c r="B120" s="158"/>
      <c r="C120" s="158"/>
      <c r="D120" s="159"/>
      <c r="E120" s="159"/>
      <c r="F120" s="160"/>
      <c r="G120" s="160"/>
      <c r="H120" s="158"/>
      <c r="I120" s="158"/>
    </row>
    <row r="121">
      <c r="B121" s="158"/>
      <c r="C121" s="158"/>
      <c r="D121" s="159"/>
      <c r="E121" s="159"/>
      <c r="F121" s="160"/>
      <c r="G121" s="160"/>
      <c r="H121" s="158"/>
      <c r="I121" s="158"/>
    </row>
    <row r="122">
      <c r="B122" s="158"/>
      <c r="C122" s="158"/>
      <c r="D122" s="159"/>
      <c r="E122" s="159"/>
      <c r="F122" s="160"/>
      <c r="G122" s="160"/>
      <c r="H122" s="158"/>
      <c r="I122" s="158"/>
    </row>
    <row r="123">
      <c r="B123" s="158"/>
      <c r="C123" s="158"/>
      <c r="D123" s="159"/>
      <c r="E123" s="159"/>
      <c r="F123" s="160"/>
      <c r="G123" s="160"/>
      <c r="H123" s="158"/>
      <c r="I123" s="158"/>
    </row>
    <row r="124">
      <c r="B124" s="158"/>
      <c r="C124" s="158"/>
      <c r="D124" s="159"/>
      <c r="E124" s="159"/>
      <c r="F124" s="160"/>
      <c r="G124" s="160"/>
      <c r="H124" s="158"/>
      <c r="I124" s="158"/>
    </row>
    <row r="125">
      <c r="B125" s="158"/>
      <c r="C125" s="158"/>
      <c r="D125" s="159"/>
      <c r="E125" s="159"/>
      <c r="F125" s="160"/>
      <c r="G125" s="160"/>
      <c r="H125" s="158"/>
      <c r="I125" s="158"/>
    </row>
    <row r="126">
      <c r="B126" s="158"/>
      <c r="C126" s="158"/>
      <c r="D126" s="159"/>
      <c r="E126" s="159"/>
      <c r="F126" s="160"/>
      <c r="G126" s="160"/>
      <c r="H126" s="158"/>
      <c r="I126" s="158"/>
    </row>
    <row r="127">
      <c r="B127" s="158"/>
      <c r="C127" s="158"/>
      <c r="D127" s="159"/>
      <c r="E127" s="159"/>
      <c r="F127" s="160"/>
      <c r="G127" s="160"/>
      <c r="H127" s="158"/>
      <c r="I127" s="158"/>
    </row>
    <row r="128">
      <c r="B128" s="158"/>
      <c r="C128" s="158"/>
      <c r="D128" s="159"/>
      <c r="E128" s="159"/>
      <c r="F128" s="160"/>
      <c r="G128" s="160"/>
      <c r="H128" s="158"/>
      <c r="I128" s="158"/>
    </row>
    <row r="129">
      <c r="B129" s="158"/>
      <c r="C129" s="158"/>
      <c r="D129" s="159"/>
      <c r="E129" s="159"/>
      <c r="F129" s="160"/>
      <c r="G129" s="160"/>
      <c r="H129" s="158"/>
      <c r="I129" s="158"/>
    </row>
    <row r="130">
      <c r="B130" s="158"/>
      <c r="C130" s="158"/>
      <c r="D130" s="159"/>
      <c r="E130" s="159"/>
      <c r="F130" s="160"/>
      <c r="G130" s="160"/>
      <c r="H130" s="158"/>
      <c r="I130" s="158"/>
    </row>
    <row r="131">
      <c r="B131" s="158"/>
      <c r="C131" s="158"/>
      <c r="D131" s="159"/>
      <c r="E131" s="159"/>
      <c r="F131" s="160"/>
      <c r="G131" s="160"/>
      <c r="H131" s="158"/>
      <c r="I131" s="158"/>
    </row>
    <row r="132">
      <c r="B132" s="158"/>
      <c r="C132" s="158"/>
      <c r="D132" s="159"/>
      <c r="E132" s="159"/>
      <c r="F132" s="160"/>
      <c r="G132" s="160"/>
      <c r="H132" s="158"/>
      <c r="I132" s="158"/>
    </row>
    <row r="133">
      <c r="B133" s="158"/>
      <c r="C133" s="158"/>
      <c r="D133" s="159"/>
      <c r="E133" s="159"/>
      <c r="F133" s="160"/>
      <c r="G133" s="160"/>
      <c r="H133" s="158"/>
      <c r="I133" s="158"/>
    </row>
    <row r="134">
      <c r="B134" s="158"/>
      <c r="C134" s="158"/>
      <c r="D134" s="159"/>
      <c r="E134" s="159"/>
      <c r="F134" s="160"/>
      <c r="G134" s="160"/>
      <c r="H134" s="158"/>
      <c r="I134" s="158"/>
    </row>
    <row r="135">
      <c r="B135" s="158"/>
      <c r="C135" s="158"/>
      <c r="D135" s="159"/>
      <c r="E135" s="159"/>
      <c r="F135" s="160"/>
      <c r="G135" s="160"/>
      <c r="H135" s="158"/>
      <c r="I135" s="158"/>
    </row>
    <row r="136">
      <c r="B136" s="158"/>
      <c r="C136" s="158"/>
      <c r="D136" s="159"/>
      <c r="E136" s="159"/>
      <c r="F136" s="160"/>
      <c r="G136" s="160"/>
      <c r="H136" s="158"/>
      <c r="I136" s="158"/>
    </row>
    <row r="137">
      <c r="B137" s="158"/>
      <c r="C137" s="158"/>
      <c r="D137" s="159"/>
      <c r="E137" s="159"/>
      <c r="F137" s="160"/>
      <c r="G137" s="160"/>
      <c r="H137" s="158"/>
      <c r="I137" s="158"/>
    </row>
    <row r="138">
      <c r="B138" s="158"/>
      <c r="C138" s="158"/>
      <c r="D138" s="159"/>
      <c r="E138" s="159"/>
      <c r="F138" s="160"/>
      <c r="G138" s="160"/>
      <c r="H138" s="158"/>
      <c r="I138" s="158"/>
    </row>
    <row r="139">
      <c r="B139" s="158"/>
      <c r="C139" s="158"/>
      <c r="D139" s="159"/>
      <c r="E139" s="159"/>
      <c r="F139" s="160"/>
      <c r="G139" s="160"/>
      <c r="H139" s="158"/>
      <c r="I139" s="158"/>
    </row>
    <row r="140">
      <c r="B140" s="158"/>
      <c r="C140" s="158"/>
      <c r="D140" s="159"/>
      <c r="E140" s="159"/>
      <c r="F140" s="160"/>
      <c r="G140" s="160"/>
      <c r="H140" s="158"/>
      <c r="I140" s="158"/>
    </row>
    <row r="141">
      <c r="B141" s="158"/>
      <c r="C141" s="158"/>
      <c r="D141" s="159"/>
      <c r="E141" s="159"/>
      <c r="F141" s="160"/>
      <c r="G141" s="160"/>
      <c r="H141" s="158"/>
      <c r="I141" s="158"/>
    </row>
    <row r="142">
      <c r="B142" s="158"/>
      <c r="C142" s="158"/>
      <c r="D142" s="159"/>
      <c r="E142" s="159"/>
      <c r="F142" s="160"/>
      <c r="G142" s="160"/>
      <c r="H142" s="158"/>
      <c r="I142" s="158"/>
    </row>
    <row r="143">
      <c r="B143" s="158"/>
      <c r="C143" s="158"/>
      <c r="D143" s="159"/>
      <c r="E143" s="159"/>
      <c r="F143" s="160"/>
      <c r="G143" s="160"/>
      <c r="H143" s="158"/>
      <c r="I143" s="158"/>
    </row>
    <row r="144">
      <c r="B144" s="158"/>
      <c r="C144" s="158"/>
      <c r="D144" s="159"/>
      <c r="E144" s="159"/>
      <c r="F144" s="160"/>
      <c r="G144" s="160"/>
      <c r="H144" s="158"/>
      <c r="I144" s="158"/>
    </row>
    <row r="145">
      <c r="B145" s="158"/>
      <c r="C145" s="158"/>
      <c r="D145" s="159"/>
      <c r="E145" s="159"/>
      <c r="F145" s="160"/>
      <c r="G145" s="160"/>
      <c r="H145" s="158"/>
      <c r="I145" s="158"/>
    </row>
    <row r="146">
      <c r="B146" s="158"/>
      <c r="C146" s="158"/>
      <c r="D146" s="159"/>
      <c r="E146" s="159"/>
      <c r="F146" s="160"/>
      <c r="G146" s="160"/>
      <c r="H146" s="158"/>
      <c r="I146" s="158"/>
    </row>
    <row r="147">
      <c r="B147" s="158"/>
      <c r="C147" s="158"/>
      <c r="D147" s="159"/>
      <c r="E147" s="159"/>
      <c r="F147" s="160"/>
      <c r="G147" s="160"/>
      <c r="H147" s="158"/>
      <c r="I147" s="158"/>
    </row>
    <row r="148">
      <c r="B148" s="158"/>
      <c r="C148" s="158"/>
      <c r="D148" s="159"/>
      <c r="E148" s="159"/>
      <c r="F148" s="160"/>
      <c r="G148" s="160"/>
      <c r="H148" s="158"/>
      <c r="I148" s="158"/>
    </row>
    <row r="149">
      <c r="B149" s="158"/>
      <c r="C149" s="158"/>
      <c r="D149" s="159"/>
      <c r="E149" s="159"/>
      <c r="F149" s="160"/>
      <c r="G149" s="160"/>
      <c r="H149" s="158"/>
      <c r="I149" s="158"/>
    </row>
    <row r="150">
      <c r="B150" s="158"/>
      <c r="C150" s="158"/>
      <c r="D150" s="159"/>
      <c r="E150" s="159"/>
      <c r="F150" s="160"/>
      <c r="G150" s="160"/>
      <c r="H150" s="158"/>
      <c r="I150" s="158"/>
    </row>
    <row r="151">
      <c r="B151" s="158"/>
      <c r="C151" s="158"/>
      <c r="D151" s="159"/>
      <c r="E151" s="159"/>
      <c r="F151" s="160"/>
      <c r="G151" s="160"/>
      <c r="H151" s="158"/>
      <c r="I151" s="158"/>
    </row>
    <row r="152">
      <c r="B152" s="158"/>
      <c r="C152" s="158"/>
      <c r="D152" s="159"/>
      <c r="E152" s="159"/>
      <c r="F152" s="160"/>
      <c r="G152" s="160"/>
      <c r="H152" s="158"/>
      <c r="I152" s="158"/>
    </row>
    <row r="153">
      <c r="B153" s="158"/>
      <c r="C153" s="158"/>
      <c r="D153" s="159"/>
      <c r="E153" s="159"/>
      <c r="F153" s="160"/>
      <c r="G153" s="160"/>
      <c r="H153" s="158"/>
      <c r="I153" s="158"/>
    </row>
    <row r="154">
      <c r="B154" s="158"/>
      <c r="C154" s="158"/>
      <c r="D154" s="159"/>
      <c r="E154" s="159"/>
      <c r="F154" s="160"/>
      <c r="G154" s="160"/>
      <c r="H154" s="158"/>
      <c r="I154" s="158"/>
    </row>
    <row r="155">
      <c r="B155" s="158"/>
      <c r="C155" s="158"/>
      <c r="D155" s="159"/>
      <c r="E155" s="159"/>
      <c r="F155" s="160"/>
      <c r="G155" s="160"/>
      <c r="H155" s="158"/>
      <c r="I155" s="158"/>
    </row>
    <row r="156">
      <c r="B156" s="158"/>
      <c r="C156" s="158"/>
      <c r="D156" s="159"/>
      <c r="E156" s="159"/>
      <c r="F156" s="160"/>
      <c r="G156" s="160"/>
      <c r="H156" s="158"/>
      <c r="I156" s="158"/>
    </row>
    <row r="157">
      <c r="B157" s="158"/>
      <c r="C157" s="158"/>
      <c r="D157" s="159"/>
      <c r="E157" s="159"/>
      <c r="F157" s="160"/>
      <c r="G157" s="160"/>
      <c r="H157" s="158"/>
      <c r="I157" s="158"/>
    </row>
    <row r="158">
      <c r="B158" s="158"/>
      <c r="C158" s="158"/>
      <c r="D158" s="159"/>
      <c r="E158" s="159"/>
      <c r="F158" s="160"/>
      <c r="G158" s="160"/>
      <c r="H158" s="158"/>
      <c r="I158" s="158"/>
    </row>
    <row r="159">
      <c r="B159" s="158"/>
      <c r="C159" s="158"/>
      <c r="D159" s="159"/>
      <c r="E159" s="159"/>
      <c r="F159" s="160"/>
      <c r="G159" s="160"/>
      <c r="H159" s="158"/>
      <c r="I159" s="158"/>
    </row>
    <row r="160">
      <c r="B160" s="158"/>
      <c r="C160" s="158"/>
      <c r="D160" s="159"/>
      <c r="E160" s="159"/>
      <c r="F160" s="160"/>
      <c r="G160" s="160"/>
      <c r="H160" s="158"/>
      <c r="I160" s="158"/>
    </row>
    <row r="161">
      <c r="B161" s="158"/>
      <c r="C161" s="158"/>
      <c r="D161" s="159"/>
      <c r="E161" s="159"/>
      <c r="F161" s="160"/>
      <c r="G161" s="160"/>
      <c r="H161" s="158"/>
      <c r="I161" s="158"/>
    </row>
    <row r="162">
      <c r="B162" s="158"/>
      <c r="C162" s="158"/>
      <c r="D162" s="159"/>
      <c r="E162" s="159"/>
      <c r="F162" s="160"/>
      <c r="G162" s="160"/>
      <c r="H162" s="158"/>
      <c r="I162" s="158"/>
    </row>
    <row r="163">
      <c r="B163" s="158"/>
      <c r="C163" s="158"/>
      <c r="D163" s="159"/>
      <c r="E163" s="159"/>
      <c r="F163" s="160"/>
      <c r="G163" s="160"/>
      <c r="H163" s="158"/>
      <c r="I163" s="158"/>
    </row>
    <row r="164">
      <c r="B164" s="158"/>
      <c r="C164" s="158"/>
      <c r="D164" s="159"/>
      <c r="E164" s="159"/>
      <c r="F164" s="160"/>
      <c r="G164" s="160"/>
      <c r="H164" s="158"/>
      <c r="I164" s="158"/>
    </row>
    <row r="165">
      <c r="B165" s="158"/>
      <c r="C165" s="158"/>
      <c r="D165" s="159"/>
      <c r="E165" s="159"/>
      <c r="F165" s="160"/>
      <c r="G165" s="160"/>
      <c r="H165" s="158"/>
      <c r="I165" s="158"/>
    </row>
    <row r="166">
      <c r="B166" s="158"/>
      <c r="C166" s="158"/>
      <c r="D166" s="159"/>
      <c r="E166" s="159"/>
      <c r="F166" s="160"/>
      <c r="G166" s="160"/>
      <c r="H166" s="158"/>
      <c r="I166" s="158"/>
    </row>
    <row r="167">
      <c r="B167" s="158"/>
      <c r="C167" s="158"/>
      <c r="D167" s="159"/>
      <c r="E167" s="159"/>
      <c r="F167" s="160"/>
      <c r="G167" s="160"/>
      <c r="H167" s="158"/>
      <c r="I167" s="158"/>
    </row>
    <row r="168">
      <c r="B168" s="158"/>
      <c r="C168" s="158"/>
      <c r="D168" s="159"/>
      <c r="E168" s="159"/>
      <c r="F168" s="160"/>
      <c r="G168" s="160"/>
      <c r="H168" s="158"/>
      <c r="I168" s="158"/>
    </row>
    <row r="169">
      <c r="B169" s="158"/>
      <c r="C169" s="158"/>
      <c r="D169" s="159"/>
      <c r="E169" s="159"/>
      <c r="F169" s="160"/>
      <c r="G169" s="160"/>
      <c r="H169" s="158"/>
      <c r="I169" s="158"/>
    </row>
    <row r="170">
      <c r="B170" s="158"/>
      <c r="C170" s="158"/>
      <c r="D170" s="159"/>
      <c r="E170" s="159"/>
      <c r="F170" s="160"/>
      <c r="G170" s="160"/>
      <c r="H170" s="158"/>
      <c r="I170" s="158"/>
    </row>
    <row r="171">
      <c r="B171" s="158"/>
      <c r="C171" s="158"/>
      <c r="D171" s="159"/>
      <c r="E171" s="159"/>
      <c r="F171" s="160"/>
      <c r="G171" s="160"/>
      <c r="H171" s="158"/>
      <c r="I171" s="158"/>
    </row>
    <row r="172">
      <c r="B172" s="158"/>
      <c r="C172" s="158"/>
      <c r="D172" s="159"/>
      <c r="E172" s="159"/>
      <c r="F172" s="160"/>
      <c r="G172" s="160"/>
      <c r="H172" s="158"/>
      <c r="I172" s="158"/>
    </row>
    <row r="173">
      <c r="B173" s="158"/>
      <c r="C173" s="158"/>
      <c r="D173" s="159"/>
      <c r="E173" s="159"/>
      <c r="F173" s="160"/>
      <c r="G173" s="160"/>
      <c r="H173" s="158"/>
      <c r="I173" s="158"/>
    </row>
    <row r="174">
      <c r="B174" s="158"/>
      <c r="C174" s="158"/>
      <c r="D174" s="159"/>
      <c r="E174" s="159"/>
      <c r="F174" s="160"/>
      <c r="G174" s="160"/>
      <c r="H174" s="158"/>
      <c r="I174" s="158"/>
    </row>
    <row r="175">
      <c r="B175" s="158"/>
      <c r="C175" s="158"/>
      <c r="D175" s="159"/>
      <c r="E175" s="159"/>
      <c r="F175" s="160"/>
      <c r="G175" s="160"/>
      <c r="H175" s="158"/>
      <c r="I175" s="158"/>
    </row>
    <row r="176">
      <c r="B176" s="158"/>
      <c r="C176" s="158"/>
      <c r="D176" s="159"/>
      <c r="E176" s="159"/>
      <c r="F176" s="160"/>
      <c r="G176" s="160"/>
      <c r="H176" s="158"/>
      <c r="I176" s="158"/>
    </row>
    <row r="177">
      <c r="B177" s="158"/>
      <c r="C177" s="158"/>
      <c r="D177" s="159"/>
      <c r="E177" s="159"/>
      <c r="F177" s="160"/>
      <c r="G177" s="160"/>
      <c r="H177" s="158"/>
      <c r="I177" s="158"/>
    </row>
    <row r="178">
      <c r="B178" s="158"/>
      <c r="C178" s="158"/>
      <c r="D178" s="159"/>
      <c r="E178" s="159"/>
      <c r="F178" s="160"/>
      <c r="G178" s="160"/>
      <c r="H178" s="158"/>
      <c r="I178" s="158"/>
    </row>
    <row r="179">
      <c r="B179" s="158"/>
      <c r="C179" s="158"/>
      <c r="D179" s="159"/>
      <c r="E179" s="159"/>
      <c r="F179" s="160"/>
      <c r="G179" s="160"/>
      <c r="H179" s="158"/>
      <c r="I179" s="158"/>
    </row>
    <row r="180">
      <c r="B180" s="158"/>
      <c r="C180" s="158"/>
      <c r="D180" s="159"/>
      <c r="E180" s="159"/>
      <c r="F180" s="160"/>
      <c r="G180" s="160"/>
      <c r="H180" s="158"/>
      <c r="I180" s="158"/>
    </row>
    <row r="181">
      <c r="B181" s="158"/>
      <c r="C181" s="158"/>
      <c r="D181" s="159"/>
      <c r="E181" s="159"/>
      <c r="F181" s="160"/>
      <c r="G181" s="160"/>
      <c r="H181" s="158"/>
      <c r="I181" s="158"/>
    </row>
    <row r="182">
      <c r="B182" s="158"/>
      <c r="C182" s="158"/>
      <c r="D182" s="159"/>
      <c r="E182" s="159"/>
      <c r="F182" s="160"/>
      <c r="G182" s="160"/>
      <c r="H182" s="158"/>
      <c r="I182" s="158"/>
    </row>
    <row r="183">
      <c r="B183" s="158"/>
      <c r="C183" s="158"/>
      <c r="D183" s="159"/>
      <c r="E183" s="159"/>
      <c r="F183" s="160"/>
      <c r="G183" s="160"/>
      <c r="H183" s="158"/>
      <c r="I183" s="158"/>
    </row>
    <row r="184">
      <c r="B184" s="158"/>
      <c r="C184" s="158"/>
      <c r="D184" s="159"/>
      <c r="E184" s="159"/>
      <c r="F184" s="160"/>
      <c r="G184" s="160"/>
      <c r="H184" s="158"/>
      <c r="I184" s="158"/>
    </row>
    <row r="185">
      <c r="B185" s="158"/>
      <c r="C185" s="158"/>
      <c r="D185" s="159"/>
      <c r="E185" s="159"/>
      <c r="F185" s="160"/>
      <c r="G185" s="160"/>
      <c r="H185" s="158"/>
      <c r="I185" s="158"/>
    </row>
    <row r="186">
      <c r="B186" s="158"/>
      <c r="C186" s="158"/>
      <c r="D186" s="159"/>
      <c r="E186" s="159"/>
      <c r="F186" s="160"/>
      <c r="G186" s="160"/>
      <c r="H186" s="158"/>
      <c r="I186" s="158"/>
    </row>
    <row r="187">
      <c r="B187" s="158"/>
      <c r="C187" s="158"/>
      <c r="D187" s="159"/>
      <c r="E187" s="159"/>
      <c r="F187" s="160"/>
      <c r="G187" s="160"/>
      <c r="H187" s="158"/>
      <c r="I187" s="158"/>
    </row>
    <row r="188">
      <c r="B188" s="158"/>
      <c r="C188" s="158"/>
      <c r="D188" s="159"/>
      <c r="E188" s="159"/>
      <c r="F188" s="160"/>
      <c r="G188" s="160"/>
      <c r="H188" s="158"/>
      <c r="I188" s="158"/>
    </row>
    <row r="189">
      <c r="B189" s="158"/>
      <c r="C189" s="158"/>
      <c r="D189" s="159"/>
      <c r="E189" s="159"/>
      <c r="F189" s="160"/>
      <c r="G189" s="160"/>
      <c r="H189" s="158"/>
      <c r="I189" s="158"/>
    </row>
    <row r="190">
      <c r="B190" s="158"/>
      <c r="C190" s="158"/>
      <c r="D190" s="159"/>
      <c r="E190" s="159"/>
      <c r="F190" s="160"/>
      <c r="G190" s="160"/>
      <c r="H190" s="158"/>
      <c r="I190" s="158"/>
    </row>
    <row r="191">
      <c r="B191" s="158"/>
      <c r="C191" s="158"/>
      <c r="D191" s="159"/>
      <c r="E191" s="159"/>
      <c r="F191" s="160"/>
      <c r="G191" s="160"/>
      <c r="H191" s="158"/>
      <c r="I191" s="158"/>
    </row>
    <row r="192">
      <c r="B192" s="158"/>
      <c r="C192" s="158"/>
      <c r="D192" s="159"/>
      <c r="E192" s="159"/>
      <c r="F192" s="160"/>
      <c r="G192" s="160"/>
      <c r="H192" s="158"/>
      <c r="I192" s="158"/>
    </row>
    <row r="193">
      <c r="B193" s="158"/>
      <c r="C193" s="158"/>
      <c r="D193" s="159"/>
      <c r="E193" s="159"/>
      <c r="F193" s="160"/>
      <c r="G193" s="160"/>
      <c r="H193" s="158"/>
      <c r="I193" s="158"/>
    </row>
    <row r="194">
      <c r="B194" s="158"/>
      <c r="C194" s="158"/>
      <c r="D194" s="159"/>
      <c r="E194" s="159"/>
      <c r="F194" s="160"/>
      <c r="G194" s="160"/>
      <c r="H194" s="158"/>
      <c r="I194" s="158"/>
    </row>
    <row r="195">
      <c r="B195" s="158"/>
      <c r="C195" s="158"/>
      <c r="D195" s="159"/>
      <c r="E195" s="159"/>
      <c r="F195" s="160"/>
      <c r="G195" s="160"/>
      <c r="H195" s="158"/>
      <c r="I195" s="158"/>
    </row>
    <row r="196">
      <c r="B196" s="158"/>
      <c r="C196" s="158"/>
      <c r="D196" s="159"/>
      <c r="E196" s="159"/>
      <c r="F196" s="160"/>
      <c r="G196" s="160"/>
      <c r="H196" s="158"/>
      <c r="I196" s="158"/>
    </row>
    <row r="197">
      <c r="B197" s="158"/>
      <c r="C197" s="158"/>
      <c r="D197" s="159"/>
      <c r="E197" s="159"/>
      <c r="F197" s="160"/>
      <c r="G197" s="160"/>
      <c r="H197" s="158"/>
      <c r="I197" s="158"/>
    </row>
    <row r="198">
      <c r="B198" s="158"/>
      <c r="C198" s="158"/>
      <c r="D198" s="159"/>
      <c r="E198" s="159"/>
      <c r="F198" s="160"/>
      <c r="G198" s="160"/>
      <c r="H198" s="158"/>
      <c r="I198" s="158"/>
    </row>
    <row r="199">
      <c r="B199" s="158"/>
      <c r="C199" s="158"/>
      <c r="D199" s="159"/>
      <c r="E199" s="159"/>
      <c r="F199" s="160"/>
      <c r="G199" s="160"/>
      <c r="H199" s="158"/>
      <c r="I199" s="158"/>
    </row>
    <row r="200">
      <c r="B200" s="158"/>
      <c r="C200" s="158"/>
      <c r="D200" s="159"/>
      <c r="E200" s="159"/>
      <c r="F200" s="160"/>
      <c r="G200" s="160"/>
      <c r="H200" s="158"/>
      <c r="I200" s="158"/>
    </row>
    <row r="201">
      <c r="B201" s="158"/>
      <c r="C201" s="158"/>
      <c r="D201" s="159"/>
      <c r="E201" s="159"/>
      <c r="F201" s="160"/>
      <c r="G201" s="160"/>
      <c r="H201" s="158"/>
      <c r="I201" s="158"/>
    </row>
    <row r="202">
      <c r="B202" s="158"/>
      <c r="C202" s="158"/>
      <c r="D202" s="159"/>
      <c r="E202" s="159"/>
      <c r="F202" s="160"/>
      <c r="G202" s="160"/>
      <c r="H202" s="158"/>
      <c r="I202" s="158"/>
    </row>
    <row r="203">
      <c r="B203" s="158"/>
      <c r="C203" s="158"/>
      <c r="D203" s="159"/>
      <c r="E203" s="159"/>
      <c r="F203" s="160"/>
      <c r="G203" s="160"/>
      <c r="H203" s="158"/>
      <c r="I203" s="158"/>
    </row>
    <row r="204">
      <c r="B204" s="158"/>
      <c r="C204" s="158"/>
      <c r="D204" s="159"/>
      <c r="E204" s="159"/>
      <c r="F204" s="160"/>
      <c r="G204" s="160"/>
      <c r="H204" s="158"/>
      <c r="I204" s="158"/>
    </row>
    <row r="205">
      <c r="B205" s="158"/>
      <c r="C205" s="158"/>
      <c r="D205" s="159"/>
      <c r="E205" s="159"/>
      <c r="F205" s="160"/>
      <c r="G205" s="160"/>
      <c r="H205" s="158"/>
      <c r="I205" s="158"/>
    </row>
    <row r="206">
      <c r="B206" s="158"/>
      <c r="C206" s="158"/>
      <c r="D206" s="159"/>
      <c r="E206" s="159"/>
      <c r="F206" s="160"/>
      <c r="G206" s="160"/>
      <c r="H206" s="158"/>
      <c r="I206" s="158"/>
    </row>
    <row r="207">
      <c r="B207" s="158"/>
      <c r="C207" s="158"/>
      <c r="D207" s="159"/>
      <c r="E207" s="159"/>
      <c r="F207" s="160"/>
      <c r="G207" s="160"/>
      <c r="H207" s="158"/>
      <c r="I207" s="158"/>
    </row>
    <row r="208">
      <c r="B208" s="158"/>
      <c r="C208" s="158"/>
      <c r="D208" s="159"/>
      <c r="E208" s="159"/>
      <c r="F208" s="160"/>
      <c r="G208" s="160"/>
      <c r="H208" s="158"/>
      <c r="I208" s="158"/>
    </row>
    <row r="209">
      <c r="B209" s="158"/>
      <c r="C209" s="158"/>
      <c r="D209" s="159"/>
      <c r="E209" s="159"/>
      <c r="F209" s="160"/>
      <c r="G209" s="160"/>
      <c r="H209" s="158"/>
      <c r="I209" s="158"/>
    </row>
    <row r="210">
      <c r="B210" s="158"/>
      <c r="C210" s="158"/>
      <c r="D210" s="159"/>
      <c r="E210" s="159"/>
      <c r="F210" s="160"/>
      <c r="G210" s="160"/>
      <c r="H210" s="158"/>
      <c r="I210" s="158"/>
    </row>
    <row r="211">
      <c r="B211" s="158"/>
      <c r="C211" s="158"/>
      <c r="D211" s="159"/>
      <c r="E211" s="159"/>
      <c r="F211" s="160"/>
      <c r="G211" s="160"/>
      <c r="H211" s="158"/>
      <c r="I211" s="158"/>
    </row>
    <row r="212">
      <c r="B212" s="158"/>
      <c r="C212" s="158"/>
      <c r="D212" s="159"/>
      <c r="E212" s="159"/>
      <c r="F212" s="160"/>
      <c r="G212" s="160"/>
      <c r="H212" s="158"/>
      <c r="I212" s="158"/>
    </row>
    <row r="213">
      <c r="B213" s="158"/>
      <c r="C213" s="158"/>
      <c r="D213" s="159"/>
      <c r="E213" s="159"/>
      <c r="F213" s="160"/>
      <c r="G213" s="160"/>
      <c r="H213" s="158"/>
      <c r="I213" s="158"/>
    </row>
    <row r="214">
      <c r="B214" s="158"/>
      <c r="C214" s="158"/>
      <c r="D214" s="159"/>
      <c r="E214" s="159"/>
      <c r="F214" s="160"/>
      <c r="G214" s="160"/>
      <c r="H214" s="158"/>
      <c r="I214" s="158"/>
    </row>
    <row r="215">
      <c r="B215" s="158"/>
      <c r="C215" s="158"/>
      <c r="D215" s="159"/>
      <c r="E215" s="159"/>
      <c r="F215" s="160"/>
      <c r="G215" s="160"/>
      <c r="H215" s="158"/>
      <c r="I215" s="158"/>
    </row>
    <row r="216">
      <c r="B216" s="158"/>
      <c r="C216" s="158"/>
      <c r="D216" s="159"/>
      <c r="E216" s="159"/>
      <c r="F216" s="160"/>
      <c r="G216" s="160"/>
      <c r="H216" s="158"/>
      <c r="I216" s="158"/>
    </row>
    <row r="217">
      <c r="B217" s="158"/>
      <c r="C217" s="158"/>
      <c r="D217" s="159"/>
      <c r="E217" s="159"/>
      <c r="F217" s="160"/>
      <c r="G217" s="160"/>
      <c r="H217" s="158"/>
      <c r="I217" s="158"/>
    </row>
    <row r="218">
      <c r="B218" s="158"/>
      <c r="C218" s="158"/>
      <c r="D218" s="159"/>
      <c r="E218" s="159"/>
      <c r="F218" s="160"/>
      <c r="G218" s="160"/>
      <c r="H218" s="158"/>
      <c r="I218" s="158"/>
    </row>
    <row r="219">
      <c r="B219" s="158"/>
      <c r="C219" s="158"/>
      <c r="D219" s="159"/>
      <c r="E219" s="159"/>
      <c r="F219" s="160"/>
      <c r="G219" s="160"/>
      <c r="H219" s="158"/>
      <c r="I219" s="158"/>
    </row>
    <row r="220">
      <c r="B220" s="158"/>
      <c r="C220" s="158"/>
      <c r="D220" s="159"/>
      <c r="E220" s="159"/>
      <c r="F220" s="160"/>
      <c r="G220" s="160"/>
      <c r="H220" s="158"/>
      <c r="I220" s="158"/>
    </row>
    <row r="221">
      <c r="B221" s="158"/>
      <c r="C221" s="158"/>
      <c r="D221" s="159"/>
      <c r="E221" s="159"/>
      <c r="F221" s="160"/>
      <c r="G221" s="160"/>
      <c r="H221" s="158"/>
      <c r="I221" s="158"/>
    </row>
    <row r="222">
      <c r="B222" s="158"/>
      <c r="C222" s="158"/>
      <c r="D222" s="159"/>
      <c r="E222" s="159"/>
      <c r="F222" s="160"/>
      <c r="G222" s="160"/>
      <c r="H222" s="158"/>
      <c r="I222" s="158"/>
    </row>
    <row r="223">
      <c r="B223" s="158"/>
      <c r="C223" s="158"/>
      <c r="D223" s="159"/>
      <c r="E223" s="159"/>
      <c r="F223" s="160"/>
      <c r="G223" s="160"/>
      <c r="H223" s="158"/>
      <c r="I223" s="158"/>
    </row>
    <row r="224">
      <c r="B224" s="158"/>
      <c r="C224" s="158"/>
      <c r="D224" s="159"/>
      <c r="E224" s="159"/>
      <c r="F224" s="160"/>
      <c r="G224" s="160"/>
      <c r="H224" s="158"/>
      <c r="I224" s="158"/>
    </row>
    <row r="225">
      <c r="B225" s="158"/>
      <c r="C225" s="158"/>
      <c r="D225" s="159"/>
      <c r="E225" s="159"/>
      <c r="F225" s="160"/>
      <c r="G225" s="160"/>
      <c r="H225" s="158"/>
      <c r="I225" s="158"/>
    </row>
    <row r="226">
      <c r="B226" s="158"/>
      <c r="C226" s="158"/>
      <c r="D226" s="159"/>
      <c r="E226" s="159"/>
      <c r="F226" s="160"/>
      <c r="G226" s="160"/>
      <c r="H226" s="158"/>
      <c r="I226" s="158"/>
    </row>
    <row r="227">
      <c r="B227" s="158"/>
      <c r="C227" s="158"/>
      <c r="D227" s="159"/>
      <c r="E227" s="159"/>
      <c r="F227" s="160"/>
      <c r="G227" s="160"/>
      <c r="H227" s="158"/>
      <c r="I227" s="158"/>
    </row>
    <row r="228">
      <c r="B228" s="158"/>
      <c r="C228" s="158"/>
      <c r="D228" s="159"/>
      <c r="E228" s="159"/>
      <c r="F228" s="160"/>
      <c r="G228" s="160"/>
      <c r="H228" s="158"/>
      <c r="I228" s="158"/>
    </row>
    <row r="229">
      <c r="B229" s="158"/>
      <c r="C229" s="158"/>
      <c r="D229" s="159"/>
      <c r="E229" s="159"/>
      <c r="F229" s="160"/>
      <c r="G229" s="160"/>
      <c r="H229" s="158"/>
      <c r="I229" s="158"/>
    </row>
    <row r="230">
      <c r="B230" s="158"/>
      <c r="C230" s="158"/>
      <c r="D230" s="159"/>
      <c r="E230" s="159"/>
      <c r="F230" s="160"/>
      <c r="G230" s="160"/>
      <c r="H230" s="158"/>
      <c r="I230" s="158"/>
    </row>
    <row r="231">
      <c r="B231" s="158"/>
      <c r="C231" s="158"/>
      <c r="D231" s="159"/>
      <c r="E231" s="159"/>
      <c r="F231" s="160"/>
      <c r="G231" s="160"/>
      <c r="H231" s="158"/>
      <c r="I231" s="158"/>
    </row>
    <row r="232">
      <c r="B232" s="158"/>
      <c r="C232" s="158"/>
      <c r="D232" s="159"/>
      <c r="E232" s="159"/>
      <c r="F232" s="160"/>
      <c r="G232" s="160"/>
      <c r="H232" s="158"/>
      <c r="I232" s="158"/>
    </row>
    <row r="233">
      <c r="B233" s="158"/>
      <c r="C233" s="158"/>
      <c r="D233" s="159"/>
      <c r="E233" s="159"/>
      <c r="F233" s="160"/>
      <c r="G233" s="160"/>
      <c r="H233" s="158"/>
      <c r="I233" s="158"/>
    </row>
    <row r="234">
      <c r="B234" s="158"/>
      <c r="C234" s="158"/>
      <c r="D234" s="159"/>
      <c r="E234" s="159"/>
      <c r="F234" s="160"/>
      <c r="G234" s="160"/>
      <c r="H234" s="158"/>
      <c r="I234" s="158"/>
    </row>
    <row r="235">
      <c r="B235" s="158"/>
      <c r="C235" s="158"/>
      <c r="D235" s="159"/>
      <c r="E235" s="159"/>
      <c r="F235" s="160"/>
      <c r="G235" s="160"/>
      <c r="H235" s="158"/>
      <c r="I235" s="158"/>
    </row>
    <row r="236">
      <c r="B236" s="158"/>
      <c r="C236" s="158"/>
      <c r="D236" s="159"/>
      <c r="E236" s="159"/>
      <c r="F236" s="160"/>
      <c r="G236" s="160"/>
      <c r="H236" s="158"/>
      <c r="I236" s="158"/>
    </row>
    <row r="237">
      <c r="B237" s="158"/>
      <c r="C237" s="158"/>
      <c r="D237" s="159"/>
      <c r="E237" s="159"/>
      <c r="F237" s="160"/>
      <c r="G237" s="160"/>
      <c r="H237" s="158"/>
      <c r="I237" s="158"/>
    </row>
    <row r="238">
      <c r="B238" s="158"/>
      <c r="C238" s="158"/>
      <c r="D238" s="159"/>
      <c r="E238" s="159"/>
      <c r="F238" s="160"/>
      <c r="G238" s="160"/>
      <c r="H238" s="158"/>
      <c r="I238" s="158"/>
    </row>
    <row r="239">
      <c r="B239" s="158"/>
      <c r="C239" s="158"/>
      <c r="D239" s="159"/>
      <c r="E239" s="159"/>
      <c r="F239" s="160"/>
      <c r="G239" s="160"/>
      <c r="H239" s="158"/>
      <c r="I239" s="158"/>
    </row>
    <row r="240">
      <c r="B240" s="158"/>
      <c r="C240" s="158"/>
      <c r="D240" s="159"/>
      <c r="E240" s="159"/>
      <c r="F240" s="160"/>
      <c r="G240" s="160"/>
      <c r="H240" s="158"/>
      <c r="I240" s="158"/>
    </row>
    <row r="241">
      <c r="B241" s="158"/>
      <c r="C241" s="158"/>
      <c r="D241" s="159"/>
      <c r="E241" s="159"/>
      <c r="F241" s="160"/>
      <c r="G241" s="160"/>
      <c r="H241" s="158"/>
      <c r="I241" s="158"/>
    </row>
    <row r="242">
      <c r="B242" s="158"/>
      <c r="C242" s="158"/>
      <c r="D242" s="159"/>
      <c r="E242" s="159"/>
      <c r="F242" s="160"/>
      <c r="G242" s="160"/>
      <c r="H242" s="158"/>
      <c r="I242" s="158"/>
    </row>
    <row r="243">
      <c r="B243" s="158"/>
      <c r="C243" s="158"/>
      <c r="D243" s="159"/>
      <c r="E243" s="159"/>
      <c r="F243" s="160"/>
      <c r="G243" s="160"/>
      <c r="H243" s="158"/>
      <c r="I243" s="158"/>
    </row>
    <row r="244">
      <c r="B244" s="158"/>
      <c r="C244" s="158"/>
      <c r="D244" s="159"/>
      <c r="E244" s="159"/>
      <c r="F244" s="160"/>
      <c r="G244" s="160"/>
      <c r="H244" s="158"/>
      <c r="I244" s="158"/>
    </row>
    <row r="245">
      <c r="B245" s="158"/>
      <c r="C245" s="158"/>
      <c r="D245" s="159"/>
      <c r="E245" s="159"/>
      <c r="F245" s="160"/>
      <c r="G245" s="160"/>
      <c r="H245" s="158"/>
      <c r="I245" s="158"/>
    </row>
    <row r="246">
      <c r="B246" s="158"/>
      <c r="C246" s="158"/>
      <c r="D246" s="159"/>
      <c r="E246" s="159"/>
      <c r="F246" s="160"/>
      <c r="G246" s="160"/>
      <c r="H246" s="158"/>
      <c r="I246" s="158"/>
    </row>
    <row r="247">
      <c r="B247" s="158"/>
      <c r="C247" s="158"/>
      <c r="D247" s="159"/>
      <c r="E247" s="159"/>
      <c r="F247" s="160"/>
      <c r="G247" s="160"/>
      <c r="H247" s="158"/>
      <c r="I247" s="158"/>
    </row>
    <row r="248">
      <c r="B248" s="158"/>
      <c r="C248" s="158"/>
      <c r="D248" s="159"/>
      <c r="E248" s="159"/>
      <c r="F248" s="160"/>
      <c r="G248" s="160"/>
      <c r="H248" s="158"/>
      <c r="I248" s="158"/>
    </row>
    <row r="249">
      <c r="B249" s="158"/>
      <c r="C249" s="158"/>
      <c r="D249" s="159"/>
      <c r="E249" s="159"/>
      <c r="F249" s="160"/>
      <c r="G249" s="160"/>
      <c r="H249" s="158"/>
      <c r="I249" s="158"/>
    </row>
    <row r="250">
      <c r="B250" s="158"/>
      <c r="C250" s="158"/>
      <c r="D250" s="159"/>
      <c r="E250" s="159"/>
      <c r="F250" s="160"/>
      <c r="G250" s="160"/>
      <c r="H250" s="158"/>
      <c r="I250" s="158"/>
    </row>
    <row r="251">
      <c r="B251" s="158"/>
      <c r="C251" s="158"/>
      <c r="D251" s="159"/>
      <c r="E251" s="159"/>
      <c r="F251" s="160"/>
      <c r="G251" s="160"/>
      <c r="H251" s="158"/>
      <c r="I251" s="158"/>
    </row>
    <row r="252">
      <c r="B252" s="158"/>
      <c r="C252" s="158"/>
      <c r="D252" s="159"/>
      <c r="E252" s="159"/>
      <c r="F252" s="160"/>
      <c r="G252" s="160"/>
      <c r="H252" s="158"/>
      <c r="I252" s="158"/>
    </row>
    <row r="253">
      <c r="B253" s="158"/>
      <c r="C253" s="158"/>
      <c r="D253" s="159"/>
      <c r="E253" s="159"/>
      <c r="F253" s="160"/>
      <c r="G253" s="160"/>
      <c r="H253" s="158"/>
      <c r="I253" s="158"/>
    </row>
    <row r="254">
      <c r="B254" s="158"/>
      <c r="C254" s="158"/>
      <c r="D254" s="159"/>
      <c r="E254" s="159"/>
      <c r="F254" s="160"/>
      <c r="G254" s="160"/>
      <c r="H254" s="158"/>
      <c r="I254" s="158"/>
    </row>
    <row r="255">
      <c r="B255" s="158"/>
      <c r="C255" s="158"/>
      <c r="D255" s="159"/>
      <c r="E255" s="159"/>
      <c r="F255" s="160"/>
      <c r="G255" s="160"/>
      <c r="H255" s="158"/>
      <c r="I255" s="158"/>
    </row>
    <row r="256">
      <c r="B256" s="158"/>
      <c r="C256" s="158"/>
      <c r="D256" s="159"/>
      <c r="E256" s="159"/>
      <c r="F256" s="160"/>
      <c r="G256" s="160"/>
      <c r="H256" s="158"/>
      <c r="I256" s="158"/>
    </row>
    <row r="257">
      <c r="B257" s="158"/>
      <c r="C257" s="158"/>
      <c r="D257" s="159"/>
      <c r="E257" s="159"/>
      <c r="F257" s="160"/>
      <c r="G257" s="160"/>
      <c r="H257" s="158"/>
      <c r="I257" s="158"/>
    </row>
    <row r="258">
      <c r="B258" s="158"/>
      <c r="C258" s="158"/>
      <c r="D258" s="159"/>
      <c r="E258" s="159"/>
      <c r="F258" s="160"/>
      <c r="G258" s="160"/>
      <c r="H258" s="158"/>
      <c r="I258" s="158"/>
    </row>
    <row r="259">
      <c r="B259" s="158"/>
      <c r="C259" s="158"/>
      <c r="D259" s="159"/>
      <c r="E259" s="159"/>
      <c r="F259" s="160"/>
      <c r="G259" s="160"/>
      <c r="H259" s="158"/>
      <c r="I259" s="158"/>
    </row>
    <row r="260">
      <c r="B260" s="158"/>
      <c r="C260" s="158"/>
      <c r="D260" s="159"/>
      <c r="E260" s="159"/>
      <c r="F260" s="160"/>
      <c r="G260" s="160"/>
      <c r="H260" s="158"/>
      <c r="I260" s="158"/>
    </row>
    <row r="261">
      <c r="B261" s="158"/>
      <c r="C261" s="158"/>
      <c r="D261" s="159"/>
      <c r="E261" s="159"/>
      <c r="F261" s="160"/>
      <c r="G261" s="160"/>
      <c r="H261" s="158"/>
      <c r="I261" s="158"/>
    </row>
    <row r="262">
      <c r="B262" s="158"/>
      <c r="C262" s="158"/>
      <c r="D262" s="159"/>
      <c r="E262" s="159"/>
      <c r="F262" s="160"/>
      <c r="G262" s="160"/>
      <c r="H262" s="158"/>
      <c r="I262" s="158"/>
    </row>
    <row r="263">
      <c r="B263" s="158"/>
      <c r="C263" s="158"/>
      <c r="D263" s="159"/>
      <c r="E263" s="159"/>
      <c r="F263" s="160"/>
      <c r="G263" s="160"/>
      <c r="H263" s="158"/>
      <c r="I263" s="158"/>
    </row>
    <row r="264">
      <c r="B264" s="158"/>
      <c r="C264" s="158"/>
      <c r="D264" s="159"/>
      <c r="E264" s="159"/>
      <c r="F264" s="160"/>
      <c r="G264" s="160"/>
      <c r="H264" s="158"/>
      <c r="I264" s="158"/>
    </row>
    <row r="265">
      <c r="B265" s="158"/>
      <c r="C265" s="158"/>
      <c r="D265" s="159"/>
      <c r="E265" s="159"/>
      <c r="F265" s="160"/>
      <c r="G265" s="160"/>
      <c r="H265" s="158"/>
      <c r="I265" s="158"/>
    </row>
    <row r="266">
      <c r="B266" s="158"/>
      <c r="C266" s="158"/>
      <c r="D266" s="159"/>
      <c r="E266" s="159"/>
      <c r="F266" s="160"/>
      <c r="G266" s="160"/>
      <c r="H266" s="158"/>
      <c r="I266" s="158"/>
    </row>
    <row r="267">
      <c r="B267" s="158"/>
      <c r="C267" s="158"/>
      <c r="D267" s="159"/>
      <c r="E267" s="159"/>
      <c r="F267" s="160"/>
      <c r="G267" s="160"/>
      <c r="H267" s="158"/>
      <c r="I267" s="158"/>
    </row>
    <row r="268">
      <c r="B268" s="158"/>
      <c r="C268" s="158"/>
      <c r="D268" s="159"/>
      <c r="E268" s="159"/>
      <c r="F268" s="160"/>
      <c r="G268" s="160"/>
      <c r="H268" s="158"/>
      <c r="I268" s="158"/>
    </row>
    <row r="269">
      <c r="B269" s="158"/>
      <c r="C269" s="158"/>
      <c r="D269" s="159"/>
      <c r="E269" s="159"/>
      <c r="F269" s="160"/>
      <c r="G269" s="160"/>
      <c r="H269" s="158"/>
      <c r="I269" s="158"/>
    </row>
    <row r="270">
      <c r="B270" s="158"/>
      <c r="C270" s="158"/>
      <c r="D270" s="159"/>
      <c r="E270" s="159"/>
      <c r="F270" s="160"/>
      <c r="G270" s="160"/>
      <c r="H270" s="158"/>
      <c r="I270" s="158"/>
    </row>
    <row r="271">
      <c r="B271" s="158"/>
      <c r="C271" s="158"/>
      <c r="D271" s="159"/>
      <c r="E271" s="159"/>
      <c r="F271" s="160"/>
      <c r="G271" s="160"/>
      <c r="H271" s="158"/>
      <c r="I271" s="158"/>
    </row>
    <row r="272">
      <c r="B272" s="158"/>
      <c r="C272" s="158"/>
      <c r="D272" s="159"/>
      <c r="E272" s="159"/>
      <c r="F272" s="160"/>
      <c r="G272" s="160"/>
      <c r="H272" s="158"/>
      <c r="I272" s="158"/>
    </row>
    <row r="273">
      <c r="B273" s="158"/>
      <c r="C273" s="158"/>
      <c r="D273" s="159"/>
      <c r="E273" s="159"/>
      <c r="F273" s="160"/>
      <c r="G273" s="160"/>
      <c r="H273" s="158"/>
      <c r="I273" s="158"/>
    </row>
    <row r="274">
      <c r="B274" s="158"/>
      <c r="C274" s="158"/>
      <c r="D274" s="159"/>
      <c r="E274" s="159"/>
      <c r="F274" s="160"/>
      <c r="G274" s="160"/>
      <c r="H274" s="158"/>
      <c r="I274" s="158"/>
    </row>
    <row r="275">
      <c r="B275" s="158"/>
      <c r="C275" s="158"/>
      <c r="D275" s="159"/>
      <c r="E275" s="159"/>
      <c r="F275" s="160"/>
      <c r="G275" s="160"/>
      <c r="H275" s="158"/>
      <c r="I275" s="158"/>
    </row>
    <row r="276">
      <c r="B276" s="158"/>
      <c r="C276" s="158"/>
      <c r="D276" s="159"/>
      <c r="E276" s="159"/>
      <c r="F276" s="160"/>
      <c r="G276" s="160"/>
      <c r="H276" s="158"/>
      <c r="I276" s="158"/>
    </row>
    <row r="277">
      <c r="B277" s="158"/>
      <c r="C277" s="158"/>
      <c r="D277" s="159"/>
      <c r="E277" s="159"/>
      <c r="F277" s="160"/>
      <c r="G277" s="160"/>
      <c r="H277" s="158"/>
      <c r="I277" s="158"/>
    </row>
    <row r="278">
      <c r="B278" s="158"/>
      <c r="C278" s="158"/>
      <c r="D278" s="159"/>
      <c r="E278" s="159"/>
      <c r="F278" s="160"/>
      <c r="G278" s="160"/>
      <c r="H278" s="158"/>
      <c r="I278" s="158"/>
    </row>
    <row r="279">
      <c r="B279" s="158"/>
      <c r="C279" s="158"/>
      <c r="D279" s="159"/>
      <c r="E279" s="159"/>
      <c r="F279" s="160"/>
      <c r="G279" s="160"/>
      <c r="H279" s="158"/>
      <c r="I279" s="158"/>
    </row>
    <row r="280">
      <c r="B280" s="158"/>
      <c r="C280" s="158"/>
      <c r="D280" s="159"/>
      <c r="E280" s="159"/>
      <c r="F280" s="160"/>
      <c r="G280" s="160"/>
      <c r="H280" s="158"/>
      <c r="I280" s="158"/>
    </row>
    <row r="281">
      <c r="B281" s="158"/>
      <c r="C281" s="158"/>
      <c r="D281" s="159"/>
      <c r="E281" s="159"/>
      <c r="F281" s="160"/>
      <c r="G281" s="160"/>
      <c r="H281" s="158"/>
      <c r="I281" s="158"/>
    </row>
    <row r="282">
      <c r="B282" s="158"/>
      <c r="C282" s="158"/>
      <c r="D282" s="159"/>
      <c r="E282" s="159"/>
      <c r="F282" s="160"/>
      <c r="G282" s="160"/>
      <c r="H282" s="158"/>
      <c r="I282" s="158"/>
    </row>
    <row r="283">
      <c r="B283" s="158"/>
      <c r="C283" s="158"/>
      <c r="D283" s="159"/>
      <c r="E283" s="159"/>
      <c r="F283" s="160"/>
      <c r="G283" s="160"/>
      <c r="H283" s="158"/>
      <c r="I283" s="158"/>
    </row>
    <row r="284">
      <c r="B284" s="158"/>
      <c r="C284" s="158"/>
      <c r="D284" s="159"/>
      <c r="E284" s="159"/>
      <c r="F284" s="160"/>
      <c r="G284" s="160"/>
      <c r="H284" s="158"/>
      <c r="I284" s="158"/>
    </row>
    <row r="285">
      <c r="B285" s="158"/>
      <c r="C285" s="158"/>
      <c r="D285" s="159"/>
      <c r="E285" s="159"/>
      <c r="F285" s="160"/>
      <c r="G285" s="160"/>
      <c r="H285" s="158"/>
      <c r="I285" s="158"/>
    </row>
    <row r="286">
      <c r="B286" s="158"/>
      <c r="C286" s="158"/>
      <c r="D286" s="159"/>
      <c r="E286" s="159"/>
      <c r="F286" s="160"/>
      <c r="G286" s="160"/>
      <c r="H286" s="158"/>
      <c r="I286" s="158"/>
    </row>
    <row r="287">
      <c r="B287" s="158"/>
      <c r="C287" s="158"/>
      <c r="D287" s="159"/>
      <c r="E287" s="159"/>
      <c r="F287" s="160"/>
      <c r="G287" s="160"/>
      <c r="H287" s="158"/>
      <c r="I287" s="158"/>
    </row>
    <row r="288">
      <c r="B288" s="158"/>
      <c r="C288" s="158"/>
      <c r="D288" s="159"/>
      <c r="E288" s="159"/>
      <c r="F288" s="160"/>
      <c r="G288" s="160"/>
      <c r="H288" s="158"/>
      <c r="I288" s="158"/>
    </row>
    <row r="289">
      <c r="B289" s="158"/>
      <c r="C289" s="158"/>
      <c r="D289" s="159"/>
      <c r="E289" s="159"/>
      <c r="F289" s="160"/>
      <c r="G289" s="160"/>
      <c r="H289" s="158"/>
      <c r="I289" s="158"/>
    </row>
    <row r="290">
      <c r="B290" s="158"/>
      <c r="C290" s="158"/>
      <c r="D290" s="159"/>
      <c r="E290" s="159"/>
      <c r="F290" s="160"/>
      <c r="G290" s="160"/>
      <c r="H290" s="158"/>
      <c r="I290" s="158"/>
    </row>
    <row r="291">
      <c r="B291" s="158"/>
      <c r="C291" s="158"/>
      <c r="D291" s="159"/>
      <c r="E291" s="159"/>
      <c r="F291" s="160"/>
      <c r="G291" s="160"/>
      <c r="H291" s="158"/>
      <c r="I291" s="158"/>
    </row>
    <row r="292">
      <c r="B292" s="158"/>
      <c r="C292" s="158"/>
      <c r="D292" s="159"/>
      <c r="E292" s="159"/>
      <c r="F292" s="160"/>
      <c r="G292" s="160"/>
      <c r="H292" s="158"/>
      <c r="I292" s="158"/>
    </row>
    <row r="293">
      <c r="B293" s="158"/>
      <c r="C293" s="158"/>
      <c r="D293" s="159"/>
      <c r="E293" s="159"/>
      <c r="F293" s="160"/>
      <c r="G293" s="160"/>
      <c r="H293" s="158"/>
      <c r="I293" s="158"/>
    </row>
    <row r="294">
      <c r="B294" s="158"/>
      <c r="C294" s="158"/>
      <c r="D294" s="159"/>
      <c r="E294" s="159"/>
      <c r="F294" s="160"/>
      <c r="G294" s="160"/>
      <c r="H294" s="158"/>
      <c r="I294" s="158"/>
    </row>
    <row r="295">
      <c r="B295" s="158"/>
      <c r="C295" s="158"/>
      <c r="D295" s="159"/>
      <c r="E295" s="159"/>
      <c r="F295" s="160"/>
      <c r="G295" s="160"/>
      <c r="H295" s="158"/>
      <c r="I295" s="158"/>
    </row>
    <row r="296">
      <c r="B296" s="158"/>
      <c r="C296" s="158"/>
      <c r="D296" s="159"/>
      <c r="E296" s="159"/>
      <c r="F296" s="160"/>
      <c r="G296" s="160"/>
      <c r="H296" s="158"/>
      <c r="I296" s="158"/>
    </row>
    <row r="297">
      <c r="B297" s="158"/>
      <c r="C297" s="158"/>
      <c r="D297" s="159"/>
      <c r="E297" s="159"/>
      <c r="F297" s="160"/>
      <c r="G297" s="160"/>
      <c r="H297" s="158"/>
      <c r="I297" s="158"/>
    </row>
    <row r="298">
      <c r="B298" s="158"/>
      <c r="C298" s="158"/>
      <c r="D298" s="159"/>
      <c r="E298" s="159"/>
      <c r="F298" s="160"/>
      <c r="G298" s="160"/>
      <c r="H298" s="158"/>
      <c r="I298" s="158"/>
    </row>
    <row r="299">
      <c r="B299" s="158"/>
      <c r="C299" s="158"/>
      <c r="D299" s="159"/>
      <c r="E299" s="159"/>
      <c r="F299" s="160"/>
      <c r="G299" s="160"/>
      <c r="H299" s="158"/>
      <c r="I299" s="158"/>
    </row>
    <row r="300">
      <c r="B300" s="158"/>
      <c r="C300" s="158"/>
      <c r="D300" s="159"/>
      <c r="E300" s="159"/>
      <c r="F300" s="160"/>
      <c r="G300" s="160"/>
      <c r="H300" s="158"/>
      <c r="I300" s="158"/>
    </row>
    <row r="301">
      <c r="B301" s="158"/>
      <c r="C301" s="158"/>
      <c r="D301" s="159"/>
      <c r="E301" s="159"/>
      <c r="F301" s="160"/>
      <c r="G301" s="160"/>
      <c r="H301" s="158"/>
      <c r="I301" s="158"/>
    </row>
    <row r="302">
      <c r="B302" s="158"/>
      <c r="C302" s="158"/>
      <c r="D302" s="159"/>
      <c r="E302" s="159"/>
      <c r="F302" s="160"/>
      <c r="G302" s="160"/>
      <c r="H302" s="158"/>
      <c r="I302" s="158"/>
    </row>
    <row r="303">
      <c r="B303" s="158"/>
      <c r="C303" s="158"/>
      <c r="D303" s="159"/>
      <c r="E303" s="159"/>
      <c r="F303" s="160"/>
      <c r="G303" s="160"/>
      <c r="H303" s="158"/>
      <c r="I303" s="158"/>
    </row>
    <row r="304">
      <c r="B304" s="158"/>
      <c r="C304" s="158"/>
      <c r="D304" s="159"/>
      <c r="E304" s="159"/>
      <c r="F304" s="160"/>
      <c r="G304" s="160"/>
      <c r="H304" s="158"/>
      <c r="I304" s="158"/>
    </row>
    <row r="305">
      <c r="B305" s="158"/>
      <c r="C305" s="158"/>
      <c r="D305" s="159"/>
      <c r="E305" s="159"/>
      <c r="F305" s="160"/>
      <c r="G305" s="160"/>
      <c r="H305" s="158"/>
      <c r="I305" s="158"/>
    </row>
    <row r="306">
      <c r="B306" s="158"/>
      <c r="C306" s="158"/>
      <c r="D306" s="159"/>
      <c r="E306" s="159"/>
      <c r="F306" s="160"/>
      <c r="G306" s="160"/>
      <c r="H306" s="158"/>
      <c r="I306" s="158"/>
    </row>
    <row r="307">
      <c r="B307" s="158"/>
      <c r="C307" s="158"/>
      <c r="D307" s="159"/>
      <c r="E307" s="159"/>
      <c r="F307" s="160"/>
      <c r="G307" s="160"/>
      <c r="H307" s="158"/>
      <c r="I307" s="158"/>
    </row>
    <row r="308">
      <c r="B308" s="158"/>
      <c r="C308" s="158"/>
      <c r="D308" s="159"/>
      <c r="E308" s="159"/>
      <c r="F308" s="160"/>
      <c r="G308" s="160"/>
      <c r="H308" s="158"/>
      <c r="I308" s="158"/>
    </row>
    <row r="309">
      <c r="B309" s="158"/>
      <c r="C309" s="158"/>
      <c r="D309" s="159"/>
      <c r="E309" s="159"/>
      <c r="F309" s="160"/>
      <c r="G309" s="160"/>
      <c r="H309" s="158"/>
      <c r="I309" s="158"/>
    </row>
    <row r="310">
      <c r="B310" s="158"/>
      <c r="C310" s="158"/>
      <c r="D310" s="159"/>
      <c r="E310" s="159"/>
      <c r="F310" s="160"/>
      <c r="G310" s="160"/>
      <c r="H310" s="158"/>
      <c r="I310" s="158"/>
    </row>
    <row r="311">
      <c r="B311" s="158"/>
      <c r="C311" s="158"/>
      <c r="D311" s="159"/>
      <c r="E311" s="159"/>
      <c r="F311" s="160"/>
      <c r="G311" s="160"/>
      <c r="H311" s="158"/>
      <c r="I311" s="158"/>
    </row>
    <row r="312">
      <c r="B312" s="158"/>
      <c r="C312" s="158"/>
      <c r="D312" s="159"/>
      <c r="E312" s="159"/>
      <c r="F312" s="160"/>
      <c r="G312" s="160"/>
      <c r="H312" s="158"/>
      <c r="I312" s="158"/>
    </row>
    <row r="313">
      <c r="B313" s="158"/>
      <c r="C313" s="158"/>
      <c r="D313" s="159"/>
      <c r="E313" s="159"/>
      <c r="F313" s="160"/>
      <c r="G313" s="160"/>
      <c r="H313" s="158"/>
      <c r="I313" s="158"/>
    </row>
    <row r="314">
      <c r="B314" s="158"/>
      <c r="C314" s="158"/>
      <c r="D314" s="159"/>
      <c r="E314" s="159"/>
      <c r="F314" s="160"/>
      <c r="G314" s="160"/>
      <c r="H314" s="158"/>
      <c r="I314" s="158"/>
    </row>
    <row r="315">
      <c r="B315" s="158"/>
      <c r="C315" s="158"/>
      <c r="D315" s="159"/>
      <c r="E315" s="159"/>
      <c r="F315" s="160"/>
      <c r="G315" s="160"/>
      <c r="H315" s="158"/>
      <c r="I315" s="158"/>
    </row>
    <row r="316">
      <c r="B316" s="158"/>
      <c r="C316" s="158"/>
      <c r="D316" s="159"/>
      <c r="E316" s="159"/>
      <c r="F316" s="160"/>
      <c r="G316" s="160"/>
      <c r="H316" s="158"/>
      <c r="I316" s="158"/>
    </row>
    <row r="317">
      <c r="B317" s="158"/>
      <c r="C317" s="158"/>
      <c r="D317" s="159"/>
      <c r="E317" s="159"/>
      <c r="F317" s="160"/>
      <c r="G317" s="160"/>
      <c r="H317" s="158"/>
      <c r="I317" s="158"/>
    </row>
    <row r="318">
      <c r="B318" s="158"/>
      <c r="C318" s="158"/>
      <c r="D318" s="159"/>
      <c r="E318" s="159"/>
      <c r="F318" s="160"/>
      <c r="G318" s="160"/>
      <c r="H318" s="158"/>
      <c r="I318" s="158"/>
    </row>
    <row r="319">
      <c r="B319" s="158"/>
      <c r="C319" s="158"/>
      <c r="D319" s="159"/>
      <c r="E319" s="159"/>
      <c r="F319" s="160"/>
      <c r="G319" s="160"/>
      <c r="H319" s="158"/>
      <c r="I319" s="158"/>
    </row>
    <row r="320">
      <c r="B320" s="158"/>
      <c r="C320" s="158"/>
      <c r="D320" s="159"/>
      <c r="E320" s="159"/>
      <c r="F320" s="160"/>
      <c r="G320" s="160"/>
      <c r="H320" s="158"/>
      <c r="I320" s="158"/>
    </row>
    <row r="321">
      <c r="B321" s="158"/>
      <c r="C321" s="158"/>
      <c r="D321" s="159"/>
      <c r="E321" s="159"/>
      <c r="F321" s="160"/>
      <c r="G321" s="160"/>
      <c r="H321" s="158"/>
      <c r="I321" s="158"/>
    </row>
    <row r="322">
      <c r="B322" s="158"/>
      <c r="C322" s="158"/>
      <c r="D322" s="159"/>
      <c r="E322" s="159"/>
      <c r="F322" s="160"/>
      <c r="G322" s="160"/>
      <c r="H322" s="158"/>
      <c r="I322" s="158"/>
    </row>
    <row r="323">
      <c r="B323" s="158"/>
      <c r="C323" s="158"/>
      <c r="D323" s="159"/>
      <c r="E323" s="159"/>
      <c r="F323" s="160"/>
      <c r="G323" s="160"/>
      <c r="H323" s="158"/>
      <c r="I323" s="158"/>
    </row>
    <row r="324">
      <c r="B324" s="158"/>
      <c r="C324" s="158"/>
      <c r="D324" s="159"/>
      <c r="E324" s="159"/>
      <c r="F324" s="160"/>
      <c r="G324" s="160"/>
      <c r="H324" s="158"/>
      <c r="I324" s="158"/>
    </row>
    <row r="325">
      <c r="B325" s="158"/>
      <c r="C325" s="158"/>
      <c r="D325" s="159"/>
      <c r="E325" s="159"/>
      <c r="F325" s="160"/>
      <c r="G325" s="160"/>
      <c r="H325" s="158"/>
      <c r="I325" s="158"/>
    </row>
    <row r="326">
      <c r="B326" s="158"/>
      <c r="C326" s="158"/>
      <c r="D326" s="159"/>
      <c r="E326" s="159"/>
      <c r="F326" s="160"/>
      <c r="G326" s="160"/>
      <c r="H326" s="158"/>
      <c r="I326" s="158"/>
    </row>
    <row r="327">
      <c r="B327" s="158"/>
      <c r="C327" s="158"/>
      <c r="D327" s="159"/>
      <c r="E327" s="159"/>
      <c r="F327" s="160"/>
      <c r="G327" s="160"/>
      <c r="H327" s="158"/>
      <c r="I327" s="158"/>
    </row>
    <row r="328">
      <c r="B328" s="158"/>
      <c r="C328" s="158"/>
      <c r="D328" s="159"/>
      <c r="E328" s="159"/>
      <c r="F328" s="160"/>
      <c r="G328" s="160"/>
      <c r="H328" s="158"/>
      <c r="I328" s="158"/>
    </row>
    <row r="329">
      <c r="B329" s="158"/>
      <c r="C329" s="158"/>
      <c r="D329" s="159"/>
      <c r="E329" s="159"/>
      <c r="F329" s="160"/>
      <c r="G329" s="160"/>
      <c r="H329" s="158"/>
      <c r="I329" s="158"/>
    </row>
    <row r="330">
      <c r="B330" s="158"/>
      <c r="C330" s="158"/>
      <c r="D330" s="159"/>
      <c r="E330" s="159"/>
      <c r="F330" s="160"/>
      <c r="G330" s="160"/>
      <c r="H330" s="158"/>
      <c r="I330" s="158"/>
    </row>
    <row r="331">
      <c r="B331" s="158"/>
      <c r="C331" s="158"/>
      <c r="D331" s="159"/>
      <c r="E331" s="159"/>
      <c r="F331" s="160"/>
      <c r="G331" s="160"/>
      <c r="H331" s="158"/>
      <c r="I331" s="158"/>
    </row>
    <row r="332">
      <c r="B332" s="158"/>
      <c r="C332" s="158"/>
      <c r="D332" s="159"/>
      <c r="E332" s="159"/>
      <c r="F332" s="160"/>
      <c r="G332" s="160"/>
      <c r="H332" s="158"/>
      <c r="I332" s="158"/>
    </row>
    <row r="333">
      <c r="B333" s="158"/>
      <c r="C333" s="158"/>
      <c r="D333" s="159"/>
      <c r="E333" s="159"/>
      <c r="F333" s="160"/>
      <c r="G333" s="160"/>
      <c r="H333" s="158"/>
      <c r="I333" s="158"/>
    </row>
    <row r="334">
      <c r="B334" s="158"/>
      <c r="C334" s="158"/>
      <c r="D334" s="159"/>
      <c r="E334" s="159"/>
      <c r="F334" s="160"/>
      <c r="G334" s="160"/>
      <c r="H334" s="158"/>
      <c r="I334" s="158"/>
    </row>
    <row r="335">
      <c r="B335" s="158"/>
      <c r="C335" s="158"/>
      <c r="D335" s="159"/>
      <c r="E335" s="159"/>
      <c r="F335" s="160"/>
      <c r="G335" s="160"/>
      <c r="H335" s="158"/>
      <c r="I335" s="158"/>
    </row>
    <row r="336">
      <c r="B336" s="158"/>
      <c r="C336" s="158"/>
      <c r="D336" s="159"/>
      <c r="E336" s="159"/>
      <c r="F336" s="160"/>
      <c r="G336" s="160"/>
      <c r="H336" s="158"/>
      <c r="I336" s="158"/>
    </row>
    <row r="337">
      <c r="B337" s="158"/>
      <c r="C337" s="158"/>
      <c r="D337" s="159"/>
      <c r="E337" s="159"/>
      <c r="F337" s="160"/>
      <c r="G337" s="160"/>
      <c r="H337" s="158"/>
      <c r="I337" s="158"/>
    </row>
    <row r="338">
      <c r="B338" s="158"/>
      <c r="C338" s="158"/>
      <c r="D338" s="159"/>
      <c r="E338" s="159"/>
      <c r="F338" s="160"/>
      <c r="G338" s="160"/>
      <c r="H338" s="158"/>
      <c r="I338" s="158"/>
    </row>
    <row r="339">
      <c r="B339" s="158"/>
      <c r="C339" s="158"/>
      <c r="D339" s="159"/>
      <c r="E339" s="159"/>
      <c r="F339" s="160"/>
      <c r="G339" s="160"/>
      <c r="H339" s="158"/>
      <c r="I339" s="158"/>
    </row>
    <row r="340">
      <c r="B340" s="158"/>
      <c r="C340" s="158"/>
      <c r="D340" s="159"/>
      <c r="E340" s="159"/>
      <c r="F340" s="160"/>
      <c r="G340" s="160"/>
      <c r="H340" s="158"/>
      <c r="I340" s="158"/>
    </row>
    <row r="341">
      <c r="B341" s="158"/>
      <c r="C341" s="158"/>
      <c r="D341" s="159"/>
      <c r="E341" s="159"/>
      <c r="F341" s="160"/>
      <c r="G341" s="160"/>
      <c r="H341" s="158"/>
      <c r="I341" s="158"/>
    </row>
    <row r="342">
      <c r="B342" s="158"/>
      <c r="C342" s="158"/>
      <c r="D342" s="159"/>
      <c r="E342" s="159"/>
      <c r="F342" s="160"/>
      <c r="G342" s="160"/>
      <c r="H342" s="158"/>
      <c r="I342" s="158"/>
    </row>
    <row r="343">
      <c r="B343" s="158"/>
      <c r="C343" s="158"/>
      <c r="D343" s="159"/>
      <c r="E343" s="159"/>
      <c r="F343" s="160"/>
      <c r="G343" s="160"/>
      <c r="H343" s="158"/>
      <c r="I343" s="158"/>
    </row>
    <row r="344">
      <c r="B344" s="158"/>
      <c r="C344" s="158"/>
      <c r="D344" s="159"/>
      <c r="E344" s="159"/>
      <c r="F344" s="160"/>
      <c r="G344" s="160"/>
      <c r="H344" s="158"/>
      <c r="I344" s="158"/>
    </row>
    <row r="345">
      <c r="B345" s="158"/>
      <c r="C345" s="158"/>
      <c r="D345" s="159"/>
      <c r="E345" s="159"/>
      <c r="F345" s="160"/>
      <c r="G345" s="160"/>
      <c r="H345" s="158"/>
      <c r="I345" s="158"/>
    </row>
    <row r="346">
      <c r="B346" s="158"/>
      <c r="C346" s="158"/>
      <c r="D346" s="159"/>
      <c r="E346" s="159"/>
      <c r="F346" s="160"/>
      <c r="G346" s="160"/>
      <c r="H346" s="158"/>
      <c r="I346" s="158"/>
    </row>
    <row r="347">
      <c r="B347" s="158"/>
      <c r="C347" s="158"/>
      <c r="D347" s="159"/>
      <c r="E347" s="159"/>
      <c r="F347" s="160"/>
      <c r="G347" s="160"/>
      <c r="H347" s="158"/>
      <c r="I347" s="158"/>
    </row>
    <row r="348">
      <c r="B348" s="158"/>
      <c r="C348" s="158"/>
      <c r="D348" s="159"/>
      <c r="E348" s="159"/>
      <c r="F348" s="160"/>
      <c r="G348" s="160"/>
      <c r="H348" s="158"/>
      <c r="I348" s="158"/>
    </row>
    <row r="349">
      <c r="B349" s="158"/>
      <c r="C349" s="158"/>
      <c r="D349" s="159"/>
      <c r="E349" s="159"/>
      <c r="F349" s="160"/>
      <c r="G349" s="160"/>
      <c r="H349" s="158"/>
      <c r="I349" s="158"/>
    </row>
    <row r="350">
      <c r="B350" s="158"/>
      <c r="C350" s="158"/>
      <c r="D350" s="159"/>
      <c r="E350" s="159"/>
      <c r="F350" s="160"/>
      <c r="G350" s="160"/>
      <c r="H350" s="158"/>
      <c r="I350" s="158"/>
    </row>
    <row r="351">
      <c r="B351" s="158"/>
      <c r="C351" s="158"/>
      <c r="D351" s="159"/>
      <c r="E351" s="159"/>
      <c r="F351" s="160"/>
      <c r="G351" s="160"/>
      <c r="H351" s="158"/>
      <c r="I351" s="158"/>
    </row>
    <row r="352">
      <c r="B352" s="158"/>
      <c r="C352" s="158"/>
      <c r="D352" s="159"/>
      <c r="E352" s="159"/>
      <c r="F352" s="160"/>
      <c r="G352" s="160"/>
      <c r="H352" s="158"/>
      <c r="I352" s="158"/>
    </row>
    <row r="353">
      <c r="B353" s="158"/>
      <c r="C353" s="158"/>
      <c r="D353" s="159"/>
      <c r="E353" s="159"/>
      <c r="F353" s="160"/>
      <c r="G353" s="160"/>
      <c r="H353" s="158"/>
      <c r="I353" s="158"/>
    </row>
    <row r="354">
      <c r="B354" s="158"/>
      <c r="C354" s="158"/>
      <c r="D354" s="159"/>
      <c r="E354" s="159"/>
      <c r="F354" s="160"/>
      <c r="G354" s="160"/>
      <c r="H354" s="158"/>
      <c r="I354" s="158"/>
    </row>
    <row r="355">
      <c r="B355" s="158"/>
      <c r="C355" s="158"/>
      <c r="D355" s="159"/>
      <c r="E355" s="159"/>
      <c r="F355" s="160"/>
      <c r="G355" s="160"/>
      <c r="H355" s="158"/>
      <c r="I355" s="158"/>
    </row>
    <row r="356">
      <c r="B356" s="158"/>
      <c r="C356" s="158"/>
      <c r="D356" s="159"/>
      <c r="E356" s="159"/>
      <c r="F356" s="160"/>
      <c r="G356" s="160"/>
      <c r="H356" s="158"/>
      <c r="I356" s="158"/>
    </row>
    <row r="357">
      <c r="B357" s="158"/>
      <c r="C357" s="158"/>
      <c r="D357" s="159"/>
      <c r="E357" s="159"/>
      <c r="F357" s="160"/>
      <c r="G357" s="160"/>
      <c r="H357" s="158"/>
      <c r="I357" s="158"/>
    </row>
    <row r="358">
      <c r="B358" s="158"/>
      <c r="C358" s="158"/>
      <c r="D358" s="159"/>
      <c r="E358" s="159"/>
      <c r="F358" s="160"/>
      <c r="G358" s="160"/>
      <c r="H358" s="158"/>
      <c r="I358" s="158"/>
    </row>
    <row r="359">
      <c r="B359" s="158"/>
      <c r="C359" s="158"/>
      <c r="D359" s="159"/>
      <c r="E359" s="159"/>
      <c r="F359" s="160"/>
      <c r="G359" s="160"/>
      <c r="H359" s="158"/>
      <c r="I359" s="158"/>
    </row>
    <row r="360">
      <c r="B360" s="158"/>
      <c r="C360" s="158"/>
      <c r="D360" s="159"/>
      <c r="E360" s="159"/>
      <c r="F360" s="160"/>
      <c r="G360" s="160"/>
      <c r="H360" s="158"/>
      <c r="I360" s="158"/>
    </row>
    <row r="361">
      <c r="B361" s="158"/>
      <c r="C361" s="158"/>
      <c r="D361" s="159"/>
      <c r="E361" s="159"/>
      <c r="F361" s="160"/>
      <c r="G361" s="160"/>
      <c r="H361" s="158"/>
      <c r="I361" s="158"/>
    </row>
    <row r="362">
      <c r="B362" s="158"/>
      <c r="C362" s="158"/>
      <c r="D362" s="159"/>
      <c r="E362" s="159"/>
      <c r="F362" s="160"/>
      <c r="G362" s="160"/>
      <c r="H362" s="158"/>
      <c r="I362" s="158"/>
    </row>
    <row r="363">
      <c r="B363" s="158"/>
      <c r="C363" s="158"/>
      <c r="D363" s="159"/>
      <c r="E363" s="159"/>
      <c r="F363" s="160"/>
      <c r="G363" s="160"/>
      <c r="H363" s="158"/>
      <c r="I363" s="158"/>
    </row>
    <row r="364">
      <c r="B364" s="158"/>
      <c r="C364" s="158"/>
      <c r="D364" s="159"/>
      <c r="E364" s="159"/>
      <c r="F364" s="160"/>
      <c r="G364" s="160"/>
      <c r="H364" s="158"/>
      <c r="I364" s="158"/>
    </row>
    <row r="365">
      <c r="B365" s="158"/>
      <c r="C365" s="158"/>
      <c r="D365" s="159"/>
      <c r="E365" s="159"/>
      <c r="F365" s="160"/>
      <c r="G365" s="160"/>
      <c r="H365" s="158"/>
      <c r="I365" s="158"/>
    </row>
    <row r="366">
      <c r="B366" s="158"/>
      <c r="C366" s="158"/>
      <c r="D366" s="159"/>
      <c r="E366" s="159"/>
      <c r="F366" s="160"/>
      <c r="G366" s="160"/>
      <c r="H366" s="158"/>
      <c r="I366" s="158"/>
    </row>
    <row r="367">
      <c r="B367" s="158"/>
      <c r="C367" s="158"/>
      <c r="D367" s="159"/>
      <c r="E367" s="159"/>
      <c r="F367" s="160"/>
      <c r="G367" s="160"/>
      <c r="H367" s="158"/>
      <c r="I367" s="158"/>
    </row>
    <row r="368">
      <c r="B368" s="158"/>
      <c r="C368" s="158"/>
      <c r="D368" s="159"/>
      <c r="E368" s="159"/>
      <c r="F368" s="160"/>
      <c r="G368" s="160"/>
      <c r="H368" s="158"/>
      <c r="I368" s="158"/>
    </row>
    <row r="369">
      <c r="B369" s="158"/>
      <c r="C369" s="158"/>
      <c r="D369" s="159"/>
      <c r="E369" s="159"/>
      <c r="F369" s="160"/>
      <c r="G369" s="160"/>
      <c r="H369" s="158"/>
      <c r="I369" s="158"/>
    </row>
    <row r="370">
      <c r="B370" s="158"/>
      <c r="C370" s="158"/>
      <c r="D370" s="159"/>
      <c r="E370" s="159"/>
      <c r="F370" s="160"/>
      <c r="G370" s="160"/>
      <c r="H370" s="158"/>
      <c r="I370" s="158"/>
    </row>
    <row r="371">
      <c r="B371" s="158"/>
      <c r="C371" s="158"/>
      <c r="D371" s="159"/>
      <c r="E371" s="159"/>
      <c r="F371" s="160"/>
      <c r="G371" s="160"/>
      <c r="H371" s="158"/>
      <c r="I371" s="158"/>
    </row>
    <row r="372">
      <c r="B372" s="158"/>
      <c r="C372" s="158"/>
      <c r="D372" s="159"/>
      <c r="E372" s="159"/>
      <c r="F372" s="160"/>
      <c r="G372" s="160"/>
      <c r="H372" s="158"/>
      <c r="I372" s="158"/>
    </row>
    <row r="373">
      <c r="B373" s="158"/>
      <c r="C373" s="158"/>
      <c r="D373" s="159"/>
      <c r="E373" s="159"/>
      <c r="F373" s="160"/>
      <c r="G373" s="160"/>
      <c r="H373" s="158"/>
      <c r="I373" s="158"/>
    </row>
    <row r="374">
      <c r="B374" s="158"/>
      <c r="C374" s="158"/>
      <c r="D374" s="159"/>
      <c r="E374" s="159"/>
      <c r="F374" s="160"/>
      <c r="G374" s="160"/>
      <c r="H374" s="158"/>
      <c r="I374" s="158"/>
    </row>
    <row r="375">
      <c r="B375" s="158"/>
      <c r="C375" s="158"/>
      <c r="D375" s="159"/>
      <c r="E375" s="159"/>
      <c r="F375" s="160"/>
      <c r="G375" s="160"/>
      <c r="H375" s="158"/>
      <c r="I375" s="158"/>
    </row>
    <row r="376">
      <c r="B376" s="158"/>
      <c r="C376" s="158"/>
      <c r="D376" s="159"/>
      <c r="E376" s="159"/>
      <c r="F376" s="160"/>
      <c r="G376" s="160"/>
      <c r="H376" s="158"/>
      <c r="I376" s="158"/>
    </row>
    <row r="377">
      <c r="B377" s="158"/>
      <c r="C377" s="158"/>
      <c r="D377" s="159"/>
      <c r="E377" s="159"/>
      <c r="F377" s="160"/>
      <c r="G377" s="160"/>
      <c r="H377" s="158"/>
      <c r="I377" s="158"/>
    </row>
    <row r="378">
      <c r="B378" s="158"/>
      <c r="C378" s="158"/>
      <c r="D378" s="159"/>
      <c r="E378" s="159"/>
      <c r="F378" s="160"/>
      <c r="G378" s="160"/>
      <c r="H378" s="158"/>
      <c r="I378" s="158"/>
    </row>
    <row r="379">
      <c r="B379" s="158"/>
      <c r="C379" s="158"/>
      <c r="D379" s="159"/>
      <c r="E379" s="159"/>
      <c r="F379" s="160"/>
      <c r="G379" s="160"/>
      <c r="H379" s="158"/>
      <c r="I379" s="158"/>
    </row>
    <row r="380">
      <c r="B380" s="158"/>
      <c r="C380" s="158"/>
      <c r="D380" s="159"/>
      <c r="E380" s="159"/>
      <c r="F380" s="160"/>
      <c r="G380" s="160"/>
      <c r="H380" s="158"/>
      <c r="I380" s="158"/>
    </row>
    <row r="381">
      <c r="B381" s="158"/>
      <c r="C381" s="158"/>
      <c r="D381" s="159"/>
      <c r="E381" s="159"/>
      <c r="F381" s="160"/>
      <c r="G381" s="160"/>
      <c r="H381" s="158"/>
      <c r="I381" s="158"/>
    </row>
    <row r="382">
      <c r="B382" s="158"/>
      <c r="C382" s="158"/>
      <c r="D382" s="159"/>
      <c r="E382" s="159"/>
      <c r="F382" s="160"/>
      <c r="G382" s="160"/>
      <c r="H382" s="158"/>
      <c r="I382" s="158"/>
    </row>
    <row r="383">
      <c r="B383" s="158"/>
      <c r="C383" s="158"/>
      <c r="D383" s="159"/>
      <c r="E383" s="159"/>
      <c r="F383" s="160"/>
      <c r="G383" s="160"/>
      <c r="H383" s="158"/>
      <c r="I383" s="158"/>
    </row>
    <row r="384">
      <c r="B384" s="158"/>
      <c r="C384" s="158"/>
      <c r="D384" s="159"/>
      <c r="E384" s="159"/>
      <c r="F384" s="160"/>
      <c r="G384" s="160"/>
      <c r="H384" s="158"/>
      <c r="I384" s="158"/>
    </row>
    <row r="385">
      <c r="B385" s="158"/>
      <c r="C385" s="158"/>
      <c r="D385" s="159"/>
      <c r="E385" s="159"/>
      <c r="F385" s="160"/>
      <c r="G385" s="160"/>
      <c r="H385" s="158"/>
      <c r="I385" s="158"/>
    </row>
    <row r="386">
      <c r="B386" s="158"/>
      <c r="C386" s="158"/>
      <c r="D386" s="159"/>
      <c r="E386" s="159"/>
      <c r="F386" s="160"/>
      <c r="G386" s="160"/>
      <c r="H386" s="158"/>
      <c r="I386" s="158"/>
    </row>
    <row r="387">
      <c r="B387" s="158"/>
      <c r="C387" s="158"/>
      <c r="D387" s="159"/>
      <c r="E387" s="159"/>
      <c r="F387" s="160"/>
      <c r="G387" s="160"/>
      <c r="H387" s="158"/>
      <c r="I387" s="158"/>
    </row>
    <row r="388">
      <c r="B388" s="158"/>
      <c r="C388" s="158"/>
      <c r="D388" s="159"/>
      <c r="E388" s="159"/>
      <c r="F388" s="160"/>
      <c r="G388" s="160"/>
      <c r="H388" s="158"/>
      <c r="I388" s="158"/>
    </row>
    <row r="389">
      <c r="B389" s="158"/>
      <c r="C389" s="158"/>
      <c r="D389" s="159"/>
      <c r="E389" s="159"/>
      <c r="F389" s="160"/>
      <c r="G389" s="160"/>
      <c r="H389" s="158"/>
      <c r="I389" s="158"/>
    </row>
    <row r="390">
      <c r="B390" s="158"/>
      <c r="C390" s="158"/>
      <c r="D390" s="159"/>
      <c r="E390" s="159"/>
      <c r="F390" s="160"/>
      <c r="G390" s="160"/>
      <c r="H390" s="158"/>
      <c r="I390" s="158"/>
    </row>
    <row r="391">
      <c r="B391" s="158"/>
      <c r="C391" s="158"/>
      <c r="D391" s="159"/>
      <c r="E391" s="159"/>
      <c r="F391" s="160"/>
      <c r="G391" s="160"/>
      <c r="H391" s="158"/>
      <c r="I391" s="158"/>
    </row>
    <row r="392">
      <c r="B392" s="158"/>
      <c r="C392" s="158"/>
      <c r="D392" s="159"/>
      <c r="E392" s="159"/>
      <c r="F392" s="160"/>
      <c r="G392" s="160"/>
      <c r="H392" s="158"/>
      <c r="I392" s="158"/>
    </row>
    <row r="393">
      <c r="B393" s="158"/>
      <c r="C393" s="158"/>
      <c r="D393" s="159"/>
      <c r="E393" s="159"/>
      <c r="F393" s="160"/>
      <c r="G393" s="160"/>
      <c r="H393" s="158"/>
      <c r="I393" s="158"/>
    </row>
    <row r="394">
      <c r="B394" s="158"/>
      <c r="C394" s="158"/>
      <c r="D394" s="159"/>
      <c r="E394" s="159"/>
      <c r="F394" s="160"/>
      <c r="G394" s="160"/>
      <c r="H394" s="158"/>
      <c r="I394" s="158"/>
    </row>
    <row r="395">
      <c r="B395" s="158"/>
      <c r="C395" s="158"/>
      <c r="D395" s="159"/>
      <c r="E395" s="159"/>
      <c r="F395" s="160"/>
      <c r="G395" s="160"/>
      <c r="H395" s="158"/>
      <c r="I395" s="158"/>
    </row>
    <row r="396">
      <c r="B396" s="158"/>
      <c r="C396" s="158"/>
      <c r="D396" s="159"/>
      <c r="E396" s="159"/>
      <c r="F396" s="160"/>
      <c r="G396" s="160"/>
      <c r="H396" s="158"/>
      <c r="I396" s="158"/>
    </row>
    <row r="397">
      <c r="B397" s="158"/>
      <c r="C397" s="158"/>
      <c r="D397" s="159"/>
      <c r="E397" s="159"/>
      <c r="F397" s="160"/>
      <c r="G397" s="160"/>
      <c r="H397" s="158"/>
      <c r="I397" s="158"/>
    </row>
    <row r="398">
      <c r="B398" s="158"/>
      <c r="C398" s="158"/>
      <c r="D398" s="159"/>
      <c r="E398" s="159"/>
      <c r="F398" s="160"/>
      <c r="G398" s="160"/>
      <c r="H398" s="158"/>
      <c r="I398" s="158"/>
    </row>
    <row r="399">
      <c r="B399" s="158"/>
      <c r="C399" s="158"/>
      <c r="D399" s="159"/>
      <c r="E399" s="159"/>
      <c r="F399" s="160"/>
      <c r="G399" s="160"/>
      <c r="H399" s="158"/>
      <c r="I399" s="158"/>
    </row>
    <row r="400">
      <c r="B400" s="158"/>
      <c r="C400" s="158"/>
      <c r="D400" s="159"/>
      <c r="E400" s="159"/>
      <c r="F400" s="160"/>
      <c r="G400" s="160"/>
      <c r="H400" s="158"/>
      <c r="I400" s="158"/>
    </row>
    <row r="401">
      <c r="B401" s="158"/>
      <c r="C401" s="158"/>
      <c r="D401" s="159"/>
      <c r="E401" s="159"/>
      <c r="F401" s="160"/>
      <c r="G401" s="160"/>
      <c r="H401" s="158"/>
      <c r="I401" s="158"/>
    </row>
    <row r="402">
      <c r="B402" s="158"/>
      <c r="C402" s="158"/>
      <c r="D402" s="159"/>
      <c r="E402" s="159"/>
      <c r="F402" s="160"/>
      <c r="G402" s="160"/>
      <c r="H402" s="158"/>
      <c r="I402" s="158"/>
    </row>
    <row r="403">
      <c r="B403" s="158"/>
      <c r="C403" s="158"/>
      <c r="D403" s="159"/>
      <c r="E403" s="159"/>
      <c r="F403" s="160"/>
      <c r="G403" s="160"/>
      <c r="H403" s="158"/>
      <c r="I403" s="158"/>
    </row>
    <row r="404">
      <c r="B404" s="158"/>
      <c r="C404" s="158"/>
      <c r="D404" s="159"/>
      <c r="E404" s="159"/>
      <c r="F404" s="160"/>
      <c r="G404" s="160"/>
      <c r="H404" s="158"/>
      <c r="I404" s="158"/>
    </row>
    <row r="405">
      <c r="B405" s="158"/>
      <c r="C405" s="158"/>
      <c r="D405" s="159"/>
      <c r="E405" s="159"/>
      <c r="F405" s="160"/>
      <c r="G405" s="160"/>
      <c r="H405" s="158"/>
      <c r="I405" s="158"/>
    </row>
    <row r="406">
      <c r="B406" s="158"/>
      <c r="C406" s="158"/>
      <c r="D406" s="159"/>
      <c r="E406" s="159"/>
      <c r="F406" s="160"/>
      <c r="G406" s="160"/>
      <c r="H406" s="158"/>
      <c r="I406" s="158"/>
    </row>
    <row r="407">
      <c r="B407" s="158"/>
      <c r="C407" s="158"/>
      <c r="D407" s="159"/>
      <c r="E407" s="159"/>
      <c r="F407" s="160"/>
      <c r="G407" s="160"/>
      <c r="H407" s="158"/>
      <c r="I407" s="158"/>
    </row>
    <row r="408">
      <c r="B408" s="158"/>
      <c r="C408" s="158"/>
      <c r="D408" s="159"/>
      <c r="E408" s="159"/>
      <c r="F408" s="160"/>
      <c r="G408" s="160"/>
      <c r="H408" s="158"/>
      <c r="I408" s="158"/>
    </row>
    <row r="409">
      <c r="B409" s="158"/>
      <c r="C409" s="158"/>
      <c r="D409" s="159"/>
      <c r="E409" s="159"/>
      <c r="F409" s="160"/>
      <c r="G409" s="160"/>
      <c r="H409" s="158"/>
      <c r="I409" s="158"/>
    </row>
    <row r="410">
      <c r="B410" s="158"/>
      <c r="C410" s="158"/>
      <c r="D410" s="159"/>
      <c r="E410" s="159"/>
      <c r="F410" s="160"/>
      <c r="G410" s="160"/>
      <c r="H410" s="158"/>
      <c r="I410" s="158"/>
    </row>
    <row r="411">
      <c r="B411" s="158"/>
      <c r="C411" s="158"/>
      <c r="D411" s="159"/>
      <c r="E411" s="159"/>
      <c r="F411" s="160"/>
      <c r="G411" s="160"/>
      <c r="H411" s="158"/>
      <c r="I411" s="158"/>
    </row>
    <row r="412">
      <c r="B412" s="158"/>
      <c r="C412" s="158"/>
      <c r="D412" s="159"/>
      <c r="E412" s="159"/>
      <c r="F412" s="160"/>
      <c r="G412" s="160"/>
      <c r="H412" s="158"/>
      <c r="I412" s="158"/>
    </row>
    <row r="413">
      <c r="B413" s="158"/>
      <c r="C413" s="158"/>
      <c r="D413" s="159"/>
      <c r="E413" s="159"/>
      <c r="F413" s="160"/>
      <c r="G413" s="160"/>
      <c r="H413" s="158"/>
      <c r="I413" s="158"/>
    </row>
    <row r="414">
      <c r="B414" s="158"/>
      <c r="C414" s="158"/>
      <c r="D414" s="159"/>
      <c r="E414" s="159"/>
      <c r="F414" s="160"/>
      <c r="G414" s="160"/>
      <c r="H414" s="158"/>
      <c r="I414" s="158"/>
    </row>
    <row r="415">
      <c r="B415" s="158"/>
      <c r="C415" s="158"/>
      <c r="D415" s="159"/>
      <c r="E415" s="159"/>
      <c r="F415" s="160"/>
      <c r="G415" s="160"/>
      <c r="H415" s="158"/>
      <c r="I415" s="158"/>
    </row>
    <row r="416">
      <c r="B416" s="158"/>
      <c r="C416" s="158"/>
      <c r="D416" s="159"/>
      <c r="E416" s="159"/>
      <c r="F416" s="160"/>
      <c r="G416" s="160"/>
      <c r="H416" s="158"/>
      <c r="I416" s="158"/>
    </row>
    <row r="417">
      <c r="B417" s="158"/>
      <c r="C417" s="158"/>
      <c r="D417" s="159"/>
      <c r="E417" s="159"/>
      <c r="F417" s="160"/>
      <c r="G417" s="160"/>
      <c r="H417" s="158"/>
      <c r="I417" s="158"/>
    </row>
    <row r="418">
      <c r="B418" s="158"/>
      <c r="C418" s="158"/>
      <c r="D418" s="159"/>
      <c r="E418" s="159"/>
      <c r="F418" s="160"/>
      <c r="G418" s="160"/>
      <c r="H418" s="158"/>
      <c r="I418" s="158"/>
    </row>
    <row r="419">
      <c r="B419" s="158"/>
      <c r="C419" s="158"/>
      <c r="D419" s="159"/>
      <c r="E419" s="159"/>
      <c r="F419" s="160"/>
      <c r="G419" s="160"/>
      <c r="H419" s="158"/>
      <c r="I419" s="158"/>
    </row>
    <row r="420">
      <c r="B420" s="158"/>
      <c r="C420" s="158"/>
      <c r="D420" s="159"/>
      <c r="E420" s="159"/>
      <c r="F420" s="160"/>
      <c r="G420" s="160"/>
      <c r="H420" s="158"/>
      <c r="I420" s="158"/>
    </row>
    <row r="421">
      <c r="B421" s="158"/>
      <c r="C421" s="158"/>
      <c r="D421" s="159"/>
      <c r="E421" s="159"/>
      <c r="F421" s="160"/>
      <c r="G421" s="160"/>
      <c r="H421" s="158"/>
      <c r="I421" s="158"/>
    </row>
    <row r="422">
      <c r="B422" s="158"/>
      <c r="C422" s="158"/>
      <c r="D422" s="159"/>
      <c r="E422" s="159"/>
      <c r="F422" s="160"/>
      <c r="G422" s="160"/>
      <c r="H422" s="158"/>
      <c r="I422" s="158"/>
    </row>
    <row r="423">
      <c r="B423" s="158"/>
      <c r="C423" s="158"/>
      <c r="D423" s="159"/>
      <c r="E423" s="159"/>
      <c r="F423" s="160"/>
      <c r="G423" s="160"/>
      <c r="H423" s="158"/>
      <c r="I423" s="158"/>
    </row>
    <row r="424">
      <c r="B424" s="158"/>
      <c r="C424" s="158"/>
      <c r="D424" s="159"/>
      <c r="E424" s="159"/>
      <c r="F424" s="160"/>
      <c r="G424" s="160"/>
      <c r="H424" s="158"/>
      <c r="I424" s="158"/>
    </row>
    <row r="425">
      <c r="B425" s="158"/>
      <c r="C425" s="158"/>
      <c r="D425" s="159"/>
      <c r="E425" s="159"/>
      <c r="F425" s="160"/>
      <c r="G425" s="160"/>
      <c r="H425" s="158"/>
      <c r="I425" s="158"/>
    </row>
    <row r="426">
      <c r="B426" s="158"/>
      <c r="C426" s="158"/>
      <c r="D426" s="159"/>
      <c r="E426" s="159"/>
      <c r="F426" s="160"/>
      <c r="G426" s="160"/>
      <c r="H426" s="158"/>
      <c r="I426" s="158"/>
    </row>
    <row r="427">
      <c r="B427" s="158"/>
      <c r="C427" s="158"/>
      <c r="D427" s="159"/>
      <c r="E427" s="159"/>
      <c r="F427" s="160"/>
      <c r="G427" s="160"/>
      <c r="H427" s="158"/>
      <c r="I427" s="158"/>
    </row>
    <row r="428">
      <c r="B428" s="158"/>
      <c r="C428" s="158"/>
      <c r="D428" s="159"/>
      <c r="E428" s="159"/>
      <c r="F428" s="160"/>
      <c r="G428" s="160"/>
      <c r="H428" s="158"/>
      <c r="I428" s="158"/>
    </row>
    <row r="429">
      <c r="B429" s="158"/>
      <c r="C429" s="158"/>
      <c r="D429" s="159"/>
      <c r="E429" s="159"/>
      <c r="F429" s="160"/>
      <c r="G429" s="160"/>
      <c r="H429" s="158"/>
      <c r="I429" s="158"/>
    </row>
    <row r="430">
      <c r="B430" s="158"/>
      <c r="C430" s="158"/>
      <c r="D430" s="159"/>
      <c r="E430" s="159"/>
      <c r="F430" s="160"/>
      <c r="G430" s="160"/>
      <c r="H430" s="158"/>
      <c r="I430" s="158"/>
    </row>
    <row r="431">
      <c r="B431" s="158"/>
      <c r="C431" s="158"/>
      <c r="D431" s="159"/>
      <c r="E431" s="159"/>
      <c r="F431" s="160"/>
      <c r="G431" s="160"/>
      <c r="H431" s="158"/>
      <c r="I431" s="158"/>
    </row>
    <row r="432">
      <c r="B432" s="158"/>
      <c r="C432" s="158"/>
      <c r="D432" s="159"/>
      <c r="E432" s="159"/>
      <c r="F432" s="160"/>
      <c r="G432" s="160"/>
      <c r="H432" s="158"/>
      <c r="I432" s="158"/>
    </row>
    <row r="433">
      <c r="B433" s="158"/>
      <c r="C433" s="158"/>
      <c r="D433" s="159"/>
      <c r="E433" s="159"/>
      <c r="F433" s="160"/>
      <c r="G433" s="160"/>
      <c r="H433" s="158"/>
      <c r="I433" s="158"/>
    </row>
    <row r="434">
      <c r="B434" s="158"/>
      <c r="C434" s="158"/>
      <c r="D434" s="159"/>
      <c r="E434" s="159"/>
      <c r="F434" s="160"/>
      <c r="G434" s="160"/>
      <c r="H434" s="158"/>
      <c r="I434" s="158"/>
    </row>
    <row r="435">
      <c r="B435" s="158"/>
      <c r="C435" s="158"/>
      <c r="D435" s="159"/>
      <c r="E435" s="159"/>
      <c r="F435" s="160"/>
      <c r="G435" s="160"/>
      <c r="H435" s="158"/>
      <c r="I435" s="158"/>
    </row>
    <row r="436">
      <c r="B436" s="158"/>
      <c r="C436" s="158"/>
      <c r="D436" s="159"/>
      <c r="E436" s="159"/>
      <c r="F436" s="160"/>
      <c r="G436" s="160"/>
      <c r="H436" s="158"/>
      <c r="I436" s="158"/>
    </row>
    <row r="437">
      <c r="B437" s="158"/>
      <c r="C437" s="158"/>
      <c r="D437" s="159"/>
      <c r="E437" s="159"/>
      <c r="F437" s="160"/>
      <c r="G437" s="160"/>
      <c r="H437" s="158"/>
      <c r="I437" s="158"/>
    </row>
    <row r="438">
      <c r="B438" s="158"/>
      <c r="C438" s="158"/>
      <c r="D438" s="159"/>
      <c r="E438" s="159"/>
      <c r="F438" s="160"/>
      <c r="G438" s="160"/>
      <c r="H438" s="158"/>
      <c r="I438" s="158"/>
    </row>
    <row r="439">
      <c r="B439" s="158"/>
      <c r="C439" s="158"/>
      <c r="D439" s="159"/>
      <c r="E439" s="159"/>
      <c r="F439" s="160"/>
      <c r="G439" s="160"/>
      <c r="H439" s="158"/>
      <c r="I439" s="158"/>
    </row>
    <row r="440">
      <c r="B440" s="158"/>
      <c r="C440" s="158"/>
      <c r="D440" s="159"/>
      <c r="E440" s="159"/>
      <c r="F440" s="160"/>
      <c r="G440" s="160"/>
      <c r="H440" s="158"/>
      <c r="I440" s="158"/>
    </row>
    <row r="441">
      <c r="B441" s="158"/>
      <c r="C441" s="158"/>
      <c r="D441" s="159"/>
      <c r="E441" s="159"/>
      <c r="F441" s="160"/>
      <c r="G441" s="160"/>
      <c r="H441" s="158"/>
      <c r="I441" s="158"/>
    </row>
    <row r="442">
      <c r="B442" s="158"/>
      <c r="C442" s="158"/>
      <c r="D442" s="159"/>
      <c r="E442" s="159"/>
      <c r="F442" s="160"/>
      <c r="G442" s="160"/>
      <c r="H442" s="158"/>
      <c r="I442" s="158"/>
    </row>
    <row r="443">
      <c r="B443" s="158"/>
      <c r="C443" s="158"/>
      <c r="D443" s="159"/>
      <c r="E443" s="159"/>
      <c r="F443" s="160"/>
      <c r="G443" s="160"/>
      <c r="H443" s="158"/>
      <c r="I443" s="158"/>
    </row>
    <row r="444">
      <c r="B444" s="158"/>
      <c r="C444" s="158"/>
      <c r="D444" s="159"/>
      <c r="E444" s="159"/>
      <c r="F444" s="160"/>
      <c r="G444" s="160"/>
      <c r="H444" s="158"/>
      <c r="I444" s="158"/>
    </row>
    <row r="445">
      <c r="B445" s="158"/>
      <c r="C445" s="158"/>
      <c r="D445" s="159"/>
      <c r="E445" s="159"/>
      <c r="F445" s="160"/>
      <c r="G445" s="160"/>
      <c r="H445" s="158"/>
      <c r="I445" s="158"/>
    </row>
    <row r="446">
      <c r="B446" s="158"/>
      <c r="C446" s="158"/>
      <c r="D446" s="159"/>
      <c r="E446" s="159"/>
      <c r="F446" s="160"/>
      <c r="G446" s="160"/>
      <c r="H446" s="158"/>
      <c r="I446" s="158"/>
    </row>
    <row r="447">
      <c r="B447" s="158"/>
      <c r="C447" s="158"/>
      <c r="D447" s="159"/>
      <c r="E447" s="159"/>
      <c r="F447" s="160"/>
      <c r="G447" s="160"/>
      <c r="H447" s="158"/>
      <c r="I447" s="158"/>
    </row>
    <row r="448">
      <c r="B448" s="158"/>
      <c r="C448" s="158"/>
      <c r="D448" s="159"/>
      <c r="E448" s="159"/>
      <c r="F448" s="160"/>
      <c r="G448" s="160"/>
      <c r="H448" s="158"/>
      <c r="I448" s="158"/>
    </row>
    <row r="449">
      <c r="B449" s="158"/>
      <c r="C449" s="158"/>
      <c r="D449" s="159"/>
      <c r="E449" s="159"/>
      <c r="F449" s="160"/>
      <c r="G449" s="160"/>
      <c r="H449" s="158"/>
      <c r="I449" s="158"/>
    </row>
    <row r="450">
      <c r="B450" s="158"/>
      <c r="C450" s="158"/>
      <c r="D450" s="159"/>
      <c r="E450" s="159"/>
      <c r="F450" s="160"/>
      <c r="G450" s="160"/>
      <c r="H450" s="158"/>
      <c r="I450" s="158"/>
    </row>
    <row r="451">
      <c r="B451" s="158"/>
      <c r="C451" s="158"/>
      <c r="D451" s="159"/>
      <c r="E451" s="159"/>
      <c r="F451" s="160"/>
      <c r="G451" s="160"/>
      <c r="H451" s="158"/>
      <c r="I451" s="158"/>
    </row>
    <row r="452">
      <c r="B452" s="158"/>
      <c r="C452" s="158"/>
      <c r="D452" s="159"/>
      <c r="E452" s="159"/>
      <c r="F452" s="160"/>
      <c r="G452" s="160"/>
      <c r="H452" s="158"/>
      <c r="I452" s="158"/>
    </row>
    <row r="453">
      <c r="B453" s="158"/>
      <c r="C453" s="158"/>
      <c r="D453" s="159"/>
      <c r="E453" s="159"/>
      <c r="F453" s="160"/>
      <c r="G453" s="160"/>
      <c r="H453" s="158"/>
      <c r="I453" s="158"/>
    </row>
    <row r="454">
      <c r="B454" s="158"/>
      <c r="C454" s="158"/>
      <c r="D454" s="159"/>
      <c r="E454" s="159"/>
      <c r="F454" s="160"/>
      <c r="G454" s="160"/>
      <c r="H454" s="158"/>
      <c r="I454" s="158"/>
    </row>
    <row r="455">
      <c r="B455" s="158"/>
      <c r="C455" s="158"/>
      <c r="D455" s="159"/>
      <c r="E455" s="159"/>
      <c r="F455" s="160"/>
      <c r="G455" s="160"/>
      <c r="H455" s="158"/>
      <c r="I455" s="158"/>
    </row>
    <row r="456">
      <c r="B456" s="158"/>
      <c r="C456" s="158"/>
      <c r="D456" s="159"/>
      <c r="E456" s="159"/>
      <c r="F456" s="160"/>
      <c r="G456" s="160"/>
      <c r="H456" s="158"/>
      <c r="I456" s="158"/>
    </row>
    <row r="457">
      <c r="B457" s="158"/>
      <c r="C457" s="158"/>
      <c r="D457" s="159"/>
      <c r="E457" s="159"/>
      <c r="F457" s="160"/>
      <c r="G457" s="160"/>
      <c r="H457" s="158"/>
      <c r="I457" s="158"/>
    </row>
    <row r="458">
      <c r="B458" s="158"/>
      <c r="C458" s="158"/>
      <c r="D458" s="159"/>
      <c r="E458" s="159"/>
      <c r="F458" s="160"/>
      <c r="G458" s="160"/>
      <c r="H458" s="158"/>
      <c r="I458" s="158"/>
    </row>
    <row r="459">
      <c r="B459" s="158"/>
      <c r="C459" s="158"/>
      <c r="D459" s="159"/>
      <c r="E459" s="159"/>
      <c r="F459" s="160"/>
      <c r="G459" s="160"/>
      <c r="H459" s="158"/>
      <c r="I459" s="158"/>
    </row>
    <row r="460">
      <c r="B460" s="158"/>
      <c r="C460" s="158"/>
      <c r="D460" s="159"/>
      <c r="E460" s="159"/>
      <c r="F460" s="160"/>
      <c r="G460" s="160"/>
      <c r="H460" s="158"/>
      <c r="I460" s="158"/>
    </row>
    <row r="461">
      <c r="B461" s="158"/>
      <c r="C461" s="158"/>
      <c r="D461" s="159"/>
      <c r="E461" s="159"/>
      <c r="F461" s="160"/>
      <c r="G461" s="160"/>
      <c r="H461" s="158"/>
      <c r="I461" s="158"/>
    </row>
    <row r="462">
      <c r="B462" s="158"/>
      <c r="C462" s="158"/>
      <c r="D462" s="159"/>
      <c r="E462" s="159"/>
      <c r="F462" s="160"/>
      <c r="G462" s="160"/>
      <c r="H462" s="158"/>
      <c r="I462" s="158"/>
    </row>
    <row r="463">
      <c r="B463" s="158"/>
      <c r="C463" s="158"/>
      <c r="D463" s="159"/>
      <c r="E463" s="159"/>
      <c r="F463" s="160"/>
      <c r="G463" s="160"/>
      <c r="H463" s="158"/>
      <c r="I463" s="158"/>
    </row>
    <row r="464">
      <c r="B464" s="158"/>
      <c r="C464" s="158"/>
      <c r="D464" s="159"/>
      <c r="E464" s="159"/>
      <c r="F464" s="160"/>
      <c r="G464" s="160"/>
      <c r="H464" s="158"/>
      <c r="I464" s="158"/>
    </row>
    <row r="465">
      <c r="B465" s="158"/>
      <c r="C465" s="158"/>
      <c r="D465" s="159"/>
      <c r="E465" s="159"/>
      <c r="F465" s="160"/>
      <c r="G465" s="160"/>
      <c r="H465" s="158"/>
      <c r="I465" s="158"/>
    </row>
    <row r="466">
      <c r="B466" s="158"/>
      <c r="C466" s="158"/>
      <c r="D466" s="159"/>
      <c r="E466" s="159"/>
      <c r="F466" s="160"/>
      <c r="G466" s="160"/>
      <c r="H466" s="158"/>
      <c r="I466" s="158"/>
    </row>
    <row r="467">
      <c r="B467" s="158"/>
      <c r="C467" s="158"/>
      <c r="D467" s="159"/>
      <c r="E467" s="159"/>
      <c r="F467" s="160"/>
      <c r="G467" s="160"/>
      <c r="H467" s="158"/>
      <c r="I467" s="158"/>
    </row>
    <row r="468">
      <c r="B468" s="158"/>
      <c r="C468" s="158"/>
      <c r="D468" s="159"/>
      <c r="E468" s="159"/>
      <c r="F468" s="160"/>
      <c r="G468" s="160"/>
      <c r="H468" s="158"/>
      <c r="I468" s="158"/>
    </row>
    <row r="469">
      <c r="B469" s="158"/>
      <c r="C469" s="158"/>
      <c r="D469" s="159"/>
      <c r="E469" s="159"/>
      <c r="F469" s="160"/>
      <c r="G469" s="160"/>
      <c r="H469" s="158"/>
      <c r="I469" s="158"/>
    </row>
    <row r="470">
      <c r="B470" s="158"/>
      <c r="C470" s="158"/>
      <c r="D470" s="159"/>
      <c r="E470" s="159"/>
      <c r="F470" s="160"/>
      <c r="G470" s="160"/>
      <c r="H470" s="158"/>
      <c r="I470" s="158"/>
    </row>
    <row r="471">
      <c r="B471" s="158"/>
      <c r="C471" s="158"/>
      <c r="D471" s="159"/>
      <c r="E471" s="159"/>
      <c r="F471" s="160"/>
      <c r="G471" s="160"/>
      <c r="H471" s="158"/>
      <c r="I471" s="158"/>
    </row>
    <row r="472">
      <c r="B472" s="158"/>
      <c r="C472" s="158"/>
      <c r="D472" s="159"/>
      <c r="E472" s="159"/>
      <c r="F472" s="160"/>
      <c r="G472" s="160"/>
      <c r="H472" s="158"/>
      <c r="I472" s="158"/>
    </row>
    <row r="473">
      <c r="B473" s="158"/>
      <c r="C473" s="158"/>
      <c r="D473" s="159"/>
      <c r="E473" s="159"/>
      <c r="F473" s="160"/>
      <c r="G473" s="160"/>
      <c r="H473" s="158"/>
      <c r="I473" s="158"/>
    </row>
    <row r="474">
      <c r="B474" s="158"/>
      <c r="C474" s="158"/>
      <c r="D474" s="159"/>
      <c r="E474" s="159"/>
      <c r="F474" s="160"/>
      <c r="G474" s="160"/>
      <c r="H474" s="158"/>
      <c r="I474" s="158"/>
    </row>
    <row r="475">
      <c r="B475" s="158"/>
      <c r="C475" s="158"/>
      <c r="D475" s="159"/>
      <c r="E475" s="159"/>
      <c r="F475" s="160"/>
      <c r="G475" s="160"/>
      <c r="H475" s="158"/>
      <c r="I475" s="158"/>
    </row>
    <row r="476">
      <c r="B476" s="158"/>
      <c r="C476" s="158"/>
      <c r="D476" s="159"/>
      <c r="E476" s="159"/>
      <c r="F476" s="160"/>
      <c r="G476" s="160"/>
      <c r="H476" s="158"/>
      <c r="I476" s="158"/>
    </row>
    <row r="477">
      <c r="B477" s="158"/>
      <c r="C477" s="158"/>
      <c r="D477" s="159"/>
      <c r="E477" s="159"/>
      <c r="F477" s="160"/>
      <c r="G477" s="160"/>
      <c r="H477" s="158"/>
      <c r="I477" s="158"/>
    </row>
    <row r="478">
      <c r="B478" s="158"/>
      <c r="C478" s="158"/>
      <c r="D478" s="159"/>
      <c r="E478" s="159"/>
      <c r="F478" s="160"/>
      <c r="G478" s="160"/>
      <c r="H478" s="158"/>
      <c r="I478" s="158"/>
    </row>
    <row r="479">
      <c r="B479" s="158"/>
      <c r="C479" s="158"/>
      <c r="D479" s="159"/>
      <c r="E479" s="159"/>
      <c r="F479" s="160"/>
      <c r="G479" s="160"/>
      <c r="H479" s="158"/>
      <c r="I479" s="158"/>
    </row>
    <row r="480">
      <c r="B480" s="158"/>
      <c r="C480" s="158"/>
      <c r="D480" s="159"/>
      <c r="E480" s="159"/>
      <c r="F480" s="160"/>
      <c r="G480" s="160"/>
      <c r="H480" s="158"/>
      <c r="I480" s="158"/>
    </row>
    <row r="481">
      <c r="B481" s="158"/>
      <c r="C481" s="158"/>
      <c r="D481" s="159"/>
      <c r="E481" s="159"/>
      <c r="F481" s="160"/>
      <c r="G481" s="160"/>
      <c r="H481" s="158"/>
      <c r="I481" s="158"/>
    </row>
    <row r="482">
      <c r="B482" s="158"/>
      <c r="C482" s="158"/>
      <c r="D482" s="159"/>
      <c r="E482" s="159"/>
      <c r="F482" s="160"/>
      <c r="G482" s="160"/>
      <c r="H482" s="158"/>
      <c r="I482" s="158"/>
    </row>
    <row r="483">
      <c r="B483" s="158"/>
      <c r="C483" s="158"/>
      <c r="D483" s="159"/>
      <c r="E483" s="159"/>
      <c r="F483" s="160"/>
      <c r="G483" s="160"/>
      <c r="H483" s="158"/>
      <c r="I483" s="158"/>
    </row>
    <row r="484">
      <c r="B484" s="158"/>
      <c r="C484" s="158"/>
      <c r="D484" s="159"/>
      <c r="E484" s="159"/>
      <c r="F484" s="160"/>
      <c r="G484" s="160"/>
      <c r="H484" s="158"/>
      <c r="I484" s="158"/>
    </row>
    <row r="485">
      <c r="B485" s="158"/>
      <c r="C485" s="158"/>
      <c r="D485" s="159"/>
      <c r="E485" s="159"/>
      <c r="F485" s="160"/>
      <c r="G485" s="160"/>
      <c r="H485" s="158"/>
      <c r="I485" s="158"/>
    </row>
    <row r="486">
      <c r="B486" s="158"/>
      <c r="C486" s="158"/>
      <c r="D486" s="159"/>
      <c r="E486" s="159"/>
      <c r="F486" s="160"/>
      <c r="G486" s="160"/>
      <c r="H486" s="158"/>
      <c r="I486" s="158"/>
    </row>
    <row r="487">
      <c r="B487" s="158"/>
      <c r="C487" s="158"/>
      <c r="D487" s="159"/>
      <c r="E487" s="159"/>
      <c r="F487" s="160"/>
      <c r="G487" s="160"/>
      <c r="H487" s="158"/>
      <c r="I487" s="158"/>
    </row>
    <row r="488">
      <c r="B488" s="158"/>
      <c r="C488" s="158"/>
      <c r="D488" s="159"/>
      <c r="E488" s="159"/>
      <c r="F488" s="160"/>
      <c r="G488" s="160"/>
      <c r="H488" s="158"/>
      <c r="I488" s="158"/>
    </row>
    <row r="489">
      <c r="B489" s="158"/>
      <c r="C489" s="158"/>
      <c r="D489" s="159"/>
      <c r="E489" s="159"/>
      <c r="F489" s="160"/>
      <c r="G489" s="160"/>
      <c r="H489" s="158"/>
      <c r="I489" s="158"/>
    </row>
    <row r="490">
      <c r="B490" s="158"/>
      <c r="C490" s="158"/>
      <c r="D490" s="159"/>
      <c r="E490" s="159"/>
      <c r="F490" s="160"/>
      <c r="G490" s="160"/>
      <c r="H490" s="158"/>
      <c r="I490" s="158"/>
    </row>
    <row r="491">
      <c r="B491" s="158"/>
      <c r="C491" s="158"/>
      <c r="D491" s="159"/>
      <c r="E491" s="159"/>
      <c r="F491" s="160"/>
      <c r="G491" s="160"/>
      <c r="H491" s="158"/>
      <c r="I491" s="158"/>
    </row>
    <row r="492">
      <c r="B492" s="158"/>
      <c r="C492" s="158"/>
      <c r="D492" s="159"/>
      <c r="E492" s="159"/>
      <c r="F492" s="160"/>
      <c r="G492" s="160"/>
      <c r="H492" s="158"/>
      <c r="I492" s="158"/>
    </row>
    <row r="493">
      <c r="B493" s="158"/>
      <c r="C493" s="158"/>
      <c r="D493" s="159"/>
      <c r="E493" s="159"/>
      <c r="F493" s="160"/>
      <c r="G493" s="160"/>
      <c r="H493" s="158"/>
      <c r="I493" s="158"/>
    </row>
    <row r="494">
      <c r="B494" s="158"/>
      <c r="C494" s="158"/>
      <c r="D494" s="159"/>
      <c r="E494" s="159"/>
      <c r="F494" s="160"/>
      <c r="G494" s="160"/>
      <c r="H494" s="158"/>
      <c r="I494" s="158"/>
    </row>
    <row r="495">
      <c r="B495" s="158"/>
      <c r="C495" s="158"/>
      <c r="D495" s="159"/>
      <c r="E495" s="159"/>
      <c r="F495" s="160"/>
      <c r="G495" s="160"/>
      <c r="H495" s="158"/>
      <c r="I495" s="158"/>
    </row>
    <row r="496">
      <c r="B496" s="158"/>
      <c r="C496" s="158"/>
      <c r="D496" s="159"/>
      <c r="E496" s="159"/>
      <c r="F496" s="160"/>
      <c r="G496" s="160"/>
      <c r="H496" s="158"/>
      <c r="I496" s="158"/>
    </row>
    <row r="497">
      <c r="B497" s="158"/>
      <c r="C497" s="158"/>
      <c r="D497" s="159"/>
      <c r="E497" s="159"/>
      <c r="F497" s="160"/>
      <c r="G497" s="160"/>
      <c r="H497" s="158"/>
      <c r="I497" s="158"/>
    </row>
    <row r="498">
      <c r="B498" s="158"/>
      <c r="C498" s="158"/>
      <c r="D498" s="159"/>
      <c r="E498" s="159"/>
      <c r="F498" s="160"/>
      <c r="G498" s="160"/>
      <c r="H498" s="158"/>
      <c r="I498" s="158"/>
    </row>
    <row r="499">
      <c r="B499" s="158"/>
      <c r="C499" s="158"/>
      <c r="D499" s="159"/>
      <c r="E499" s="159"/>
      <c r="F499" s="160"/>
      <c r="G499" s="160"/>
      <c r="H499" s="158"/>
      <c r="I499" s="158"/>
    </row>
    <row r="500">
      <c r="B500" s="158"/>
      <c r="C500" s="158"/>
      <c r="D500" s="159"/>
      <c r="E500" s="159"/>
      <c r="F500" s="160"/>
      <c r="G500" s="160"/>
      <c r="H500" s="158"/>
      <c r="I500" s="158"/>
    </row>
    <row r="501">
      <c r="B501" s="158"/>
      <c r="C501" s="158"/>
      <c r="D501" s="159"/>
      <c r="E501" s="159"/>
      <c r="F501" s="160"/>
      <c r="G501" s="160"/>
      <c r="H501" s="158"/>
      <c r="I501" s="158"/>
    </row>
    <row r="502">
      <c r="B502" s="158"/>
      <c r="C502" s="158"/>
      <c r="D502" s="159"/>
      <c r="E502" s="159"/>
      <c r="F502" s="160"/>
      <c r="G502" s="160"/>
      <c r="H502" s="158"/>
      <c r="I502" s="158"/>
    </row>
    <row r="503">
      <c r="B503" s="158"/>
      <c r="C503" s="158"/>
      <c r="D503" s="159"/>
      <c r="E503" s="159"/>
      <c r="F503" s="160"/>
      <c r="G503" s="160"/>
      <c r="H503" s="158"/>
      <c r="I503" s="158"/>
    </row>
    <row r="504">
      <c r="B504" s="158"/>
      <c r="C504" s="158"/>
      <c r="D504" s="159"/>
      <c r="E504" s="159"/>
      <c r="F504" s="160"/>
      <c r="G504" s="160"/>
      <c r="H504" s="158"/>
      <c r="I504" s="158"/>
    </row>
    <row r="505">
      <c r="B505" s="158"/>
      <c r="C505" s="158"/>
      <c r="D505" s="159"/>
      <c r="E505" s="159"/>
      <c r="F505" s="160"/>
      <c r="G505" s="160"/>
      <c r="H505" s="158"/>
      <c r="I505" s="158"/>
    </row>
    <row r="506">
      <c r="B506" s="158"/>
      <c r="C506" s="158"/>
      <c r="D506" s="159"/>
      <c r="E506" s="159"/>
      <c r="F506" s="160"/>
      <c r="G506" s="160"/>
      <c r="H506" s="158"/>
      <c r="I506" s="158"/>
    </row>
    <row r="507">
      <c r="B507" s="158"/>
      <c r="C507" s="158"/>
      <c r="D507" s="159"/>
      <c r="E507" s="159"/>
      <c r="F507" s="160"/>
      <c r="G507" s="160"/>
      <c r="H507" s="158"/>
      <c r="I507" s="158"/>
    </row>
    <row r="508">
      <c r="B508" s="158"/>
      <c r="C508" s="158"/>
      <c r="D508" s="159"/>
      <c r="E508" s="159"/>
      <c r="F508" s="160"/>
      <c r="G508" s="160"/>
      <c r="H508" s="158"/>
      <c r="I508" s="158"/>
    </row>
    <row r="509">
      <c r="B509" s="158"/>
      <c r="C509" s="158"/>
      <c r="D509" s="159"/>
      <c r="E509" s="159"/>
      <c r="F509" s="160"/>
      <c r="G509" s="160"/>
      <c r="H509" s="158"/>
      <c r="I509" s="158"/>
    </row>
    <row r="510">
      <c r="B510" s="158"/>
      <c r="C510" s="158"/>
      <c r="D510" s="159"/>
      <c r="E510" s="159"/>
      <c r="F510" s="160"/>
      <c r="G510" s="160"/>
      <c r="H510" s="158"/>
      <c r="I510" s="158"/>
    </row>
    <row r="511">
      <c r="B511" s="158"/>
      <c r="C511" s="158"/>
      <c r="D511" s="159"/>
      <c r="E511" s="159"/>
      <c r="F511" s="160"/>
      <c r="G511" s="160"/>
      <c r="H511" s="158"/>
      <c r="I511" s="158"/>
    </row>
    <row r="512">
      <c r="B512" s="158"/>
      <c r="C512" s="158"/>
      <c r="D512" s="159"/>
      <c r="E512" s="159"/>
      <c r="F512" s="160"/>
      <c r="G512" s="160"/>
      <c r="H512" s="158"/>
      <c r="I512" s="158"/>
    </row>
    <row r="513">
      <c r="B513" s="158"/>
      <c r="C513" s="158"/>
      <c r="D513" s="159"/>
      <c r="E513" s="159"/>
      <c r="F513" s="160"/>
      <c r="G513" s="160"/>
      <c r="H513" s="158"/>
      <c r="I513" s="158"/>
    </row>
    <row r="514">
      <c r="B514" s="158"/>
      <c r="C514" s="158"/>
      <c r="D514" s="159"/>
      <c r="E514" s="159"/>
      <c r="F514" s="160"/>
      <c r="G514" s="160"/>
      <c r="H514" s="158"/>
      <c r="I514" s="158"/>
    </row>
    <row r="515">
      <c r="B515" s="158"/>
      <c r="C515" s="158"/>
      <c r="D515" s="159"/>
      <c r="E515" s="159"/>
      <c r="F515" s="160"/>
      <c r="G515" s="160"/>
      <c r="H515" s="158"/>
      <c r="I515" s="158"/>
    </row>
    <row r="516">
      <c r="B516" s="158"/>
      <c r="C516" s="158"/>
      <c r="D516" s="159"/>
      <c r="E516" s="159"/>
      <c r="F516" s="160"/>
      <c r="G516" s="160"/>
      <c r="H516" s="158"/>
      <c r="I516" s="158"/>
    </row>
    <row r="517">
      <c r="B517" s="158"/>
      <c r="C517" s="158"/>
      <c r="D517" s="159"/>
      <c r="E517" s="159"/>
      <c r="F517" s="160"/>
      <c r="G517" s="160"/>
      <c r="H517" s="158"/>
      <c r="I517" s="158"/>
    </row>
    <row r="518">
      <c r="B518" s="158"/>
      <c r="C518" s="158"/>
      <c r="D518" s="159"/>
      <c r="E518" s="159"/>
      <c r="F518" s="160"/>
      <c r="G518" s="160"/>
      <c r="H518" s="158"/>
      <c r="I518" s="158"/>
    </row>
    <row r="519">
      <c r="B519" s="158"/>
      <c r="C519" s="158"/>
      <c r="D519" s="159"/>
      <c r="E519" s="159"/>
      <c r="F519" s="160"/>
      <c r="G519" s="160"/>
      <c r="H519" s="158"/>
      <c r="I519" s="158"/>
    </row>
    <row r="520">
      <c r="B520" s="158"/>
      <c r="C520" s="158"/>
      <c r="D520" s="159"/>
      <c r="E520" s="159"/>
      <c r="F520" s="160"/>
      <c r="G520" s="160"/>
      <c r="H520" s="158"/>
      <c r="I520" s="158"/>
    </row>
    <row r="521">
      <c r="B521" s="158"/>
      <c r="C521" s="158"/>
      <c r="D521" s="159"/>
      <c r="E521" s="159"/>
      <c r="F521" s="160"/>
      <c r="G521" s="160"/>
      <c r="H521" s="158"/>
      <c r="I521" s="158"/>
    </row>
    <row r="522">
      <c r="B522" s="158"/>
      <c r="C522" s="158"/>
      <c r="D522" s="159"/>
      <c r="E522" s="159"/>
      <c r="F522" s="160"/>
      <c r="G522" s="160"/>
      <c r="H522" s="158"/>
      <c r="I522" s="158"/>
    </row>
    <row r="523">
      <c r="B523" s="158"/>
      <c r="C523" s="158"/>
      <c r="D523" s="159"/>
      <c r="E523" s="159"/>
      <c r="F523" s="160"/>
      <c r="G523" s="160"/>
      <c r="H523" s="158"/>
      <c r="I523" s="158"/>
    </row>
    <row r="524">
      <c r="B524" s="158"/>
      <c r="C524" s="158"/>
      <c r="D524" s="159"/>
      <c r="E524" s="159"/>
      <c r="F524" s="160"/>
      <c r="G524" s="160"/>
      <c r="H524" s="158"/>
      <c r="I524" s="158"/>
    </row>
    <row r="525">
      <c r="B525" s="158"/>
      <c r="C525" s="158"/>
      <c r="D525" s="159"/>
      <c r="E525" s="159"/>
      <c r="F525" s="160"/>
      <c r="G525" s="160"/>
      <c r="H525" s="158"/>
      <c r="I525" s="158"/>
    </row>
    <row r="526">
      <c r="B526" s="158"/>
      <c r="C526" s="158"/>
      <c r="D526" s="159"/>
      <c r="E526" s="159"/>
      <c r="F526" s="160"/>
      <c r="G526" s="160"/>
      <c r="H526" s="158"/>
      <c r="I526" s="158"/>
    </row>
    <row r="527">
      <c r="B527" s="158"/>
      <c r="C527" s="158"/>
      <c r="D527" s="159"/>
      <c r="E527" s="159"/>
      <c r="F527" s="160"/>
      <c r="G527" s="160"/>
      <c r="H527" s="158"/>
      <c r="I527" s="158"/>
    </row>
    <row r="528">
      <c r="B528" s="158"/>
      <c r="C528" s="158"/>
      <c r="D528" s="159"/>
      <c r="E528" s="159"/>
      <c r="F528" s="160"/>
      <c r="G528" s="160"/>
      <c r="H528" s="158"/>
      <c r="I528" s="158"/>
    </row>
    <row r="529">
      <c r="B529" s="158"/>
      <c r="C529" s="158"/>
      <c r="D529" s="159"/>
      <c r="E529" s="159"/>
      <c r="F529" s="160"/>
      <c r="G529" s="160"/>
      <c r="H529" s="158"/>
      <c r="I529" s="158"/>
    </row>
    <row r="530">
      <c r="B530" s="158"/>
      <c r="C530" s="158"/>
      <c r="D530" s="159"/>
      <c r="E530" s="159"/>
      <c r="F530" s="160"/>
      <c r="G530" s="160"/>
      <c r="H530" s="158"/>
      <c r="I530" s="158"/>
    </row>
    <row r="531">
      <c r="B531" s="158"/>
      <c r="C531" s="158"/>
      <c r="D531" s="159"/>
      <c r="E531" s="159"/>
      <c r="F531" s="160"/>
      <c r="G531" s="160"/>
      <c r="H531" s="158"/>
      <c r="I531" s="158"/>
    </row>
    <row r="532">
      <c r="B532" s="158"/>
      <c r="C532" s="158"/>
      <c r="D532" s="159"/>
      <c r="E532" s="159"/>
      <c r="F532" s="160"/>
      <c r="G532" s="160"/>
      <c r="H532" s="158"/>
      <c r="I532" s="158"/>
    </row>
    <row r="533">
      <c r="B533" s="158"/>
      <c r="C533" s="158"/>
      <c r="D533" s="159"/>
      <c r="E533" s="159"/>
      <c r="F533" s="160"/>
      <c r="G533" s="160"/>
      <c r="H533" s="158"/>
      <c r="I533" s="158"/>
    </row>
    <row r="534">
      <c r="B534" s="158"/>
      <c r="C534" s="158"/>
      <c r="D534" s="159"/>
      <c r="E534" s="159"/>
      <c r="F534" s="160"/>
      <c r="G534" s="160"/>
      <c r="H534" s="158"/>
      <c r="I534" s="158"/>
    </row>
    <row r="535">
      <c r="B535" s="158"/>
      <c r="C535" s="158"/>
      <c r="D535" s="159"/>
      <c r="E535" s="159"/>
      <c r="F535" s="160"/>
      <c r="G535" s="160"/>
      <c r="H535" s="158"/>
      <c r="I535" s="158"/>
    </row>
    <row r="536">
      <c r="B536" s="158"/>
      <c r="C536" s="158"/>
      <c r="D536" s="159"/>
      <c r="E536" s="159"/>
      <c r="F536" s="160"/>
      <c r="G536" s="160"/>
      <c r="H536" s="158"/>
      <c r="I536" s="158"/>
    </row>
    <row r="537">
      <c r="B537" s="158"/>
      <c r="C537" s="158"/>
      <c r="D537" s="159"/>
      <c r="E537" s="159"/>
      <c r="F537" s="160"/>
      <c r="G537" s="160"/>
      <c r="H537" s="158"/>
      <c r="I537" s="158"/>
    </row>
    <row r="538">
      <c r="B538" s="158"/>
      <c r="C538" s="158"/>
      <c r="D538" s="159"/>
      <c r="E538" s="159"/>
      <c r="F538" s="160"/>
      <c r="G538" s="160"/>
      <c r="H538" s="158"/>
      <c r="I538" s="158"/>
    </row>
    <row r="539">
      <c r="B539" s="158"/>
      <c r="C539" s="158"/>
      <c r="D539" s="159"/>
      <c r="E539" s="159"/>
      <c r="F539" s="160"/>
      <c r="G539" s="160"/>
      <c r="H539" s="158"/>
      <c r="I539" s="158"/>
    </row>
    <row r="540">
      <c r="B540" s="158"/>
      <c r="C540" s="158"/>
      <c r="D540" s="159"/>
      <c r="E540" s="159"/>
      <c r="F540" s="160"/>
      <c r="G540" s="160"/>
      <c r="H540" s="158"/>
      <c r="I540" s="158"/>
    </row>
    <row r="541">
      <c r="B541" s="158"/>
      <c r="C541" s="158"/>
      <c r="D541" s="159"/>
      <c r="E541" s="159"/>
      <c r="F541" s="160"/>
      <c r="G541" s="160"/>
      <c r="H541" s="158"/>
      <c r="I541" s="158"/>
    </row>
    <row r="542">
      <c r="B542" s="158"/>
      <c r="C542" s="158"/>
      <c r="D542" s="159"/>
      <c r="E542" s="159"/>
      <c r="F542" s="160"/>
      <c r="G542" s="160"/>
      <c r="H542" s="158"/>
      <c r="I542" s="158"/>
    </row>
    <row r="543">
      <c r="B543" s="158"/>
      <c r="C543" s="158"/>
      <c r="D543" s="159"/>
      <c r="E543" s="159"/>
      <c r="F543" s="160"/>
      <c r="G543" s="160"/>
      <c r="H543" s="158"/>
      <c r="I543" s="158"/>
    </row>
    <row r="544">
      <c r="B544" s="158"/>
      <c r="C544" s="158"/>
      <c r="D544" s="159"/>
      <c r="E544" s="159"/>
      <c r="F544" s="160"/>
      <c r="G544" s="160"/>
      <c r="H544" s="158"/>
      <c r="I544" s="158"/>
    </row>
    <row r="545">
      <c r="B545" s="158"/>
      <c r="C545" s="158"/>
      <c r="D545" s="159"/>
      <c r="E545" s="159"/>
      <c r="F545" s="160"/>
      <c r="G545" s="160"/>
      <c r="H545" s="158"/>
      <c r="I545" s="158"/>
    </row>
    <row r="546">
      <c r="B546" s="158"/>
      <c r="C546" s="158"/>
      <c r="D546" s="159"/>
      <c r="E546" s="159"/>
      <c r="F546" s="160"/>
      <c r="G546" s="160"/>
      <c r="H546" s="158"/>
      <c r="I546" s="158"/>
    </row>
    <row r="547">
      <c r="B547" s="158"/>
      <c r="C547" s="158"/>
      <c r="D547" s="159"/>
      <c r="E547" s="159"/>
      <c r="F547" s="160"/>
      <c r="G547" s="160"/>
      <c r="H547" s="158"/>
      <c r="I547" s="158"/>
    </row>
    <row r="548">
      <c r="B548" s="158"/>
      <c r="C548" s="158"/>
      <c r="D548" s="159"/>
      <c r="E548" s="159"/>
      <c r="F548" s="160"/>
      <c r="G548" s="160"/>
      <c r="H548" s="158"/>
      <c r="I548" s="158"/>
    </row>
    <row r="549">
      <c r="B549" s="158"/>
      <c r="C549" s="158"/>
      <c r="D549" s="159"/>
      <c r="E549" s="159"/>
      <c r="F549" s="160"/>
      <c r="G549" s="160"/>
      <c r="H549" s="158"/>
      <c r="I549" s="158"/>
    </row>
    <row r="550">
      <c r="B550" s="158"/>
      <c r="C550" s="158"/>
      <c r="D550" s="159"/>
      <c r="E550" s="159"/>
      <c r="F550" s="160"/>
      <c r="G550" s="160"/>
      <c r="H550" s="158"/>
      <c r="I550" s="158"/>
    </row>
    <row r="551">
      <c r="B551" s="158"/>
      <c r="C551" s="158"/>
      <c r="D551" s="159"/>
      <c r="E551" s="159"/>
      <c r="F551" s="160"/>
      <c r="G551" s="160"/>
      <c r="H551" s="158"/>
      <c r="I551" s="158"/>
    </row>
    <row r="552">
      <c r="B552" s="158"/>
      <c r="C552" s="158"/>
      <c r="D552" s="159"/>
      <c r="E552" s="159"/>
      <c r="F552" s="160"/>
      <c r="G552" s="160"/>
      <c r="H552" s="158"/>
      <c r="I552" s="158"/>
    </row>
    <row r="553">
      <c r="B553" s="158"/>
      <c r="C553" s="158"/>
      <c r="D553" s="159"/>
      <c r="E553" s="159"/>
      <c r="F553" s="160"/>
      <c r="G553" s="160"/>
      <c r="H553" s="158"/>
      <c r="I553" s="158"/>
    </row>
    <row r="554">
      <c r="B554" s="158"/>
      <c r="C554" s="158"/>
      <c r="D554" s="159"/>
      <c r="E554" s="159"/>
      <c r="F554" s="160"/>
      <c r="G554" s="160"/>
      <c r="H554" s="158"/>
      <c r="I554" s="158"/>
    </row>
    <row r="555">
      <c r="B555" s="158"/>
      <c r="C555" s="158"/>
      <c r="D555" s="159"/>
      <c r="E555" s="159"/>
      <c r="F555" s="160"/>
      <c r="G555" s="160"/>
      <c r="H555" s="158"/>
      <c r="I555" s="158"/>
    </row>
    <row r="556">
      <c r="B556" s="158"/>
      <c r="C556" s="158"/>
      <c r="D556" s="159"/>
      <c r="E556" s="159"/>
      <c r="F556" s="160"/>
      <c r="G556" s="160"/>
      <c r="H556" s="158"/>
      <c r="I556" s="158"/>
    </row>
    <row r="557">
      <c r="B557" s="158"/>
      <c r="C557" s="158"/>
      <c r="D557" s="159"/>
      <c r="E557" s="159"/>
      <c r="F557" s="160"/>
      <c r="G557" s="160"/>
      <c r="H557" s="158"/>
      <c r="I557" s="158"/>
    </row>
    <row r="558">
      <c r="B558" s="158"/>
      <c r="C558" s="158"/>
      <c r="D558" s="159"/>
      <c r="E558" s="159"/>
      <c r="F558" s="160"/>
      <c r="G558" s="160"/>
      <c r="H558" s="158"/>
      <c r="I558" s="158"/>
    </row>
    <row r="559">
      <c r="B559" s="158"/>
      <c r="C559" s="158"/>
      <c r="D559" s="159"/>
      <c r="E559" s="159"/>
      <c r="F559" s="160"/>
      <c r="G559" s="160"/>
      <c r="H559" s="158"/>
      <c r="I559" s="158"/>
    </row>
    <row r="560">
      <c r="B560" s="158"/>
      <c r="C560" s="158"/>
      <c r="D560" s="159"/>
      <c r="E560" s="159"/>
      <c r="F560" s="160"/>
      <c r="G560" s="160"/>
      <c r="H560" s="158"/>
      <c r="I560" s="158"/>
    </row>
    <row r="561">
      <c r="B561" s="158"/>
      <c r="C561" s="158"/>
      <c r="D561" s="159"/>
      <c r="E561" s="159"/>
      <c r="F561" s="160"/>
      <c r="G561" s="160"/>
      <c r="H561" s="158"/>
      <c r="I561" s="158"/>
    </row>
    <row r="562">
      <c r="B562" s="158"/>
      <c r="C562" s="158"/>
      <c r="D562" s="159"/>
      <c r="E562" s="159"/>
      <c r="F562" s="160"/>
      <c r="G562" s="160"/>
      <c r="H562" s="158"/>
      <c r="I562" s="158"/>
    </row>
    <row r="563">
      <c r="B563" s="158"/>
      <c r="C563" s="158"/>
      <c r="D563" s="159"/>
      <c r="E563" s="159"/>
      <c r="F563" s="160"/>
      <c r="G563" s="160"/>
      <c r="H563" s="158"/>
      <c r="I563" s="158"/>
    </row>
    <row r="564">
      <c r="B564" s="158"/>
      <c r="C564" s="158"/>
      <c r="D564" s="159"/>
      <c r="E564" s="159"/>
      <c r="F564" s="160"/>
      <c r="G564" s="160"/>
      <c r="H564" s="158"/>
      <c r="I564" s="158"/>
    </row>
    <row r="565">
      <c r="B565" s="158"/>
      <c r="C565" s="158"/>
      <c r="D565" s="159"/>
      <c r="E565" s="159"/>
      <c r="F565" s="160"/>
      <c r="G565" s="160"/>
      <c r="H565" s="158"/>
      <c r="I565" s="158"/>
    </row>
    <row r="566">
      <c r="B566" s="158"/>
      <c r="C566" s="158"/>
      <c r="D566" s="159"/>
      <c r="E566" s="159"/>
      <c r="F566" s="160"/>
      <c r="G566" s="160"/>
      <c r="H566" s="158"/>
      <c r="I566" s="158"/>
    </row>
    <row r="567">
      <c r="B567" s="158"/>
      <c r="C567" s="158"/>
      <c r="D567" s="159"/>
      <c r="E567" s="159"/>
      <c r="F567" s="160"/>
      <c r="G567" s="160"/>
      <c r="H567" s="158"/>
      <c r="I567" s="158"/>
    </row>
    <row r="568">
      <c r="B568" s="158"/>
      <c r="C568" s="158"/>
      <c r="D568" s="159"/>
      <c r="E568" s="159"/>
      <c r="F568" s="160"/>
      <c r="G568" s="160"/>
      <c r="H568" s="158"/>
      <c r="I568" s="158"/>
    </row>
    <row r="569">
      <c r="B569" s="158"/>
      <c r="C569" s="158"/>
      <c r="D569" s="159"/>
      <c r="E569" s="159"/>
      <c r="F569" s="160"/>
      <c r="G569" s="160"/>
      <c r="H569" s="158"/>
      <c r="I569" s="158"/>
    </row>
    <row r="570">
      <c r="B570" s="158"/>
      <c r="C570" s="158"/>
      <c r="D570" s="159"/>
      <c r="E570" s="159"/>
      <c r="F570" s="160"/>
      <c r="G570" s="160"/>
      <c r="H570" s="158"/>
      <c r="I570" s="158"/>
    </row>
    <row r="571">
      <c r="B571" s="158"/>
      <c r="C571" s="158"/>
      <c r="D571" s="159"/>
      <c r="E571" s="159"/>
      <c r="F571" s="160"/>
      <c r="G571" s="160"/>
      <c r="H571" s="158"/>
      <c r="I571" s="158"/>
    </row>
    <row r="572">
      <c r="B572" s="158"/>
      <c r="C572" s="158"/>
      <c r="D572" s="159"/>
      <c r="E572" s="159"/>
      <c r="F572" s="160"/>
      <c r="G572" s="160"/>
      <c r="H572" s="158"/>
      <c r="I572" s="158"/>
    </row>
    <row r="573">
      <c r="B573" s="158"/>
      <c r="C573" s="158"/>
      <c r="D573" s="159"/>
      <c r="E573" s="159"/>
      <c r="F573" s="160"/>
      <c r="G573" s="160"/>
      <c r="H573" s="158"/>
      <c r="I573" s="158"/>
    </row>
    <row r="574">
      <c r="B574" s="158"/>
      <c r="C574" s="158"/>
      <c r="D574" s="159"/>
      <c r="E574" s="159"/>
      <c r="F574" s="160"/>
      <c r="G574" s="160"/>
      <c r="H574" s="158"/>
      <c r="I574" s="158"/>
    </row>
    <row r="575">
      <c r="B575" s="158"/>
      <c r="C575" s="158"/>
      <c r="D575" s="159"/>
      <c r="E575" s="159"/>
      <c r="F575" s="160"/>
      <c r="G575" s="160"/>
      <c r="H575" s="158"/>
      <c r="I575" s="158"/>
    </row>
    <row r="576">
      <c r="B576" s="158"/>
      <c r="C576" s="158"/>
      <c r="D576" s="159"/>
      <c r="E576" s="159"/>
      <c r="F576" s="160"/>
      <c r="G576" s="160"/>
      <c r="H576" s="158"/>
      <c r="I576" s="158"/>
    </row>
    <row r="577">
      <c r="B577" s="158"/>
      <c r="C577" s="158"/>
      <c r="D577" s="159"/>
      <c r="E577" s="159"/>
      <c r="F577" s="160"/>
      <c r="G577" s="160"/>
      <c r="H577" s="158"/>
      <c r="I577" s="158"/>
    </row>
    <row r="578">
      <c r="B578" s="158"/>
      <c r="C578" s="158"/>
      <c r="D578" s="159"/>
      <c r="E578" s="159"/>
      <c r="F578" s="160"/>
      <c r="G578" s="160"/>
      <c r="H578" s="158"/>
      <c r="I578" s="158"/>
    </row>
    <row r="579">
      <c r="B579" s="158"/>
      <c r="C579" s="158"/>
      <c r="D579" s="159"/>
      <c r="E579" s="159"/>
      <c r="F579" s="160"/>
      <c r="G579" s="160"/>
      <c r="H579" s="158"/>
      <c r="I579" s="158"/>
    </row>
    <row r="580">
      <c r="B580" s="158"/>
      <c r="C580" s="158"/>
      <c r="D580" s="159"/>
      <c r="E580" s="159"/>
      <c r="F580" s="160"/>
      <c r="G580" s="160"/>
      <c r="H580" s="158"/>
      <c r="I580" s="158"/>
    </row>
    <row r="581">
      <c r="B581" s="158"/>
      <c r="C581" s="158"/>
      <c r="D581" s="159"/>
      <c r="E581" s="159"/>
      <c r="F581" s="160"/>
      <c r="G581" s="160"/>
      <c r="H581" s="158"/>
      <c r="I581" s="158"/>
    </row>
    <row r="582">
      <c r="B582" s="158"/>
      <c r="C582" s="158"/>
      <c r="D582" s="159"/>
      <c r="E582" s="159"/>
      <c r="F582" s="160"/>
      <c r="G582" s="160"/>
      <c r="H582" s="158"/>
      <c r="I582" s="158"/>
    </row>
    <row r="583">
      <c r="B583" s="158"/>
      <c r="C583" s="158"/>
      <c r="D583" s="159"/>
      <c r="E583" s="159"/>
      <c r="F583" s="160"/>
      <c r="G583" s="160"/>
      <c r="H583" s="158"/>
      <c r="I583" s="158"/>
    </row>
    <row r="584">
      <c r="B584" s="158"/>
      <c r="C584" s="158"/>
      <c r="D584" s="159"/>
      <c r="E584" s="159"/>
      <c r="F584" s="160"/>
      <c r="G584" s="160"/>
      <c r="H584" s="158"/>
      <c r="I584" s="158"/>
    </row>
    <row r="585">
      <c r="B585" s="158"/>
      <c r="C585" s="158"/>
      <c r="D585" s="159"/>
      <c r="E585" s="159"/>
      <c r="F585" s="160"/>
      <c r="G585" s="160"/>
      <c r="H585" s="158"/>
      <c r="I585" s="158"/>
    </row>
    <row r="586">
      <c r="B586" s="158"/>
      <c r="C586" s="158"/>
      <c r="D586" s="159"/>
      <c r="E586" s="159"/>
      <c r="F586" s="160"/>
      <c r="G586" s="160"/>
      <c r="H586" s="158"/>
      <c r="I586" s="158"/>
    </row>
    <row r="587">
      <c r="B587" s="158"/>
      <c r="C587" s="158"/>
      <c r="D587" s="159"/>
      <c r="E587" s="159"/>
      <c r="F587" s="160"/>
      <c r="G587" s="160"/>
      <c r="H587" s="158"/>
      <c r="I587" s="158"/>
    </row>
    <row r="588">
      <c r="B588" s="158"/>
      <c r="C588" s="158"/>
      <c r="D588" s="159"/>
      <c r="E588" s="159"/>
      <c r="F588" s="160"/>
      <c r="G588" s="160"/>
      <c r="H588" s="158"/>
      <c r="I588" s="158"/>
    </row>
    <row r="589">
      <c r="B589" s="158"/>
      <c r="C589" s="158"/>
      <c r="D589" s="159"/>
      <c r="E589" s="159"/>
      <c r="F589" s="160"/>
      <c r="G589" s="160"/>
      <c r="H589" s="158"/>
      <c r="I589" s="158"/>
    </row>
    <row r="590">
      <c r="B590" s="158"/>
      <c r="C590" s="158"/>
      <c r="D590" s="159"/>
      <c r="E590" s="159"/>
      <c r="F590" s="160"/>
      <c r="G590" s="160"/>
      <c r="H590" s="158"/>
      <c r="I590" s="158"/>
    </row>
    <row r="591">
      <c r="B591" s="158"/>
      <c r="C591" s="158"/>
      <c r="D591" s="159"/>
      <c r="E591" s="159"/>
      <c r="F591" s="160"/>
      <c r="G591" s="160"/>
      <c r="H591" s="158"/>
      <c r="I591" s="158"/>
    </row>
    <row r="592">
      <c r="B592" s="158"/>
      <c r="C592" s="158"/>
      <c r="D592" s="159"/>
      <c r="E592" s="159"/>
      <c r="F592" s="160"/>
      <c r="G592" s="160"/>
      <c r="H592" s="158"/>
      <c r="I592" s="158"/>
    </row>
    <row r="593">
      <c r="B593" s="158"/>
      <c r="C593" s="158"/>
      <c r="D593" s="159"/>
      <c r="E593" s="159"/>
      <c r="F593" s="160"/>
      <c r="G593" s="160"/>
      <c r="H593" s="158"/>
      <c r="I593" s="158"/>
    </row>
    <row r="594">
      <c r="B594" s="158"/>
      <c r="C594" s="158"/>
      <c r="D594" s="159"/>
      <c r="E594" s="159"/>
      <c r="F594" s="160"/>
      <c r="G594" s="160"/>
      <c r="H594" s="158"/>
      <c r="I594" s="158"/>
    </row>
    <row r="595">
      <c r="B595" s="158"/>
      <c r="C595" s="158"/>
      <c r="D595" s="159"/>
      <c r="E595" s="159"/>
      <c r="F595" s="160"/>
      <c r="G595" s="160"/>
      <c r="H595" s="158"/>
      <c r="I595" s="158"/>
    </row>
    <row r="596">
      <c r="B596" s="158"/>
      <c r="C596" s="158"/>
      <c r="D596" s="159"/>
      <c r="E596" s="159"/>
      <c r="F596" s="160"/>
      <c r="G596" s="160"/>
      <c r="H596" s="158"/>
      <c r="I596" s="158"/>
    </row>
    <row r="597">
      <c r="B597" s="158"/>
      <c r="C597" s="158"/>
      <c r="D597" s="159"/>
      <c r="E597" s="159"/>
      <c r="F597" s="160"/>
      <c r="G597" s="160"/>
      <c r="H597" s="158"/>
      <c r="I597" s="158"/>
    </row>
    <row r="598">
      <c r="B598" s="158"/>
      <c r="C598" s="158"/>
      <c r="D598" s="159"/>
      <c r="E598" s="159"/>
      <c r="F598" s="160"/>
      <c r="G598" s="160"/>
      <c r="H598" s="158"/>
      <c r="I598" s="158"/>
    </row>
    <row r="599">
      <c r="B599" s="158"/>
      <c r="C599" s="158"/>
      <c r="D599" s="159"/>
      <c r="E599" s="159"/>
      <c r="F599" s="160"/>
      <c r="G599" s="160"/>
      <c r="H599" s="158"/>
      <c r="I599" s="158"/>
    </row>
    <row r="600">
      <c r="B600" s="158"/>
      <c r="C600" s="158"/>
      <c r="D600" s="159"/>
      <c r="E600" s="159"/>
      <c r="F600" s="160"/>
      <c r="G600" s="160"/>
      <c r="H600" s="158"/>
      <c r="I600" s="158"/>
    </row>
    <row r="601">
      <c r="B601" s="158"/>
      <c r="C601" s="158"/>
      <c r="D601" s="159"/>
      <c r="E601" s="159"/>
      <c r="F601" s="160"/>
      <c r="G601" s="160"/>
      <c r="H601" s="158"/>
      <c r="I601" s="158"/>
    </row>
    <row r="602">
      <c r="B602" s="158"/>
      <c r="C602" s="158"/>
      <c r="D602" s="159"/>
      <c r="E602" s="159"/>
      <c r="F602" s="160"/>
      <c r="G602" s="160"/>
      <c r="H602" s="158"/>
      <c r="I602" s="158"/>
    </row>
    <row r="603">
      <c r="B603" s="158"/>
      <c r="C603" s="158"/>
      <c r="D603" s="159"/>
      <c r="E603" s="159"/>
      <c r="F603" s="160"/>
      <c r="G603" s="160"/>
      <c r="H603" s="158"/>
      <c r="I603" s="158"/>
    </row>
    <row r="604">
      <c r="B604" s="158"/>
      <c r="C604" s="158"/>
      <c r="D604" s="159"/>
      <c r="E604" s="159"/>
      <c r="F604" s="160"/>
      <c r="G604" s="160"/>
      <c r="H604" s="158"/>
      <c r="I604" s="158"/>
    </row>
    <row r="605">
      <c r="B605" s="158"/>
      <c r="C605" s="158"/>
      <c r="D605" s="159"/>
      <c r="E605" s="159"/>
      <c r="F605" s="160"/>
      <c r="G605" s="160"/>
      <c r="H605" s="158"/>
      <c r="I605" s="158"/>
    </row>
    <row r="606">
      <c r="B606" s="158"/>
      <c r="C606" s="158"/>
      <c r="D606" s="159"/>
      <c r="E606" s="159"/>
      <c r="F606" s="160"/>
      <c r="G606" s="160"/>
      <c r="H606" s="158"/>
      <c r="I606" s="158"/>
    </row>
    <row r="607">
      <c r="B607" s="158"/>
      <c r="C607" s="158"/>
      <c r="D607" s="159"/>
      <c r="E607" s="159"/>
      <c r="F607" s="160"/>
      <c r="G607" s="160"/>
      <c r="H607" s="158"/>
      <c r="I607" s="158"/>
    </row>
    <row r="608">
      <c r="B608" s="158"/>
      <c r="C608" s="158"/>
      <c r="D608" s="159"/>
      <c r="E608" s="159"/>
      <c r="F608" s="160"/>
      <c r="G608" s="160"/>
      <c r="H608" s="158"/>
      <c r="I608" s="158"/>
    </row>
    <row r="609">
      <c r="B609" s="158"/>
      <c r="C609" s="158"/>
      <c r="D609" s="159"/>
      <c r="E609" s="159"/>
      <c r="F609" s="160"/>
      <c r="G609" s="160"/>
      <c r="H609" s="158"/>
      <c r="I609" s="158"/>
    </row>
    <row r="610">
      <c r="B610" s="158"/>
      <c r="C610" s="158"/>
      <c r="D610" s="159"/>
      <c r="E610" s="159"/>
      <c r="F610" s="160"/>
      <c r="G610" s="160"/>
      <c r="H610" s="158"/>
      <c r="I610" s="158"/>
    </row>
    <row r="611">
      <c r="B611" s="158"/>
      <c r="C611" s="158"/>
      <c r="D611" s="159"/>
      <c r="E611" s="159"/>
      <c r="F611" s="160"/>
      <c r="G611" s="160"/>
      <c r="H611" s="158"/>
      <c r="I611" s="158"/>
    </row>
    <row r="612">
      <c r="B612" s="158"/>
      <c r="C612" s="158"/>
      <c r="D612" s="159"/>
      <c r="E612" s="159"/>
      <c r="F612" s="160"/>
      <c r="G612" s="160"/>
      <c r="H612" s="158"/>
      <c r="I612" s="158"/>
    </row>
    <row r="613">
      <c r="B613" s="158"/>
      <c r="C613" s="158"/>
      <c r="D613" s="159"/>
      <c r="E613" s="159"/>
      <c r="F613" s="160"/>
      <c r="G613" s="160"/>
      <c r="H613" s="158"/>
      <c r="I613" s="158"/>
    </row>
    <row r="614">
      <c r="B614" s="158"/>
      <c r="C614" s="158"/>
      <c r="D614" s="159"/>
      <c r="E614" s="159"/>
      <c r="F614" s="160"/>
      <c r="G614" s="160"/>
      <c r="H614" s="158"/>
      <c r="I614" s="158"/>
    </row>
    <row r="615">
      <c r="B615" s="158"/>
      <c r="C615" s="158"/>
      <c r="D615" s="159"/>
      <c r="E615" s="159"/>
      <c r="F615" s="160"/>
      <c r="G615" s="160"/>
      <c r="H615" s="158"/>
      <c r="I615" s="158"/>
    </row>
    <row r="616">
      <c r="B616" s="158"/>
      <c r="C616" s="158"/>
      <c r="D616" s="159"/>
      <c r="E616" s="159"/>
      <c r="F616" s="160"/>
      <c r="G616" s="160"/>
      <c r="H616" s="158"/>
      <c r="I616" s="158"/>
    </row>
    <row r="617">
      <c r="B617" s="158"/>
      <c r="C617" s="158"/>
      <c r="D617" s="159"/>
      <c r="E617" s="159"/>
      <c r="F617" s="160"/>
      <c r="G617" s="160"/>
      <c r="H617" s="158"/>
      <c r="I617" s="158"/>
    </row>
    <row r="618">
      <c r="B618" s="158"/>
      <c r="C618" s="158"/>
      <c r="D618" s="159"/>
      <c r="E618" s="159"/>
      <c r="F618" s="160"/>
      <c r="G618" s="160"/>
      <c r="H618" s="158"/>
      <c r="I618" s="158"/>
    </row>
    <row r="619">
      <c r="B619" s="158"/>
      <c r="C619" s="158"/>
      <c r="D619" s="159"/>
      <c r="E619" s="159"/>
      <c r="F619" s="160"/>
      <c r="G619" s="160"/>
      <c r="H619" s="158"/>
      <c r="I619" s="158"/>
    </row>
    <row r="620">
      <c r="B620" s="158"/>
      <c r="C620" s="158"/>
      <c r="D620" s="159"/>
      <c r="E620" s="159"/>
      <c r="F620" s="160"/>
      <c r="G620" s="160"/>
      <c r="H620" s="158"/>
      <c r="I620" s="158"/>
    </row>
    <row r="621">
      <c r="B621" s="158"/>
      <c r="C621" s="158"/>
      <c r="D621" s="159"/>
      <c r="E621" s="159"/>
      <c r="F621" s="160"/>
      <c r="G621" s="160"/>
      <c r="H621" s="158"/>
      <c r="I621" s="158"/>
    </row>
    <row r="622">
      <c r="B622" s="158"/>
      <c r="C622" s="158"/>
      <c r="D622" s="159"/>
      <c r="E622" s="159"/>
      <c r="F622" s="160"/>
      <c r="G622" s="160"/>
      <c r="H622" s="158"/>
      <c r="I622" s="158"/>
    </row>
    <row r="623">
      <c r="B623" s="158"/>
      <c r="C623" s="158"/>
      <c r="D623" s="159"/>
      <c r="E623" s="159"/>
      <c r="F623" s="160"/>
      <c r="G623" s="160"/>
      <c r="H623" s="158"/>
      <c r="I623" s="158"/>
    </row>
    <row r="624">
      <c r="B624" s="158"/>
      <c r="C624" s="158"/>
      <c r="D624" s="159"/>
      <c r="E624" s="159"/>
      <c r="F624" s="160"/>
      <c r="G624" s="160"/>
      <c r="H624" s="158"/>
      <c r="I624" s="158"/>
    </row>
    <row r="625">
      <c r="B625" s="158"/>
      <c r="C625" s="158"/>
      <c r="D625" s="159"/>
      <c r="E625" s="159"/>
      <c r="F625" s="160"/>
      <c r="G625" s="160"/>
      <c r="H625" s="158"/>
      <c r="I625" s="158"/>
    </row>
    <row r="626">
      <c r="B626" s="158"/>
      <c r="C626" s="158"/>
      <c r="D626" s="159"/>
      <c r="E626" s="159"/>
      <c r="F626" s="160"/>
      <c r="G626" s="160"/>
      <c r="H626" s="158"/>
      <c r="I626" s="158"/>
    </row>
    <row r="627">
      <c r="B627" s="158"/>
      <c r="C627" s="158"/>
      <c r="D627" s="159"/>
      <c r="E627" s="159"/>
      <c r="F627" s="160"/>
      <c r="G627" s="160"/>
      <c r="H627" s="158"/>
      <c r="I627" s="158"/>
    </row>
    <row r="628">
      <c r="B628" s="158"/>
      <c r="C628" s="158"/>
      <c r="D628" s="159"/>
      <c r="E628" s="159"/>
      <c r="F628" s="160"/>
      <c r="G628" s="160"/>
      <c r="H628" s="158"/>
      <c r="I628" s="158"/>
    </row>
    <row r="629">
      <c r="B629" s="158"/>
      <c r="C629" s="158"/>
      <c r="D629" s="159"/>
      <c r="E629" s="159"/>
      <c r="F629" s="160"/>
      <c r="G629" s="160"/>
      <c r="H629" s="158"/>
      <c r="I629" s="158"/>
    </row>
    <row r="630">
      <c r="B630" s="158"/>
      <c r="C630" s="158"/>
      <c r="D630" s="159"/>
      <c r="E630" s="159"/>
      <c r="F630" s="160"/>
      <c r="G630" s="160"/>
      <c r="H630" s="158"/>
      <c r="I630" s="158"/>
    </row>
    <row r="631">
      <c r="B631" s="158"/>
      <c r="C631" s="158"/>
      <c r="D631" s="159"/>
      <c r="E631" s="159"/>
      <c r="F631" s="160"/>
      <c r="G631" s="160"/>
      <c r="H631" s="158"/>
      <c r="I631" s="158"/>
    </row>
    <row r="632">
      <c r="B632" s="158"/>
      <c r="C632" s="158"/>
      <c r="D632" s="159"/>
      <c r="E632" s="159"/>
      <c r="F632" s="160"/>
      <c r="G632" s="160"/>
      <c r="H632" s="158"/>
      <c r="I632" s="158"/>
    </row>
    <row r="633">
      <c r="B633" s="158"/>
      <c r="C633" s="158"/>
      <c r="D633" s="159"/>
      <c r="E633" s="159"/>
      <c r="F633" s="160"/>
      <c r="G633" s="160"/>
      <c r="H633" s="158"/>
      <c r="I633" s="158"/>
    </row>
    <row r="634">
      <c r="B634" s="158"/>
      <c r="C634" s="158"/>
      <c r="D634" s="159"/>
      <c r="E634" s="159"/>
      <c r="F634" s="160"/>
      <c r="G634" s="160"/>
      <c r="H634" s="158"/>
      <c r="I634" s="158"/>
    </row>
    <row r="635">
      <c r="B635" s="158"/>
      <c r="C635" s="158"/>
      <c r="D635" s="159"/>
      <c r="E635" s="159"/>
      <c r="F635" s="160"/>
      <c r="G635" s="160"/>
      <c r="H635" s="158"/>
      <c r="I635" s="158"/>
    </row>
    <row r="636">
      <c r="B636" s="158"/>
      <c r="C636" s="158"/>
      <c r="D636" s="159"/>
      <c r="E636" s="159"/>
      <c r="F636" s="160"/>
      <c r="G636" s="160"/>
      <c r="H636" s="158"/>
      <c r="I636" s="158"/>
    </row>
    <row r="637">
      <c r="B637" s="158"/>
      <c r="C637" s="158"/>
      <c r="D637" s="159"/>
      <c r="E637" s="159"/>
      <c r="F637" s="160"/>
      <c r="G637" s="160"/>
      <c r="H637" s="158"/>
      <c r="I637" s="158"/>
    </row>
    <row r="638">
      <c r="B638" s="158"/>
      <c r="C638" s="158"/>
      <c r="D638" s="159"/>
      <c r="E638" s="159"/>
      <c r="F638" s="160"/>
      <c r="G638" s="160"/>
      <c r="H638" s="158"/>
      <c r="I638" s="158"/>
    </row>
    <row r="639">
      <c r="B639" s="158"/>
      <c r="C639" s="158"/>
      <c r="D639" s="159"/>
      <c r="E639" s="159"/>
      <c r="F639" s="160"/>
      <c r="G639" s="160"/>
      <c r="H639" s="158"/>
      <c r="I639" s="158"/>
    </row>
    <row r="640">
      <c r="B640" s="158"/>
      <c r="C640" s="158"/>
      <c r="D640" s="159"/>
      <c r="E640" s="159"/>
      <c r="F640" s="160"/>
      <c r="G640" s="160"/>
      <c r="H640" s="158"/>
      <c r="I640" s="158"/>
    </row>
    <row r="641">
      <c r="B641" s="158"/>
      <c r="C641" s="158"/>
      <c r="D641" s="159"/>
      <c r="E641" s="159"/>
      <c r="F641" s="160"/>
      <c r="G641" s="160"/>
      <c r="H641" s="158"/>
      <c r="I641" s="158"/>
    </row>
    <row r="642">
      <c r="B642" s="158"/>
      <c r="C642" s="158"/>
      <c r="D642" s="159"/>
      <c r="E642" s="159"/>
      <c r="F642" s="160"/>
      <c r="G642" s="160"/>
      <c r="H642" s="158"/>
      <c r="I642" s="158"/>
    </row>
    <row r="643">
      <c r="B643" s="158"/>
      <c r="C643" s="158"/>
      <c r="D643" s="159"/>
      <c r="E643" s="159"/>
      <c r="F643" s="160"/>
      <c r="G643" s="160"/>
      <c r="H643" s="158"/>
      <c r="I643" s="158"/>
    </row>
    <row r="644">
      <c r="B644" s="158"/>
      <c r="C644" s="158"/>
      <c r="D644" s="159"/>
      <c r="E644" s="159"/>
      <c r="F644" s="160"/>
      <c r="G644" s="160"/>
      <c r="H644" s="158"/>
      <c r="I644" s="158"/>
    </row>
    <row r="645">
      <c r="B645" s="158"/>
      <c r="C645" s="158"/>
      <c r="D645" s="159"/>
      <c r="E645" s="159"/>
      <c r="F645" s="160"/>
      <c r="G645" s="160"/>
      <c r="H645" s="158"/>
      <c r="I645" s="158"/>
    </row>
    <row r="646">
      <c r="B646" s="158"/>
      <c r="C646" s="158"/>
      <c r="D646" s="159"/>
      <c r="E646" s="159"/>
      <c r="F646" s="160"/>
      <c r="G646" s="160"/>
      <c r="H646" s="158"/>
      <c r="I646" s="158"/>
    </row>
    <row r="647">
      <c r="B647" s="158"/>
      <c r="C647" s="158"/>
      <c r="D647" s="159"/>
      <c r="E647" s="159"/>
      <c r="F647" s="160"/>
      <c r="G647" s="160"/>
      <c r="H647" s="158"/>
      <c r="I647" s="158"/>
    </row>
    <row r="648">
      <c r="B648" s="158"/>
      <c r="C648" s="158"/>
      <c r="D648" s="159"/>
      <c r="E648" s="159"/>
      <c r="F648" s="160"/>
      <c r="G648" s="160"/>
      <c r="H648" s="158"/>
      <c r="I648" s="158"/>
    </row>
    <row r="649">
      <c r="B649" s="158"/>
      <c r="C649" s="158"/>
      <c r="D649" s="159"/>
      <c r="E649" s="159"/>
      <c r="F649" s="160"/>
      <c r="G649" s="160"/>
      <c r="H649" s="158"/>
      <c r="I649" s="158"/>
    </row>
    <row r="650">
      <c r="B650" s="158"/>
      <c r="C650" s="158"/>
      <c r="D650" s="159"/>
      <c r="E650" s="159"/>
      <c r="F650" s="160"/>
      <c r="G650" s="160"/>
      <c r="H650" s="158"/>
      <c r="I650" s="158"/>
    </row>
    <row r="651">
      <c r="B651" s="158"/>
      <c r="C651" s="158"/>
      <c r="D651" s="159"/>
      <c r="E651" s="159"/>
      <c r="F651" s="160"/>
      <c r="G651" s="160"/>
      <c r="H651" s="158"/>
      <c r="I651" s="158"/>
    </row>
    <row r="652">
      <c r="B652" s="158"/>
      <c r="C652" s="158"/>
      <c r="D652" s="159"/>
      <c r="E652" s="159"/>
      <c r="F652" s="160"/>
      <c r="G652" s="160"/>
      <c r="H652" s="158"/>
      <c r="I652" s="158"/>
    </row>
    <row r="653">
      <c r="B653" s="158"/>
      <c r="C653" s="158"/>
      <c r="D653" s="159"/>
      <c r="E653" s="159"/>
      <c r="F653" s="160"/>
      <c r="G653" s="160"/>
      <c r="H653" s="158"/>
      <c r="I653" s="158"/>
    </row>
    <row r="654">
      <c r="B654" s="158"/>
      <c r="C654" s="158"/>
      <c r="D654" s="159"/>
      <c r="E654" s="159"/>
      <c r="F654" s="160"/>
      <c r="G654" s="160"/>
      <c r="H654" s="158"/>
      <c r="I654" s="158"/>
    </row>
    <row r="655">
      <c r="B655" s="158"/>
      <c r="C655" s="158"/>
      <c r="D655" s="159"/>
      <c r="E655" s="159"/>
      <c r="F655" s="160"/>
      <c r="G655" s="160"/>
      <c r="H655" s="158"/>
      <c r="I655" s="158"/>
    </row>
    <row r="656">
      <c r="B656" s="158"/>
      <c r="C656" s="158"/>
      <c r="D656" s="159"/>
      <c r="E656" s="159"/>
      <c r="F656" s="160"/>
      <c r="G656" s="160"/>
      <c r="H656" s="158"/>
      <c r="I656" s="158"/>
    </row>
    <row r="657">
      <c r="B657" s="158"/>
      <c r="C657" s="158"/>
      <c r="D657" s="159"/>
      <c r="E657" s="159"/>
      <c r="F657" s="160"/>
      <c r="G657" s="160"/>
      <c r="H657" s="158"/>
      <c r="I657" s="158"/>
    </row>
    <row r="658">
      <c r="B658" s="158"/>
      <c r="C658" s="158"/>
      <c r="D658" s="159"/>
      <c r="E658" s="159"/>
      <c r="F658" s="160"/>
      <c r="G658" s="160"/>
      <c r="H658" s="158"/>
      <c r="I658" s="158"/>
    </row>
    <row r="659">
      <c r="B659" s="158"/>
      <c r="C659" s="158"/>
      <c r="D659" s="159"/>
      <c r="E659" s="159"/>
      <c r="F659" s="160"/>
      <c r="G659" s="160"/>
      <c r="H659" s="158"/>
      <c r="I659" s="158"/>
    </row>
    <row r="660">
      <c r="B660" s="158"/>
      <c r="C660" s="158"/>
      <c r="D660" s="159"/>
      <c r="E660" s="159"/>
      <c r="F660" s="160"/>
      <c r="G660" s="160"/>
      <c r="H660" s="158"/>
      <c r="I660" s="158"/>
    </row>
    <row r="661">
      <c r="B661" s="158"/>
      <c r="C661" s="158"/>
      <c r="D661" s="159"/>
      <c r="E661" s="159"/>
      <c r="F661" s="160"/>
      <c r="G661" s="160"/>
      <c r="H661" s="158"/>
      <c r="I661" s="158"/>
    </row>
    <row r="662">
      <c r="B662" s="158"/>
      <c r="C662" s="158"/>
      <c r="D662" s="159"/>
      <c r="E662" s="159"/>
      <c r="F662" s="160"/>
      <c r="G662" s="160"/>
      <c r="H662" s="158"/>
      <c r="I662" s="158"/>
    </row>
    <row r="663">
      <c r="B663" s="158"/>
      <c r="C663" s="158"/>
      <c r="D663" s="159"/>
      <c r="E663" s="159"/>
      <c r="F663" s="160"/>
      <c r="G663" s="160"/>
      <c r="H663" s="158"/>
      <c r="I663" s="158"/>
    </row>
    <row r="664">
      <c r="B664" s="158"/>
      <c r="C664" s="158"/>
      <c r="D664" s="159"/>
      <c r="E664" s="159"/>
      <c r="F664" s="160"/>
      <c r="G664" s="160"/>
      <c r="H664" s="158"/>
      <c r="I664" s="158"/>
    </row>
    <row r="665">
      <c r="B665" s="158"/>
      <c r="C665" s="158"/>
      <c r="D665" s="159"/>
      <c r="E665" s="159"/>
      <c r="F665" s="160"/>
      <c r="G665" s="160"/>
      <c r="H665" s="158"/>
      <c r="I665" s="158"/>
    </row>
    <row r="666">
      <c r="B666" s="158"/>
      <c r="C666" s="158"/>
      <c r="D666" s="159"/>
      <c r="E666" s="159"/>
      <c r="F666" s="160"/>
      <c r="G666" s="160"/>
      <c r="H666" s="158"/>
      <c r="I666" s="158"/>
    </row>
    <row r="667">
      <c r="B667" s="158"/>
      <c r="C667" s="158"/>
      <c r="D667" s="159"/>
      <c r="E667" s="159"/>
      <c r="F667" s="160"/>
      <c r="G667" s="160"/>
      <c r="H667" s="158"/>
      <c r="I667" s="158"/>
    </row>
    <row r="668">
      <c r="B668" s="158"/>
      <c r="C668" s="158"/>
      <c r="D668" s="159"/>
      <c r="E668" s="159"/>
      <c r="F668" s="160"/>
      <c r="G668" s="160"/>
      <c r="H668" s="158"/>
      <c r="I668" s="158"/>
    </row>
    <row r="669">
      <c r="B669" s="158"/>
      <c r="C669" s="158"/>
      <c r="D669" s="159"/>
      <c r="E669" s="159"/>
      <c r="F669" s="160"/>
      <c r="G669" s="160"/>
      <c r="H669" s="158"/>
      <c r="I669" s="158"/>
    </row>
    <row r="670">
      <c r="B670" s="158"/>
      <c r="C670" s="158"/>
      <c r="D670" s="159"/>
      <c r="E670" s="159"/>
      <c r="F670" s="160"/>
      <c r="G670" s="160"/>
      <c r="H670" s="158"/>
      <c r="I670" s="158"/>
    </row>
    <row r="671">
      <c r="B671" s="158"/>
      <c r="C671" s="158"/>
      <c r="D671" s="159"/>
      <c r="E671" s="159"/>
      <c r="F671" s="160"/>
      <c r="G671" s="160"/>
      <c r="H671" s="158"/>
      <c r="I671" s="158"/>
    </row>
    <row r="672">
      <c r="B672" s="158"/>
      <c r="C672" s="158"/>
      <c r="D672" s="159"/>
      <c r="E672" s="159"/>
      <c r="F672" s="160"/>
      <c r="G672" s="160"/>
      <c r="H672" s="158"/>
      <c r="I672" s="158"/>
    </row>
    <row r="673">
      <c r="B673" s="158"/>
      <c r="C673" s="158"/>
      <c r="D673" s="159"/>
      <c r="E673" s="159"/>
      <c r="F673" s="160"/>
      <c r="G673" s="160"/>
      <c r="H673" s="158"/>
      <c r="I673" s="158"/>
    </row>
    <row r="674">
      <c r="B674" s="158"/>
      <c r="C674" s="158"/>
      <c r="D674" s="159"/>
      <c r="E674" s="159"/>
      <c r="F674" s="160"/>
      <c r="G674" s="160"/>
      <c r="H674" s="158"/>
      <c r="I674" s="158"/>
    </row>
    <row r="675">
      <c r="B675" s="158"/>
      <c r="C675" s="158"/>
      <c r="D675" s="159"/>
      <c r="E675" s="159"/>
      <c r="F675" s="160"/>
      <c r="G675" s="160"/>
      <c r="H675" s="158"/>
      <c r="I675" s="158"/>
    </row>
    <row r="676">
      <c r="B676" s="158"/>
      <c r="C676" s="158"/>
      <c r="D676" s="159"/>
      <c r="E676" s="159"/>
      <c r="F676" s="160"/>
      <c r="G676" s="160"/>
      <c r="H676" s="158"/>
      <c r="I676" s="158"/>
    </row>
    <row r="677">
      <c r="B677" s="158"/>
      <c r="C677" s="158"/>
      <c r="D677" s="159"/>
      <c r="E677" s="159"/>
      <c r="F677" s="160"/>
      <c r="G677" s="160"/>
      <c r="H677" s="158"/>
      <c r="I677" s="158"/>
    </row>
    <row r="678">
      <c r="B678" s="158"/>
      <c r="C678" s="158"/>
      <c r="D678" s="159"/>
      <c r="E678" s="159"/>
      <c r="F678" s="160"/>
      <c r="G678" s="160"/>
      <c r="H678" s="158"/>
      <c r="I678" s="158"/>
    </row>
    <row r="679">
      <c r="B679" s="158"/>
      <c r="C679" s="158"/>
      <c r="D679" s="159"/>
      <c r="E679" s="159"/>
      <c r="F679" s="160"/>
      <c r="G679" s="160"/>
      <c r="H679" s="158"/>
      <c r="I679" s="158"/>
    </row>
    <row r="680">
      <c r="B680" s="158"/>
      <c r="C680" s="158"/>
      <c r="D680" s="159"/>
      <c r="E680" s="159"/>
      <c r="F680" s="160"/>
      <c r="G680" s="160"/>
      <c r="H680" s="158"/>
      <c r="I680" s="158"/>
    </row>
    <row r="681">
      <c r="B681" s="158"/>
      <c r="C681" s="158"/>
      <c r="D681" s="159"/>
      <c r="E681" s="159"/>
      <c r="F681" s="160"/>
      <c r="G681" s="160"/>
      <c r="H681" s="158"/>
      <c r="I681" s="158"/>
    </row>
    <row r="682">
      <c r="B682" s="158"/>
      <c r="C682" s="158"/>
      <c r="D682" s="159"/>
      <c r="E682" s="159"/>
      <c r="F682" s="160"/>
      <c r="G682" s="160"/>
      <c r="H682" s="158"/>
      <c r="I682" s="158"/>
    </row>
    <row r="683">
      <c r="B683" s="158"/>
      <c r="C683" s="158"/>
      <c r="D683" s="159"/>
      <c r="E683" s="159"/>
      <c r="F683" s="160"/>
      <c r="G683" s="160"/>
      <c r="H683" s="158"/>
      <c r="I683" s="158"/>
    </row>
    <row r="684">
      <c r="B684" s="158"/>
      <c r="C684" s="158"/>
      <c r="D684" s="159"/>
      <c r="E684" s="159"/>
      <c r="F684" s="160"/>
      <c r="G684" s="160"/>
      <c r="H684" s="158"/>
      <c r="I684" s="158"/>
    </row>
    <row r="685">
      <c r="B685" s="158"/>
      <c r="C685" s="158"/>
      <c r="D685" s="159"/>
      <c r="E685" s="159"/>
      <c r="F685" s="160"/>
      <c r="G685" s="160"/>
      <c r="H685" s="158"/>
      <c r="I685" s="158"/>
    </row>
    <row r="686">
      <c r="B686" s="158"/>
      <c r="C686" s="158"/>
      <c r="D686" s="159"/>
      <c r="E686" s="159"/>
      <c r="F686" s="160"/>
      <c r="G686" s="160"/>
      <c r="H686" s="158"/>
      <c r="I686" s="158"/>
    </row>
    <row r="687">
      <c r="B687" s="158"/>
      <c r="C687" s="158"/>
      <c r="D687" s="159"/>
      <c r="E687" s="159"/>
      <c r="F687" s="160"/>
      <c r="G687" s="160"/>
      <c r="H687" s="158"/>
      <c r="I687" s="158"/>
    </row>
    <row r="688">
      <c r="B688" s="158"/>
      <c r="C688" s="158"/>
      <c r="D688" s="159"/>
      <c r="E688" s="159"/>
      <c r="F688" s="160"/>
      <c r="G688" s="160"/>
      <c r="H688" s="158"/>
      <c r="I688" s="158"/>
    </row>
    <row r="689">
      <c r="B689" s="158"/>
      <c r="C689" s="158"/>
      <c r="D689" s="159"/>
      <c r="E689" s="159"/>
      <c r="F689" s="160"/>
      <c r="G689" s="160"/>
      <c r="H689" s="158"/>
      <c r="I689" s="158"/>
    </row>
    <row r="690">
      <c r="B690" s="158"/>
      <c r="C690" s="158"/>
      <c r="D690" s="159"/>
      <c r="E690" s="159"/>
      <c r="F690" s="160"/>
      <c r="G690" s="160"/>
      <c r="H690" s="158"/>
      <c r="I690" s="158"/>
    </row>
    <row r="691">
      <c r="B691" s="158"/>
      <c r="C691" s="158"/>
      <c r="D691" s="159"/>
      <c r="E691" s="159"/>
      <c r="F691" s="160"/>
      <c r="G691" s="160"/>
      <c r="H691" s="158"/>
      <c r="I691" s="158"/>
    </row>
    <row r="692">
      <c r="B692" s="158"/>
      <c r="C692" s="158"/>
      <c r="D692" s="159"/>
      <c r="E692" s="159"/>
      <c r="F692" s="160"/>
      <c r="G692" s="160"/>
      <c r="H692" s="158"/>
      <c r="I692" s="158"/>
    </row>
    <row r="693">
      <c r="B693" s="158"/>
      <c r="C693" s="158"/>
      <c r="D693" s="159"/>
      <c r="E693" s="159"/>
      <c r="F693" s="160"/>
      <c r="G693" s="160"/>
      <c r="H693" s="158"/>
      <c r="I693" s="158"/>
    </row>
    <row r="694">
      <c r="B694" s="158"/>
      <c r="C694" s="158"/>
      <c r="D694" s="159"/>
      <c r="E694" s="159"/>
      <c r="F694" s="160"/>
      <c r="G694" s="160"/>
      <c r="H694" s="158"/>
      <c r="I694" s="158"/>
    </row>
    <row r="695">
      <c r="B695" s="158"/>
      <c r="C695" s="158"/>
      <c r="D695" s="159"/>
      <c r="E695" s="159"/>
      <c r="F695" s="160"/>
      <c r="G695" s="160"/>
      <c r="H695" s="158"/>
      <c r="I695" s="158"/>
    </row>
    <row r="696">
      <c r="B696" s="158"/>
      <c r="C696" s="158"/>
      <c r="D696" s="159"/>
      <c r="E696" s="159"/>
      <c r="F696" s="160"/>
      <c r="G696" s="160"/>
      <c r="H696" s="158"/>
      <c r="I696" s="158"/>
    </row>
    <row r="697">
      <c r="B697" s="158"/>
      <c r="C697" s="158"/>
      <c r="D697" s="159"/>
      <c r="E697" s="159"/>
      <c r="F697" s="160"/>
      <c r="G697" s="160"/>
      <c r="H697" s="158"/>
      <c r="I697" s="158"/>
    </row>
    <row r="698">
      <c r="B698" s="158"/>
      <c r="C698" s="158"/>
      <c r="D698" s="159"/>
      <c r="E698" s="159"/>
      <c r="F698" s="160"/>
      <c r="G698" s="160"/>
      <c r="H698" s="158"/>
      <c r="I698" s="158"/>
    </row>
    <row r="699">
      <c r="B699" s="158"/>
      <c r="C699" s="158"/>
      <c r="D699" s="159"/>
      <c r="E699" s="159"/>
      <c r="F699" s="160"/>
      <c r="G699" s="160"/>
      <c r="H699" s="158"/>
      <c r="I699" s="158"/>
    </row>
    <row r="700">
      <c r="B700" s="158"/>
      <c r="C700" s="158"/>
      <c r="D700" s="159"/>
      <c r="E700" s="159"/>
      <c r="F700" s="160"/>
      <c r="G700" s="160"/>
      <c r="H700" s="158"/>
      <c r="I700" s="158"/>
    </row>
    <row r="701">
      <c r="B701" s="158"/>
      <c r="C701" s="158"/>
      <c r="D701" s="159"/>
      <c r="E701" s="159"/>
      <c r="F701" s="160"/>
      <c r="G701" s="160"/>
      <c r="H701" s="158"/>
      <c r="I701" s="158"/>
    </row>
    <row r="702">
      <c r="B702" s="158"/>
      <c r="C702" s="158"/>
      <c r="D702" s="159"/>
      <c r="E702" s="159"/>
      <c r="F702" s="160"/>
      <c r="G702" s="160"/>
      <c r="H702" s="158"/>
      <c r="I702" s="158"/>
    </row>
    <row r="703">
      <c r="B703" s="158"/>
      <c r="C703" s="158"/>
      <c r="D703" s="159"/>
      <c r="E703" s="159"/>
      <c r="F703" s="160"/>
      <c r="G703" s="160"/>
      <c r="H703" s="158"/>
      <c r="I703" s="158"/>
    </row>
    <row r="704">
      <c r="B704" s="158"/>
      <c r="C704" s="158"/>
      <c r="D704" s="159"/>
      <c r="E704" s="159"/>
      <c r="F704" s="160"/>
      <c r="G704" s="160"/>
      <c r="H704" s="158"/>
      <c r="I704" s="158"/>
    </row>
    <row r="705">
      <c r="B705" s="158"/>
      <c r="C705" s="158"/>
      <c r="D705" s="159"/>
      <c r="E705" s="159"/>
      <c r="F705" s="160"/>
      <c r="G705" s="160"/>
      <c r="H705" s="158"/>
      <c r="I705" s="158"/>
    </row>
    <row r="706">
      <c r="B706" s="158"/>
      <c r="C706" s="158"/>
      <c r="D706" s="159"/>
      <c r="E706" s="159"/>
      <c r="F706" s="160"/>
      <c r="G706" s="160"/>
      <c r="H706" s="158"/>
      <c r="I706" s="158"/>
    </row>
    <row r="707">
      <c r="B707" s="158"/>
      <c r="C707" s="158"/>
      <c r="D707" s="159"/>
      <c r="E707" s="159"/>
      <c r="F707" s="160"/>
      <c r="G707" s="160"/>
      <c r="H707" s="158"/>
      <c r="I707" s="158"/>
    </row>
    <row r="708">
      <c r="B708" s="158"/>
      <c r="C708" s="158"/>
      <c r="D708" s="159"/>
      <c r="E708" s="159"/>
      <c r="F708" s="160"/>
      <c r="G708" s="160"/>
      <c r="H708" s="158"/>
      <c r="I708" s="158"/>
    </row>
    <row r="709">
      <c r="B709" s="158"/>
      <c r="C709" s="158"/>
      <c r="D709" s="159"/>
      <c r="E709" s="159"/>
      <c r="F709" s="160"/>
      <c r="G709" s="160"/>
      <c r="H709" s="158"/>
      <c r="I709" s="158"/>
    </row>
    <row r="710">
      <c r="B710" s="158"/>
      <c r="C710" s="158"/>
      <c r="D710" s="159"/>
      <c r="E710" s="159"/>
      <c r="F710" s="160"/>
      <c r="G710" s="160"/>
      <c r="H710" s="158"/>
      <c r="I710" s="158"/>
    </row>
    <row r="711">
      <c r="B711" s="158"/>
      <c r="C711" s="158"/>
      <c r="D711" s="159"/>
      <c r="E711" s="159"/>
      <c r="F711" s="160"/>
      <c r="G711" s="160"/>
      <c r="H711" s="158"/>
      <c r="I711" s="158"/>
    </row>
    <row r="712">
      <c r="B712" s="158"/>
      <c r="C712" s="158"/>
      <c r="D712" s="159"/>
      <c r="E712" s="159"/>
      <c r="F712" s="160"/>
      <c r="G712" s="160"/>
      <c r="H712" s="158"/>
      <c r="I712" s="158"/>
    </row>
    <row r="713">
      <c r="B713" s="158"/>
      <c r="C713" s="158"/>
      <c r="D713" s="159"/>
      <c r="E713" s="159"/>
      <c r="F713" s="160"/>
      <c r="G713" s="160"/>
      <c r="H713" s="158"/>
      <c r="I713" s="158"/>
    </row>
    <row r="714">
      <c r="B714" s="158"/>
      <c r="C714" s="158"/>
      <c r="D714" s="159"/>
      <c r="E714" s="159"/>
      <c r="F714" s="160"/>
      <c r="G714" s="160"/>
      <c r="H714" s="158"/>
      <c r="I714" s="158"/>
    </row>
    <row r="715">
      <c r="B715" s="158"/>
      <c r="C715" s="158"/>
      <c r="D715" s="159"/>
      <c r="E715" s="159"/>
      <c r="F715" s="160"/>
      <c r="G715" s="160"/>
      <c r="H715" s="158"/>
      <c r="I715" s="158"/>
    </row>
    <row r="716">
      <c r="B716" s="158"/>
      <c r="C716" s="158"/>
      <c r="D716" s="159"/>
      <c r="E716" s="159"/>
      <c r="F716" s="160"/>
      <c r="G716" s="160"/>
      <c r="H716" s="158"/>
      <c r="I716" s="158"/>
    </row>
    <row r="717">
      <c r="B717" s="158"/>
      <c r="C717" s="158"/>
      <c r="D717" s="159"/>
      <c r="E717" s="159"/>
      <c r="F717" s="160"/>
      <c r="G717" s="160"/>
      <c r="H717" s="158"/>
      <c r="I717" s="158"/>
    </row>
    <row r="718">
      <c r="B718" s="158"/>
      <c r="C718" s="158"/>
      <c r="D718" s="159"/>
      <c r="E718" s="159"/>
      <c r="F718" s="160"/>
      <c r="G718" s="160"/>
      <c r="H718" s="158"/>
      <c r="I718" s="158"/>
    </row>
    <row r="719">
      <c r="B719" s="158"/>
      <c r="C719" s="158"/>
      <c r="D719" s="159"/>
      <c r="E719" s="159"/>
      <c r="F719" s="160"/>
      <c r="G719" s="160"/>
      <c r="H719" s="158"/>
      <c r="I719" s="158"/>
    </row>
    <row r="720">
      <c r="B720" s="158"/>
      <c r="C720" s="158"/>
      <c r="D720" s="159"/>
      <c r="E720" s="159"/>
      <c r="F720" s="160"/>
      <c r="G720" s="160"/>
      <c r="H720" s="158"/>
      <c r="I720" s="158"/>
    </row>
    <row r="721">
      <c r="B721" s="158"/>
      <c r="C721" s="158"/>
      <c r="D721" s="159"/>
      <c r="E721" s="159"/>
      <c r="F721" s="160"/>
      <c r="G721" s="160"/>
      <c r="H721" s="158"/>
      <c r="I721" s="158"/>
    </row>
    <row r="722">
      <c r="B722" s="158"/>
      <c r="C722" s="158"/>
      <c r="D722" s="159"/>
      <c r="E722" s="159"/>
      <c r="F722" s="160"/>
      <c r="G722" s="160"/>
      <c r="H722" s="158"/>
      <c r="I722" s="158"/>
    </row>
    <row r="723">
      <c r="B723" s="158"/>
      <c r="C723" s="158"/>
      <c r="D723" s="159"/>
      <c r="E723" s="159"/>
      <c r="F723" s="160"/>
      <c r="G723" s="160"/>
      <c r="H723" s="158"/>
      <c r="I723" s="158"/>
    </row>
    <row r="724">
      <c r="B724" s="158"/>
      <c r="C724" s="158"/>
      <c r="D724" s="159"/>
      <c r="E724" s="159"/>
      <c r="F724" s="160"/>
      <c r="G724" s="160"/>
      <c r="H724" s="158"/>
      <c r="I724" s="158"/>
    </row>
    <row r="725">
      <c r="B725" s="158"/>
      <c r="C725" s="158"/>
      <c r="D725" s="159"/>
      <c r="E725" s="159"/>
      <c r="F725" s="160"/>
      <c r="G725" s="160"/>
      <c r="H725" s="158"/>
      <c r="I725" s="158"/>
    </row>
    <row r="726">
      <c r="B726" s="158"/>
      <c r="C726" s="158"/>
      <c r="D726" s="159"/>
      <c r="E726" s="159"/>
      <c r="F726" s="160"/>
      <c r="G726" s="160"/>
      <c r="H726" s="158"/>
      <c r="I726" s="158"/>
    </row>
    <row r="727">
      <c r="B727" s="158"/>
      <c r="C727" s="158"/>
      <c r="D727" s="159"/>
      <c r="E727" s="159"/>
      <c r="F727" s="160"/>
      <c r="G727" s="160"/>
      <c r="H727" s="158"/>
      <c r="I727" s="158"/>
    </row>
    <row r="728">
      <c r="B728" s="158"/>
      <c r="C728" s="158"/>
      <c r="D728" s="159"/>
      <c r="E728" s="159"/>
      <c r="F728" s="160"/>
      <c r="G728" s="160"/>
      <c r="H728" s="158"/>
      <c r="I728" s="158"/>
    </row>
    <row r="729">
      <c r="B729" s="158"/>
      <c r="C729" s="158"/>
      <c r="D729" s="159"/>
      <c r="E729" s="159"/>
      <c r="F729" s="160"/>
      <c r="G729" s="160"/>
      <c r="H729" s="158"/>
      <c r="I729" s="158"/>
    </row>
    <row r="730">
      <c r="B730" s="158"/>
      <c r="C730" s="158"/>
      <c r="D730" s="159"/>
      <c r="E730" s="159"/>
      <c r="F730" s="160"/>
      <c r="G730" s="160"/>
      <c r="H730" s="158"/>
      <c r="I730" s="158"/>
    </row>
    <row r="731">
      <c r="B731" s="158"/>
      <c r="C731" s="158"/>
      <c r="D731" s="159"/>
      <c r="E731" s="159"/>
      <c r="F731" s="160"/>
      <c r="G731" s="160"/>
      <c r="H731" s="158"/>
      <c r="I731" s="158"/>
    </row>
    <row r="732">
      <c r="B732" s="158"/>
      <c r="C732" s="158"/>
      <c r="D732" s="159"/>
      <c r="E732" s="159"/>
      <c r="F732" s="160"/>
      <c r="G732" s="160"/>
      <c r="H732" s="158"/>
      <c r="I732" s="158"/>
    </row>
    <row r="733">
      <c r="B733" s="158"/>
      <c r="C733" s="158"/>
      <c r="D733" s="159"/>
      <c r="E733" s="159"/>
      <c r="F733" s="160"/>
      <c r="G733" s="160"/>
      <c r="H733" s="158"/>
      <c r="I733" s="158"/>
    </row>
    <row r="734">
      <c r="B734" s="158"/>
      <c r="C734" s="158"/>
      <c r="D734" s="159"/>
      <c r="E734" s="159"/>
      <c r="F734" s="160"/>
      <c r="G734" s="160"/>
      <c r="H734" s="158"/>
      <c r="I734" s="158"/>
    </row>
    <row r="735">
      <c r="B735" s="158"/>
      <c r="C735" s="158"/>
      <c r="D735" s="159"/>
      <c r="E735" s="159"/>
      <c r="F735" s="160"/>
      <c r="G735" s="160"/>
      <c r="H735" s="158"/>
      <c r="I735" s="158"/>
    </row>
    <row r="736">
      <c r="B736" s="158"/>
      <c r="C736" s="158"/>
      <c r="D736" s="159"/>
      <c r="E736" s="159"/>
      <c r="F736" s="160"/>
      <c r="G736" s="160"/>
      <c r="H736" s="158"/>
      <c r="I736" s="158"/>
    </row>
    <row r="737">
      <c r="B737" s="158"/>
      <c r="C737" s="158"/>
      <c r="D737" s="159"/>
      <c r="E737" s="159"/>
      <c r="F737" s="160"/>
      <c r="G737" s="160"/>
      <c r="H737" s="158"/>
      <c r="I737" s="158"/>
    </row>
    <row r="738">
      <c r="B738" s="158"/>
      <c r="C738" s="158"/>
      <c r="D738" s="159"/>
      <c r="E738" s="159"/>
      <c r="F738" s="160"/>
      <c r="G738" s="160"/>
      <c r="H738" s="158"/>
      <c r="I738" s="158"/>
    </row>
    <row r="739">
      <c r="B739" s="158"/>
      <c r="C739" s="158"/>
      <c r="D739" s="159"/>
      <c r="E739" s="159"/>
      <c r="F739" s="160"/>
      <c r="G739" s="160"/>
      <c r="H739" s="158"/>
      <c r="I739" s="158"/>
    </row>
    <row r="740">
      <c r="B740" s="158"/>
      <c r="C740" s="158"/>
      <c r="D740" s="159"/>
      <c r="E740" s="159"/>
      <c r="F740" s="160"/>
      <c r="G740" s="160"/>
      <c r="H740" s="158"/>
      <c r="I740" s="158"/>
    </row>
    <row r="741">
      <c r="B741" s="158"/>
      <c r="C741" s="158"/>
      <c r="D741" s="159"/>
      <c r="E741" s="159"/>
      <c r="F741" s="160"/>
      <c r="G741" s="160"/>
      <c r="H741" s="158"/>
      <c r="I741" s="158"/>
    </row>
    <row r="742">
      <c r="B742" s="158"/>
      <c r="C742" s="158"/>
      <c r="D742" s="159"/>
      <c r="E742" s="159"/>
      <c r="F742" s="160"/>
      <c r="G742" s="160"/>
      <c r="H742" s="158"/>
      <c r="I742" s="158"/>
    </row>
    <row r="743">
      <c r="B743" s="158"/>
      <c r="C743" s="158"/>
      <c r="D743" s="159"/>
      <c r="E743" s="159"/>
      <c r="F743" s="160"/>
      <c r="G743" s="160"/>
      <c r="H743" s="158"/>
      <c r="I743" s="158"/>
    </row>
    <row r="744">
      <c r="B744" s="158"/>
      <c r="C744" s="158"/>
      <c r="D744" s="159"/>
      <c r="E744" s="159"/>
      <c r="F744" s="160"/>
      <c r="G744" s="160"/>
      <c r="H744" s="158"/>
      <c r="I744" s="158"/>
    </row>
    <row r="745">
      <c r="B745" s="158"/>
      <c r="C745" s="158"/>
      <c r="D745" s="159"/>
      <c r="E745" s="159"/>
      <c r="F745" s="160"/>
      <c r="G745" s="160"/>
      <c r="H745" s="158"/>
      <c r="I745" s="158"/>
    </row>
    <row r="746">
      <c r="B746" s="158"/>
      <c r="C746" s="158"/>
      <c r="D746" s="159"/>
      <c r="E746" s="159"/>
      <c r="F746" s="160"/>
      <c r="G746" s="160"/>
      <c r="H746" s="158"/>
      <c r="I746" s="158"/>
    </row>
    <row r="747">
      <c r="B747" s="158"/>
      <c r="C747" s="158"/>
      <c r="D747" s="159"/>
      <c r="E747" s="159"/>
      <c r="F747" s="160"/>
      <c r="G747" s="160"/>
      <c r="H747" s="158"/>
      <c r="I747" s="158"/>
    </row>
    <row r="748">
      <c r="B748" s="158"/>
      <c r="C748" s="158"/>
      <c r="D748" s="159"/>
      <c r="E748" s="159"/>
      <c r="F748" s="160"/>
      <c r="G748" s="160"/>
      <c r="H748" s="158"/>
      <c r="I748" s="158"/>
    </row>
    <row r="749">
      <c r="B749" s="158"/>
      <c r="C749" s="158"/>
      <c r="D749" s="159"/>
      <c r="E749" s="159"/>
      <c r="F749" s="160"/>
      <c r="G749" s="160"/>
      <c r="H749" s="158"/>
      <c r="I749" s="158"/>
    </row>
    <row r="750">
      <c r="B750" s="158"/>
      <c r="C750" s="158"/>
      <c r="D750" s="159"/>
      <c r="E750" s="159"/>
      <c r="F750" s="160"/>
      <c r="G750" s="160"/>
      <c r="H750" s="158"/>
      <c r="I750" s="158"/>
    </row>
    <row r="751">
      <c r="B751" s="158"/>
      <c r="C751" s="158"/>
      <c r="D751" s="159"/>
      <c r="E751" s="159"/>
      <c r="F751" s="160"/>
      <c r="G751" s="160"/>
      <c r="H751" s="158"/>
      <c r="I751" s="158"/>
    </row>
    <row r="752">
      <c r="B752" s="158"/>
      <c r="C752" s="158"/>
      <c r="D752" s="159"/>
      <c r="E752" s="159"/>
      <c r="F752" s="160"/>
      <c r="G752" s="160"/>
      <c r="H752" s="158"/>
      <c r="I752" s="158"/>
    </row>
    <row r="753">
      <c r="B753" s="158"/>
      <c r="C753" s="158"/>
      <c r="D753" s="159"/>
      <c r="E753" s="159"/>
      <c r="F753" s="160"/>
      <c r="G753" s="160"/>
      <c r="H753" s="158"/>
      <c r="I753" s="158"/>
    </row>
    <row r="754">
      <c r="B754" s="158"/>
      <c r="C754" s="158"/>
      <c r="D754" s="159"/>
      <c r="E754" s="159"/>
      <c r="F754" s="160"/>
      <c r="G754" s="160"/>
      <c r="H754" s="158"/>
      <c r="I754" s="158"/>
    </row>
    <row r="755">
      <c r="B755" s="158"/>
      <c r="C755" s="158"/>
      <c r="D755" s="159"/>
      <c r="E755" s="159"/>
      <c r="F755" s="160"/>
      <c r="G755" s="160"/>
      <c r="H755" s="158"/>
      <c r="I755" s="158"/>
    </row>
    <row r="756">
      <c r="B756" s="158"/>
      <c r="C756" s="158"/>
      <c r="D756" s="159"/>
      <c r="E756" s="159"/>
      <c r="F756" s="160"/>
      <c r="G756" s="160"/>
      <c r="H756" s="158"/>
      <c r="I756" s="158"/>
    </row>
    <row r="757">
      <c r="B757" s="158"/>
      <c r="C757" s="158"/>
      <c r="D757" s="159"/>
      <c r="E757" s="159"/>
      <c r="F757" s="160"/>
      <c r="G757" s="160"/>
      <c r="H757" s="158"/>
      <c r="I757" s="158"/>
    </row>
    <row r="758">
      <c r="B758" s="158"/>
      <c r="C758" s="158"/>
      <c r="D758" s="159"/>
      <c r="E758" s="159"/>
      <c r="F758" s="160"/>
      <c r="G758" s="160"/>
      <c r="H758" s="158"/>
      <c r="I758" s="158"/>
    </row>
    <row r="759">
      <c r="B759" s="158"/>
      <c r="C759" s="158"/>
      <c r="D759" s="159"/>
      <c r="E759" s="159"/>
      <c r="F759" s="160"/>
      <c r="G759" s="160"/>
      <c r="H759" s="158"/>
      <c r="I759" s="158"/>
    </row>
    <row r="760">
      <c r="B760" s="158"/>
      <c r="C760" s="158"/>
      <c r="D760" s="159"/>
      <c r="E760" s="159"/>
      <c r="F760" s="160"/>
      <c r="G760" s="160"/>
      <c r="H760" s="158"/>
      <c r="I760" s="158"/>
    </row>
    <row r="761">
      <c r="B761" s="158"/>
      <c r="C761" s="158"/>
      <c r="D761" s="159"/>
      <c r="E761" s="159"/>
      <c r="F761" s="160"/>
      <c r="G761" s="160"/>
      <c r="H761" s="158"/>
      <c r="I761" s="158"/>
    </row>
    <row r="762">
      <c r="B762" s="158"/>
      <c r="C762" s="158"/>
      <c r="D762" s="159"/>
      <c r="E762" s="159"/>
      <c r="F762" s="160"/>
      <c r="G762" s="160"/>
      <c r="H762" s="158"/>
      <c r="I762" s="158"/>
    </row>
    <row r="763">
      <c r="B763" s="158"/>
      <c r="C763" s="158"/>
      <c r="D763" s="159"/>
      <c r="E763" s="159"/>
      <c r="F763" s="160"/>
      <c r="G763" s="160"/>
      <c r="H763" s="158"/>
      <c r="I763" s="158"/>
    </row>
    <row r="764">
      <c r="B764" s="158"/>
      <c r="C764" s="158"/>
      <c r="D764" s="159"/>
      <c r="E764" s="159"/>
      <c r="F764" s="160"/>
      <c r="G764" s="160"/>
      <c r="H764" s="158"/>
      <c r="I764" s="158"/>
    </row>
    <row r="765">
      <c r="B765" s="158"/>
      <c r="C765" s="158"/>
      <c r="D765" s="159"/>
      <c r="E765" s="159"/>
      <c r="F765" s="160"/>
      <c r="G765" s="160"/>
      <c r="H765" s="158"/>
      <c r="I765" s="158"/>
    </row>
    <row r="766">
      <c r="B766" s="158"/>
      <c r="C766" s="158"/>
      <c r="D766" s="159"/>
      <c r="E766" s="159"/>
      <c r="F766" s="160"/>
      <c r="G766" s="160"/>
      <c r="H766" s="158"/>
      <c r="I766" s="158"/>
    </row>
    <row r="767">
      <c r="B767" s="158"/>
      <c r="C767" s="158"/>
      <c r="D767" s="159"/>
      <c r="E767" s="159"/>
      <c r="F767" s="160"/>
      <c r="G767" s="160"/>
      <c r="H767" s="158"/>
      <c r="I767" s="158"/>
    </row>
    <row r="768">
      <c r="B768" s="158"/>
      <c r="C768" s="158"/>
      <c r="D768" s="159"/>
      <c r="E768" s="159"/>
      <c r="F768" s="160"/>
      <c r="G768" s="160"/>
      <c r="H768" s="158"/>
      <c r="I768" s="158"/>
    </row>
    <row r="769">
      <c r="B769" s="158"/>
      <c r="C769" s="158"/>
      <c r="D769" s="159"/>
      <c r="E769" s="159"/>
      <c r="F769" s="160"/>
      <c r="G769" s="160"/>
      <c r="H769" s="158"/>
      <c r="I769" s="158"/>
    </row>
    <row r="770">
      <c r="B770" s="158"/>
      <c r="C770" s="158"/>
      <c r="D770" s="159"/>
      <c r="E770" s="159"/>
      <c r="F770" s="160"/>
      <c r="G770" s="160"/>
      <c r="H770" s="158"/>
      <c r="I770" s="158"/>
    </row>
    <row r="771">
      <c r="B771" s="158"/>
      <c r="C771" s="158"/>
      <c r="D771" s="159"/>
      <c r="E771" s="159"/>
      <c r="F771" s="160"/>
      <c r="G771" s="160"/>
      <c r="H771" s="158"/>
      <c r="I771" s="158"/>
    </row>
    <row r="772">
      <c r="B772" s="158"/>
      <c r="C772" s="158"/>
      <c r="D772" s="159"/>
      <c r="E772" s="159"/>
      <c r="F772" s="160"/>
      <c r="G772" s="160"/>
      <c r="H772" s="158"/>
      <c r="I772" s="158"/>
    </row>
    <row r="773">
      <c r="B773" s="158"/>
      <c r="C773" s="158"/>
      <c r="D773" s="159"/>
      <c r="E773" s="159"/>
      <c r="F773" s="160"/>
      <c r="G773" s="160"/>
      <c r="H773" s="158"/>
      <c r="I773" s="158"/>
    </row>
    <row r="774">
      <c r="B774" s="158"/>
      <c r="C774" s="158"/>
      <c r="D774" s="159"/>
      <c r="E774" s="159"/>
      <c r="F774" s="160"/>
      <c r="G774" s="160"/>
      <c r="H774" s="158"/>
      <c r="I774" s="158"/>
    </row>
    <row r="775">
      <c r="B775" s="158"/>
      <c r="C775" s="158"/>
      <c r="D775" s="159"/>
      <c r="E775" s="159"/>
      <c r="F775" s="160"/>
      <c r="G775" s="160"/>
      <c r="H775" s="158"/>
      <c r="I775" s="158"/>
    </row>
    <row r="776">
      <c r="B776" s="158"/>
      <c r="C776" s="158"/>
      <c r="D776" s="159"/>
      <c r="E776" s="159"/>
      <c r="F776" s="160"/>
      <c r="G776" s="160"/>
      <c r="H776" s="158"/>
      <c r="I776" s="158"/>
    </row>
    <row r="777">
      <c r="B777" s="158"/>
      <c r="C777" s="158"/>
      <c r="D777" s="159"/>
      <c r="E777" s="159"/>
      <c r="F777" s="160"/>
      <c r="G777" s="160"/>
      <c r="H777" s="158"/>
      <c r="I777" s="158"/>
    </row>
    <row r="778">
      <c r="B778" s="158"/>
      <c r="C778" s="158"/>
      <c r="D778" s="159"/>
      <c r="E778" s="159"/>
      <c r="F778" s="160"/>
      <c r="G778" s="160"/>
      <c r="H778" s="158"/>
      <c r="I778" s="158"/>
    </row>
    <row r="779">
      <c r="B779" s="158"/>
      <c r="C779" s="158"/>
      <c r="D779" s="159"/>
      <c r="E779" s="159"/>
      <c r="F779" s="160"/>
      <c r="G779" s="160"/>
      <c r="H779" s="158"/>
      <c r="I779" s="158"/>
    </row>
    <row r="780">
      <c r="B780" s="158"/>
      <c r="C780" s="158"/>
      <c r="D780" s="159"/>
      <c r="E780" s="159"/>
      <c r="F780" s="160"/>
      <c r="G780" s="160"/>
      <c r="H780" s="158"/>
      <c r="I780" s="158"/>
    </row>
    <row r="781">
      <c r="B781" s="158"/>
      <c r="C781" s="158"/>
      <c r="D781" s="159"/>
      <c r="E781" s="159"/>
      <c r="F781" s="160"/>
      <c r="G781" s="160"/>
      <c r="H781" s="158"/>
      <c r="I781" s="158"/>
    </row>
    <row r="782">
      <c r="B782" s="158"/>
      <c r="C782" s="158"/>
      <c r="D782" s="159"/>
      <c r="E782" s="159"/>
      <c r="F782" s="160"/>
      <c r="G782" s="160"/>
      <c r="H782" s="158"/>
      <c r="I782" s="158"/>
    </row>
    <row r="783">
      <c r="B783" s="158"/>
      <c r="C783" s="158"/>
      <c r="D783" s="159"/>
      <c r="E783" s="159"/>
      <c r="F783" s="160"/>
      <c r="G783" s="160"/>
      <c r="H783" s="158"/>
      <c r="I783" s="158"/>
    </row>
    <row r="784">
      <c r="B784" s="158"/>
      <c r="C784" s="158"/>
      <c r="D784" s="159"/>
      <c r="E784" s="159"/>
      <c r="F784" s="160"/>
      <c r="G784" s="160"/>
      <c r="H784" s="158"/>
      <c r="I784" s="158"/>
    </row>
    <row r="785">
      <c r="B785" s="158"/>
      <c r="C785" s="158"/>
      <c r="D785" s="159"/>
      <c r="E785" s="159"/>
      <c r="F785" s="160"/>
      <c r="G785" s="160"/>
      <c r="H785" s="158"/>
      <c r="I785" s="158"/>
    </row>
    <row r="786">
      <c r="B786" s="158"/>
      <c r="C786" s="158"/>
      <c r="D786" s="159"/>
      <c r="E786" s="159"/>
      <c r="F786" s="160"/>
      <c r="G786" s="160"/>
      <c r="H786" s="158"/>
      <c r="I786" s="158"/>
    </row>
    <row r="787">
      <c r="B787" s="158"/>
      <c r="C787" s="158"/>
      <c r="D787" s="159"/>
      <c r="E787" s="159"/>
      <c r="F787" s="160"/>
      <c r="G787" s="160"/>
      <c r="H787" s="158"/>
      <c r="I787" s="158"/>
    </row>
    <row r="788">
      <c r="B788" s="158"/>
      <c r="C788" s="158"/>
      <c r="D788" s="159"/>
      <c r="E788" s="159"/>
      <c r="F788" s="160"/>
      <c r="G788" s="160"/>
      <c r="H788" s="158"/>
      <c r="I788" s="158"/>
    </row>
    <row r="789">
      <c r="B789" s="158"/>
      <c r="C789" s="158"/>
      <c r="D789" s="159"/>
      <c r="E789" s="159"/>
      <c r="F789" s="160"/>
      <c r="G789" s="160"/>
      <c r="H789" s="158"/>
      <c r="I789" s="158"/>
    </row>
    <row r="790">
      <c r="B790" s="158"/>
      <c r="C790" s="158"/>
      <c r="D790" s="159"/>
      <c r="E790" s="159"/>
      <c r="F790" s="160"/>
      <c r="G790" s="160"/>
      <c r="H790" s="158"/>
      <c r="I790" s="158"/>
    </row>
    <row r="791">
      <c r="B791" s="158"/>
      <c r="C791" s="158"/>
      <c r="D791" s="159"/>
      <c r="E791" s="159"/>
      <c r="F791" s="160"/>
      <c r="G791" s="160"/>
      <c r="H791" s="158"/>
      <c r="I791" s="158"/>
    </row>
    <row r="792">
      <c r="B792" s="158"/>
      <c r="C792" s="158"/>
      <c r="D792" s="159"/>
      <c r="E792" s="159"/>
      <c r="F792" s="160"/>
      <c r="G792" s="160"/>
      <c r="H792" s="158"/>
      <c r="I792" s="158"/>
    </row>
    <row r="793">
      <c r="B793" s="158"/>
      <c r="C793" s="158"/>
      <c r="D793" s="159"/>
      <c r="E793" s="159"/>
      <c r="F793" s="160"/>
      <c r="G793" s="160"/>
      <c r="H793" s="158"/>
      <c r="I793" s="158"/>
    </row>
    <row r="794">
      <c r="B794" s="158"/>
      <c r="C794" s="158"/>
      <c r="D794" s="159"/>
      <c r="E794" s="159"/>
      <c r="F794" s="160"/>
      <c r="G794" s="160"/>
      <c r="H794" s="158"/>
      <c r="I794" s="158"/>
    </row>
    <row r="795">
      <c r="B795" s="158"/>
      <c r="C795" s="158"/>
      <c r="D795" s="159"/>
      <c r="E795" s="159"/>
      <c r="F795" s="160"/>
      <c r="G795" s="160"/>
      <c r="H795" s="158"/>
      <c r="I795" s="158"/>
    </row>
    <row r="796">
      <c r="B796" s="158"/>
      <c r="C796" s="158"/>
      <c r="D796" s="159"/>
      <c r="E796" s="159"/>
      <c r="F796" s="160"/>
      <c r="G796" s="160"/>
      <c r="H796" s="158"/>
      <c r="I796" s="158"/>
    </row>
    <row r="797">
      <c r="B797" s="158"/>
      <c r="C797" s="158"/>
      <c r="D797" s="159"/>
      <c r="E797" s="159"/>
      <c r="F797" s="160"/>
      <c r="G797" s="160"/>
      <c r="H797" s="158"/>
      <c r="I797" s="158"/>
    </row>
    <row r="798">
      <c r="B798" s="158"/>
      <c r="C798" s="158"/>
      <c r="D798" s="159"/>
      <c r="E798" s="159"/>
      <c r="F798" s="160"/>
      <c r="G798" s="160"/>
      <c r="H798" s="158"/>
      <c r="I798" s="158"/>
    </row>
    <row r="799">
      <c r="B799" s="158"/>
      <c r="C799" s="158"/>
      <c r="D799" s="159"/>
      <c r="E799" s="159"/>
      <c r="F799" s="160"/>
      <c r="G799" s="160"/>
      <c r="H799" s="158"/>
      <c r="I799" s="158"/>
    </row>
    <row r="800">
      <c r="B800" s="158"/>
      <c r="C800" s="158"/>
      <c r="D800" s="159"/>
      <c r="E800" s="159"/>
      <c r="F800" s="160"/>
      <c r="G800" s="160"/>
      <c r="H800" s="158"/>
      <c r="I800" s="158"/>
    </row>
    <row r="801">
      <c r="B801" s="158"/>
      <c r="C801" s="158"/>
      <c r="D801" s="159"/>
      <c r="E801" s="159"/>
      <c r="F801" s="160"/>
      <c r="G801" s="160"/>
      <c r="H801" s="158"/>
      <c r="I801" s="158"/>
    </row>
    <row r="802">
      <c r="B802" s="158"/>
      <c r="C802" s="158"/>
      <c r="D802" s="159"/>
      <c r="E802" s="159"/>
      <c r="F802" s="160"/>
      <c r="G802" s="160"/>
      <c r="H802" s="158"/>
      <c r="I802" s="158"/>
    </row>
    <row r="803">
      <c r="B803" s="158"/>
      <c r="C803" s="158"/>
      <c r="D803" s="159"/>
      <c r="E803" s="159"/>
      <c r="F803" s="160"/>
      <c r="G803" s="160"/>
      <c r="H803" s="158"/>
      <c r="I803" s="158"/>
    </row>
    <row r="804">
      <c r="B804" s="158"/>
      <c r="C804" s="158"/>
      <c r="D804" s="159"/>
      <c r="E804" s="159"/>
      <c r="F804" s="160"/>
      <c r="G804" s="160"/>
      <c r="H804" s="158"/>
      <c r="I804" s="158"/>
    </row>
    <row r="805">
      <c r="B805" s="158"/>
      <c r="C805" s="158"/>
      <c r="D805" s="159"/>
      <c r="E805" s="159"/>
      <c r="F805" s="160"/>
      <c r="G805" s="160"/>
      <c r="H805" s="158"/>
      <c r="I805" s="158"/>
    </row>
    <row r="806">
      <c r="B806" s="158"/>
      <c r="C806" s="158"/>
      <c r="D806" s="159"/>
      <c r="E806" s="159"/>
      <c r="F806" s="160"/>
      <c r="G806" s="160"/>
      <c r="H806" s="158"/>
      <c r="I806" s="158"/>
    </row>
    <row r="807">
      <c r="B807" s="158"/>
      <c r="C807" s="158"/>
      <c r="D807" s="159"/>
      <c r="E807" s="159"/>
      <c r="F807" s="160"/>
      <c r="G807" s="160"/>
      <c r="H807" s="158"/>
      <c r="I807" s="158"/>
    </row>
    <row r="808">
      <c r="B808" s="158"/>
      <c r="C808" s="158"/>
      <c r="D808" s="159"/>
      <c r="E808" s="159"/>
      <c r="F808" s="160"/>
      <c r="G808" s="160"/>
      <c r="H808" s="158"/>
      <c r="I808" s="158"/>
    </row>
    <row r="809">
      <c r="B809" s="158"/>
      <c r="C809" s="158"/>
      <c r="D809" s="159"/>
      <c r="E809" s="159"/>
      <c r="F809" s="160"/>
      <c r="G809" s="160"/>
      <c r="H809" s="158"/>
      <c r="I809" s="158"/>
    </row>
    <row r="810">
      <c r="B810" s="158"/>
      <c r="C810" s="158"/>
      <c r="D810" s="159"/>
      <c r="E810" s="159"/>
      <c r="F810" s="160"/>
      <c r="G810" s="160"/>
      <c r="H810" s="158"/>
      <c r="I810" s="158"/>
    </row>
    <row r="811">
      <c r="B811" s="158"/>
      <c r="C811" s="158"/>
      <c r="D811" s="159"/>
      <c r="E811" s="159"/>
      <c r="F811" s="160"/>
      <c r="G811" s="160"/>
      <c r="H811" s="158"/>
      <c r="I811" s="158"/>
    </row>
    <row r="812">
      <c r="B812" s="158"/>
      <c r="C812" s="158"/>
      <c r="D812" s="159"/>
      <c r="E812" s="159"/>
      <c r="F812" s="160"/>
      <c r="G812" s="160"/>
      <c r="H812" s="158"/>
      <c r="I812" s="158"/>
    </row>
    <row r="813">
      <c r="B813" s="158"/>
      <c r="C813" s="158"/>
      <c r="D813" s="159"/>
      <c r="E813" s="159"/>
      <c r="F813" s="160"/>
      <c r="G813" s="160"/>
      <c r="H813" s="158"/>
      <c r="I813" s="158"/>
    </row>
    <row r="814">
      <c r="B814" s="158"/>
      <c r="C814" s="158"/>
      <c r="D814" s="159"/>
      <c r="E814" s="159"/>
      <c r="F814" s="160"/>
      <c r="G814" s="160"/>
      <c r="H814" s="158"/>
      <c r="I814" s="158"/>
    </row>
    <row r="815">
      <c r="B815" s="158"/>
      <c r="C815" s="158"/>
      <c r="D815" s="159"/>
      <c r="E815" s="159"/>
      <c r="F815" s="160"/>
      <c r="G815" s="160"/>
      <c r="H815" s="158"/>
      <c r="I815" s="158"/>
    </row>
    <row r="816">
      <c r="B816" s="158"/>
      <c r="C816" s="158"/>
      <c r="D816" s="159"/>
      <c r="E816" s="159"/>
      <c r="F816" s="160"/>
      <c r="G816" s="160"/>
      <c r="H816" s="158"/>
      <c r="I816" s="158"/>
    </row>
    <row r="817">
      <c r="B817" s="158"/>
      <c r="C817" s="158"/>
      <c r="D817" s="159"/>
      <c r="E817" s="159"/>
      <c r="F817" s="160"/>
      <c r="G817" s="160"/>
      <c r="H817" s="158"/>
      <c r="I817" s="158"/>
    </row>
    <row r="818">
      <c r="B818" s="158"/>
      <c r="C818" s="158"/>
      <c r="D818" s="159"/>
      <c r="E818" s="159"/>
      <c r="F818" s="160"/>
      <c r="G818" s="160"/>
      <c r="H818" s="158"/>
      <c r="I818" s="158"/>
    </row>
    <row r="819">
      <c r="B819" s="158"/>
      <c r="C819" s="158"/>
      <c r="D819" s="159"/>
      <c r="E819" s="159"/>
      <c r="F819" s="160"/>
      <c r="G819" s="160"/>
      <c r="H819" s="158"/>
      <c r="I819" s="158"/>
    </row>
    <row r="820">
      <c r="B820" s="158"/>
      <c r="C820" s="158"/>
      <c r="D820" s="159"/>
      <c r="E820" s="159"/>
      <c r="F820" s="160"/>
      <c r="G820" s="160"/>
      <c r="H820" s="158"/>
      <c r="I820" s="158"/>
    </row>
    <row r="821">
      <c r="B821" s="158"/>
      <c r="C821" s="158"/>
      <c r="D821" s="159"/>
      <c r="E821" s="159"/>
      <c r="F821" s="160"/>
      <c r="G821" s="160"/>
      <c r="H821" s="158"/>
      <c r="I821" s="158"/>
    </row>
    <row r="822">
      <c r="B822" s="158"/>
      <c r="C822" s="158"/>
      <c r="D822" s="159"/>
      <c r="E822" s="159"/>
      <c r="F822" s="160"/>
      <c r="G822" s="160"/>
      <c r="H822" s="158"/>
      <c r="I822" s="158"/>
    </row>
    <row r="823">
      <c r="B823" s="158"/>
      <c r="C823" s="158"/>
      <c r="D823" s="159"/>
      <c r="E823" s="159"/>
      <c r="F823" s="160"/>
      <c r="G823" s="160"/>
      <c r="H823" s="158"/>
      <c r="I823" s="158"/>
    </row>
    <row r="824">
      <c r="B824" s="158"/>
      <c r="C824" s="158"/>
      <c r="D824" s="159"/>
      <c r="E824" s="159"/>
      <c r="F824" s="160"/>
      <c r="G824" s="160"/>
      <c r="H824" s="158"/>
      <c r="I824" s="158"/>
    </row>
    <row r="825">
      <c r="B825" s="158"/>
      <c r="C825" s="158"/>
      <c r="D825" s="159"/>
      <c r="E825" s="159"/>
      <c r="F825" s="160"/>
      <c r="G825" s="160"/>
      <c r="H825" s="158"/>
      <c r="I825" s="158"/>
    </row>
    <row r="826">
      <c r="B826" s="158"/>
      <c r="C826" s="158"/>
      <c r="D826" s="159"/>
      <c r="E826" s="159"/>
      <c r="F826" s="160"/>
      <c r="G826" s="160"/>
      <c r="H826" s="158"/>
      <c r="I826" s="158"/>
    </row>
    <row r="827">
      <c r="B827" s="158"/>
      <c r="C827" s="158"/>
      <c r="D827" s="159"/>
      <c r="E827" s="159"/>
      <c r="F827" s="160"/>
      <c r="G827" s="160"/>
      <c r="H827" s="158"/>
      <c r="I827" s="158"/>
    </row>
    <row r="828">
      <c r="B828" s="158"/>
      <c r="C828" s="158"/>
      <c r="D828" s="159"/>
      <c r="E828" s="159"/>
      <c r="F828" s="160"/>
      <c r="G828" s="160"/>
      <c r="H828" s="158"/>
      <c r="I828" s="158"/>
    </row>
    <row r="829">
      <c r="B829" s="158"/>
      <c r="C829" s="158"/>
      <c r="D829" s="159"/>
      <c r="E829" s="159"/>
      <c r="F829" s="160"/>
      <c r="G829" s="160"/>
      <c r="H829" s="158"/>
      <c r="I829" s="158"/>
    </row>
    <row r="830">
      <c r="B830" s="158"/>
      <c r="C830" s="158"/>
      <c r="D830" s="159"/>
      <c r="E830" s="159"/>
      <c r="F830" s="160"/>
      <c r="G830" s="160"/>
      <c r="H830" s="158"/>
      <c r="I830" s="158"/>
    </row>
    <row r="831">
      <c r="B831" s="158"/>
      <c r="C831" s="158"/>
      <c r="D831" s="159"/>
      <c r="E831" s="159"/>
      <c r="F831" s="160"/>
      <c r="G831" s="160"/>
      <c r="H831" s="158"/>
      <c r="I831" s="158"/>
    </row>
    <row r="832">
      <c r="B832" s="158"/>
      <c r="C832" s="158"/>
      <c r="D832" s="159"/>
      <c r="E832" s="159"/>
      <c r="F832" s="160"/>
      <c r="G832" s="160"/>
      <c r="H832" s="158"/>
      <c r="I832" s="158"/>
    </row>
    <row r="833">
      <c r="B833" s="158"/>
      <c r="C833" s="158"/>
      <c r="D833" s="159"/>
      <c r="E833" s="159"/>
      <c r="F833" s="160"/>
      <c r="G833" s="160"/>
      <c r="H833" s="158"/>
      <c r="I833" s="158"/>
    </row>
    <row r="834">
      <c r="B834" s="158"/>
      <c r="C834" s="158"/>
      <c r="D834" s="159"/>
      <c r="E834" s="159"/>
      <c r="F834" s="160"/>
      <c r="G834" s="160"/>
      <c r="H834" s="158"/>
      <c r="I834" s="158"/>
    </row>
    <row r="835">
      <c r="B835" s="158"/>
      <c r="C835" s="158"/>
      <c r="D835" s="159"/>
      <c r="E835" s="159"/>
      <c r="F835" s="160"/>
      <c r="G835" s="160"/>
      <c r="H835" s="158"/>
      <c r="I835" s="158"/>
    </row>
    <row r="836">
      <c r="B836" s="158"/>
      <c r="C836" s="158"/>
      <c r="D836" s="159"/>
      <c r="E836" s="159"/>
      <c r="F836" s="160"/>
      <c r="G836" s="160"/>
      <c r="H836" s="158"/>
      <c r="I836" s="158"/>
    </row>
    <row r="837">
      <c r="B837" s="158"/>
      <c r="C837" s="158"/>
      <c r="D837" s="159"/>
      <c r="E837" s="159"/>
      <c r="F837" s="160"/>
      <c r="G837" s="160"/>
      <c r="H837" s="158"/>
      <c r="I837" s="158"/>
    </row>
    <row r="838">
      <c r="B838" s="158"/>
      <c r="C838" s="158"/>
      <c r="D838" s="159"/>
      <c r="E838" s="159"/>
      <c r="F838" s="160"/>
      <c r="G838" s="160"/>
      <c r="H838" s="158"/>
      <c r="I838" s="158"/>
    </row>
    <row r="839">
      <c r="B839" s="158"/>
      <c r="C839" s="158"/>
      <c r="D839" s="159"/>
      <c r="E839" s="159"/>
      <c r="F839" s="160"/>
      <c r="G839" s="160"/>
      <c r="H839" s="158"/>
      <c r="I839" s="158"/>
    </row>
    <row r="840">
      <c r="B840" s="158"/>
      <c r="C840" s="158"/>
      <c r="D840" s="159"/>
      <c r="E840" s="159"/>
      <c r="F840" s="160"/>
      <c r="G840" s="160"/>
      <c r="H840" s="158"/>
      <c r="I840" s="158"/>
    </row>
    <row r="841">
      <c r="B841" s="158"/>
      <c r="C841" s="158"/>
      <c r="D841" s="159"/>
      <c r="E841" s="159"/>
      <c r="F841" s="160"/>
      <c r="G841" s="160"/>
      <c r="H841" s="158"/>
      <c r="I841" s="158"/>
    </row>
    <row r="842">
      <c r="B842" s="158"/>
      <c r="C842" s="158"/>
      <c r="D842" s="159"/>
      <c r="E842" s="159"/>
      <c r="F842" s="160"/>
      <c r="G842" s="160"/>
      <c r="H842" s="158"/>
      <c r="I842" s="158"/>
    </row>
    <row r="843">
      <c r="B843" s="158"/>
      <c r="C843" s="158"/>
      <c r="D843" s="159"/>
      <c r="E843" s="159"/>
      <c r="F843" s="160"/>
      <c r="G843" s="160"/>
      <c r="H843" s="158"/>
      <c r="I843" s="158"/>
    </row>
    <row r="844">
      <c r="B844" s="158"/>
      <c r="C844" s="158"/>
      <c r="D844" s="159"/>
      <c r="E844" s="159"/>
      <c r="F844" s="160"/>
      <c r="G844" s="160"/>
      <c r="H844" s="158"/>
      <c r="I844" s="158"/>
    </row>
    <row r="845">
      <c r="B845" s="158"/>
      <c r="C845" s="158"/>
      <c r="D845" s="159"/>
      <c r="E845" s="159"/>
      <c r="F845" s="160"/>
      <c r="G845" s="160"/>
      <c r="H845" s="158"/>
      <c r="I845" s="158"/>
    </row>
    <row r="846">
      <c r="B846" s="158"/>
      <c r="C846" s="158"/>
      <c r="D846" s="159"/>
      <c r="E846" s="159"/>
      <c r="F846" s="160"/>
      <c r="G846" s="160"/>
      <c r="H846" s="158"/>
      <c r="I846" s="158"/>
    </row>
    <row r="847">
      <c r="B847" s="158"/>
      <c r="C847" s="158"/>
      <c r="D847" s="159"/>
      <c r="E847" s="159"/>
      <c r="F847" s="160"/>
      <c r="G847" s="160"/>
      <c r="H847" s="158"/>
      <c r="I847" s="158"/>
    </row>
    <row r="848">
      <c r="B848" s="158"/>
      <c r="C848" s="158"/>
      <c r="D848" s="159"/>
      <c r="E848" s="159"/>
      <c r="F848" s="160"/>
      <c r="G848" s="160"/>
      <c r="H848" s="158"/>
      <c r="I848" s="158"/>
    </row>
    <row r="849">
      <c r="B849" s="158"/>
      <c r="C849" s="158"/>
      <c r="D849" s="159"/>
      <c r="E849" s="159"/>
      <c r="F849" s="160"/>
      <c r="G849" s="160"/>
      <c r="H849" s="158"/>
      <c r="I849" s="158"/>
    </row>
    <row r="850">
      <c r="B850" s="158"/>
      <c r="C850" s="158"/>
      <c r="D850" s="159"/>
      <c r="E850" s="159"/>
      <c r="F850" s="160"/>
      <c r="G850" s="160"/>
      <c r="H850" s="158"/>
      <c r="I850" s="158"/>
    </row>
    <row r="851">
      <c r="B851" s="158"/>
      <c r="C851" s="158"/>
      <c r="D851" s="159"/>
      <c r="E851" s="159"/>
      <c r="F851" s="160"/>
      <c r="G851" s="160"/>
      <c r="H851" s="158"/>
      <c r="I851" s="158"/>
    </row>
    <row r="852">
      <c r="B852" s="158"/>
      <c r="C852" s="158"/>
      <c r="D852" s="159"/>
      <c r="E852" s="159"/>
      <c r="F852" s="160"/>
      <c r="G852" s="160"/>
      <c r="H852" s="158"/>
      <c r="I852" s="158"/>
    </row>
    <row r="853">
      <c r="B853" s="158"/>
      <c r="C853" s="158"/>
      <c r="D853" s="159"/>
      <c r="E853" s="159"/>
      <c r="F853" s="160"/>
      <c r="G853" s="160"/>
      <c r="H853" s="158"/>
      <c r="I853" s="158"/>
    </row>
    <row r="854">
      <c r="B854" s="158"/>
      <c r="C854" s="158"/>
      <c r="D854" s="159"/>
      <c r="E854" s="159"/>
      <c r="F854" s="160"/>
      <c r="G854" s="160"/>
      <c r="H854" s="158"/>
      <c r="I854" s="158"/>
    </row>
    <row r="855">
      <c r="B855" s="158"/>
      <c r="C855" s="158"/>
      <c r="D855" s="159"/>
      <c r="E855" s="159"/>
      <c r="F855" s="160"/>
      <c r="G855" s="160"/>
      <c r="H855" s="158"/>
      <c r="I855" s="158"/>
    </row>
    <row r="856">
      <c r="B856" s="158"/>
      <c r="C856" s="158"/>
      <c r="D856" s="159"/>
      <c r="E856" s="159"/>
      <c r="F856" s="160"/>
      <c r="G856" s="160"/>
      <c r="H856" s="158"/>
      <c r="I856" s="158"/>
    </row>
    <row r="857">
      <c r="B857" s="158"/>
      <c r="C857" s="158"/>
      <c r="D857" s="159"/>
      <c r="E857" s="159"/>
      <c r="F857" s="160"/>
      <c r="G857" s="160"/>
      <c r="H857" s="158"/>
      <c r="I857" s="158"/>
    </row>
    <row r="858">
      <c r="B858" s="158"/>
      <c r="C858" s="158"/>
      <c r="D858" s="159"/>
      <c r="E858" s="159"/>
      <c r="F858" s="160"/>
      <c r="G858" s="160"/>
      <c r="H858" s="158"/>
      <c r="I858" s="158"/>
    </row>
    <row r="859">
      <c r="B859" s="158"/>
      <c r="C859" s="158"/>
      <c r="D859" s="159"/>
      <c r="E859" s="159"/>
      <c r="F859" s="160"/>
      <c r="G859" s="160"/>
      <c r="H859" s="158"/>
      <c r="I859" s="158"/>
    </row>
    <row r="860">
      <c r="B860" s="158"/>
      <c r="C860" s="158"/>
      <c r="D860" s="159"/>
      <c r="E860" s="159"/>
      <c r="F860" s="160"/>
      <c r="G860" s="160"/>
      <c r="H860" s="158"/>
      <c r="I860" s="158"/>
    </row>
    <row r="861">
      <c r="B861" s="158"/>
      <c r="C861" s="158"/>
      <c r="D861" s="159"/>
      <c r="E861" s="159"/>
      <c r="F861" s="160"/>
      <c r="G861" s="160"/>
      <c r="H861" s="158"/>
      <c r="I861" s="158"/>
    </row>
    <row r="862">
      <c r="B862" s="158"/>
      <c r="C862" s="158"/>
      <c r="D862" s="159"/>
      <c r="E862" s="159"/>
      <c r="F862" s="160"/>
      <c r="G862" s="160"/>
      <c r="H862" s="158"/>
      <c r="I862" s="158"/>
    </row>
    <row r="863">
      <c r="B863" s="158"/>
      <c r="C863" s="158"/>
      <c r="D863" s="159"/>
      <c r="E863" s="159"/>
      <c r="F863" s="160"/>
      <c r="G863" s="160"/>
      <c r="H863" s="158"/>
      <c r="I863" s="158"/>
    </row>
    <row r="864">
      <c r="B864" s="158"/>
      <c r="C864" s="158"/>
      <c r="D864" s="159"/>
      <c r="E864" s="159"/>
      <c r="F864" s="160"/>
      <c r="G864" s="160"/>
      <c r="H864" s="158"/>
      <c r="I864" s="158"/>
    </row>
    <row r="865">
      <c r="B865" s="158"/>
      <c r="C865" s="158"/>
      <c r="D865" s="159"/>
      <c r="E865" s="159"/>
      <c r="F865" s="160"/>
      <c r="G865" s="160"/>
      <c r="H865" s="158"/>
      <c r="I865" s="158"/>
    </row>
    <row r="866">
      <c r="B866" s="158"/>
      <c r="C866" s="158"/>
      <c r="D866" s="159"/>
      <c r="E866" s="159"/>
      <c r="F866" s="160"/>
      <c r="G866" s="160"/>
      <c r="H866" s="158"/>
      <c r="I866" s="158"/>
    </row>
    <row r="867">
      <c r="B867" s="158"/>
      <c r="C867" s="158"/>
      <c r="D867" s="159"/>
      <c r="E867" s="159"/>
      <c r="F867" s="160"/>
      <c r="G867" s="160"/>
      <c r="H867" s="158"/>
      <c r="I867" s="158"/>
    </row>
    <row r="868">
      <c r="B868" s="158"/>
      <c r="C868" s="158"/>
      <c r="D868" s="159"/>
      <c r="E868" s="159"/>
      <c r="F868" s="160"/>
      <c r="G868" s="160"/>
      <c r="H868" s="158"/>
      <c r="I868" s="158"/>
    </row>
    <row r="869">
      <c r="B869" s="158"/>
      <c r="C869" s="158"/>
      <c r="D869" s="159"/>
      <c r="E869" s="159"/>
      <c r="F869" s="160"/>
      <c r="G869" s="160"/>
      <c r="H869" s="158"/>
      <c r="I869" s="158"/>
    </row>
    <row r="870">
      <c r="B870" s="158"/>
      <c r="C870" s="158"/>
      <c r="D870" s="159"/>
      <c r="E870" s="159"/>
      <c r="F870" s="160"/>
      <c r="G870" s="160"/>
      <c r="H870" s="158"/>
      <c r="I870" s="158"/>
    </row>
    <row r="871">
      <c r="B871" s="158"/>
      <c r="C871" s="158"/>
      <c r="D871" s="159"/>
      <c r="E871" s="159"/>
      <c r="F871" s="160"/>
      <c r="G871" s="160"/>
      <c r="H871" s="158"/>
      <c r="I871" s="158"/>
    </row>
    <row r="872">
      <c r="B872" s="158"/>
      <c r="C872" s="158"/>
      <c r="D872" s="159"/>
      <c r="E872" s="159"/>
      <c r="F872" s="160"/>
      <c r="G872" s="160"/>
      <c r="H872" s="158"/>
      <c r="I872" s="158"/>
    </row>
    <row r="873">
      <c r="B873" s="158"/>
      <c r="C873" s="158"/>
      <c r="D873" s="159"/>
      <c r="E873" s="159"/>
      <c r="F873" s="160"/>
      <c r="G873" s="160"/>
      <c r="H873" s="158"/>
      <c r="I873" s="158"/>
    </row>
    <row r="874">
      <c r="B874" s="158"/>
      <c r="C874" s="158"/>
      <c r="D874" s="159"/>
      <c r="E874" s="159"/>
      <c r="F874" s="160"/>
      <c r="G874" s="160"/>
      <c r="H874" s="158"/>
      <c r="I874" s="158"/>
    </row>
    <row r="875">
      <c r="B875" s="158"/>
      <c r="C875" s="158"/>
      <c r="D875" s="159"/>
      <c r="E875" s="159"/>
      <c r="F875" s="160"/>
      <c r="G875" s="160"/>
      <c r="H875" s="158"/>
      <c r="I875" s="158"/>
    </row>
    <row r="876">
      <c r="B876" s="158"/>
      <c r="C876" s="158"/>
      <c r="D876" s="159"/>
      <c r="E876" s="159"/>
      <c r="F876" s="160"/>
      <c r="G876" s="160"/>
      <c r="H876" s="158"/>
      <c r="I876" s="158"/>
    </row>
    <row r="877">
      <c r="B877" s="158"/>
      <c r="C877" s="158"/>
      <c r="D877" s="159"/>
      <c r="E877" s="159"/>
      <c r="F877" s="160"/>
      <c r="G877" s="160"/>
      <c r="H877" s="158"/>
      <c r="I877" s="158"/>
    </row>
    <row r="878">
      <c r="B878" s="158"/>
      <c r="C878" s="158"/>
      <c r="D878" s="159"/>
      <c r="E878" s="159"/>
      <c r="F878" s="160"/>
      <c r="G878" s="160"/>
      <c r="H878" s="158"/>
      <c r="I878" s="158"/>
    </row>
    <row r="879">
      <c r="B879" s="158"/>
      <c r="C879" s="158"/>
      <c r="D879" s="159"/>
      <c r="E879" s="159"/>
      <c r="F879" s="160"/>
      <c r="G879" s="160"/>
      <c r="H879" s="158"/>
      <c r="I879" s="158"/>
    </row>
    <row r="880">
      <c r="B880" s="158"/>
      <c r="C880" s="158"/>
      <c r="D880" s="159"/>
      <c r="E880" s="159"/>
      <c r="F880" s="160"/>
      <c r="G880" s="160"/>
      <c r="H880" s="158"/>
      <c r="I880" s="158"/>
    </row>
    <row r="881">
      <c r="B881" s="158"/>
      <c r="C881" s="158"/>
      <c r="D881" s="159"/>
      <c r="E881" s="159"/>
      <c r="F881" s="160"/>
      <c r="G881" s="160"/>
      <c r="H881" s="158"/>
      <c r="I881" s="158"/>
    </row>
    <row r="882">
      <c r="B882" s="158"/>
      <c r="C882" s="158"/>
      <c r="D882" s="159"/>
      <c r="E882" s="159"/>
      <c r="F882" s="160"/>
      <c r="G882" s="160"/>
      <c r="H882" s="158"/>
      <c r="I882" s="158"/>
    </row>
    <row r="883">
      <c r="B883" s="158"/>
      <c r="C883" s="158"/>
      <c r="D883" s="159"/>
      <c r="E883" s="159"/>
      <c r="F883" s="160"/>
      <c r="G883" s="160"/>
      <c r="H883" s="158"/>
      <c r="I883" s="158"/>
    </row>
    <row r="884">
      <c r="B884" s="158"/>
      <c r="C884" s="158"/>
      <c r="D884" s="159"/>
      <c r="E884" s="159"/>
      <c r="F884" s="160"/>
      <c r="G884" s="160"/>
      <c r="H884" s="158"/>
      <c r="I884" s="158"/>
    </row>
    <row r="885">
      <c r="B885" s="158"/>
      <c r="C885" s="158"/>
      <c r="D885" s="159"/>
      <c r="E885" s="159"/>
      <c r="F885" s="160"/>
      <c r="G885" s="160"/>
      <c r="H885" s="158"/>
      <c r="I885" s="158"/>
    </row>
    <row r="886">
      <c r="B886" s="158"/>
      <c r="C886" s="158"/>
      <c r="D886" s="159"/>
      <c r="E886" s="159"/>
      <c r="F886" s="160"/>
      <c r="G886" s="160"/>
      <c r="H886" s="158"/>
      <c r="I886" s="158"/>
    </row>
    <row r="887">
      <c r="B887" s="158"/>
      <c r="C887" s="158"/>
      <c r="D887" s="159"/>
      <c r="E887" s="159"/>
      <c r="F887" s="160"/>
      <c r="G887" s="160"/>
      <c r="H887" s="158"/>
      <c r="I887" s="158"/>
    </row>
    <row r="888">
      <c r="B888" s="158"/>
      <c r="C888" s="158"/>
      <c r="D888" s="159"/>
      <c r="E888" s="159"/>
      <c r="F888" s="160"/>
      <c r="G888" s="160"/>
      <c r="H888" s="158"/>
      <c r="I888" s="158"/>
    </row>
    <row r="889">
      <c r="B889" s="158"/>
      <c r="C889" s="158"/>
      <c r="D889" s="159"/>
      <c r="E889" s="159"/>
      <c r="F889" s="160"/>
      <c r="G889" s="160"/>
      <c r="H889" s="158"/>
      <c r="I889" s="158"/>
    </row>
    <row r="890">
      <c r="B890" s="158"/>
      <c r="C890" s="158"/>
      <c r="D890" s="159"/>
      <c r="E890" s="159"/>
      <c r="F890" s="160"/>
      <c r="G890" s="160"/>
      <c r="H890" s="158"/>
      <c r="I890" s="158"/>
    </row>
    <row r="891">
      <c r="B891" s="158"/>
      <c r="C891" s="158"/>
      <c r="D891" s="159"/>
      <c r="E891" s="159"/>
      <c r="F891" s="160"/>
      <c r="G891" s="160"/>
      <c r="H891" s="158"/>
      <c r="I891" s="158"/>
    </row>
    <row r="892">
      <c r="B892" s="158"/>
      <c r="C892" s="158"/>
      <c r="D892" s="159"/>
      <c r="E892" s="159"/>
      <c r="F892" s="160"/>
      <c r="G892" s="160"/>
      <c r="H892" s="158"/>
      <c r="I892" s="158"/>
    </row>
    <row r="893">
      <c r="B893" s="158"/>
      <c r="C893" s="158"/>
      <c r="D893" s="159"/>
      <c r="E893" s="159"/>
      <c r="F893" s="160"/>
      <c r="G893" s="160"/>
      <c r="H893" s="158"/>
      <c r="I893" s="158"/>
    </row>
    <row r="894">
      <c r="B894" s="158"/>
      <c r="C894" s="158"/>
      <c r="D894" s="159"/>
      <c r="E894" s="159"/>
      <c r="F894" s="160"/>
      <c r="G894" s="160"/>
      <c r="H894" s="158"/>
      <c r="I894" s="158"/>
    </row>
    <row r="895">
      <c r="B895" s="158"/>
      <c r="C895" s="158"/>
      <c r="D895" s="159"/>
      <c r="E895" s="159"/>
      <c r="F895" s="160"/>
      <c r="G895" s="160"/>
      <c r="H895" s="158"/>
      <c r="I895" s="158"/>
    </row>
    <row r="896">
      <c r="B896" s="158"/>
      <c r="C896" s="158"/>
      <c r="D896" s="159"/>
      <c r="E896" s="159"/>
      <c r="F896" s="160"/>
      <c r="G896" s="160"/>
      <c r="H896" s="158"/>
      <c r="I896" s="158"/>
    </row>
    <row r="897">
      <c r="B897" s="158"/>
      <c r="C897" s="158"/>
      <c r="D897" s="159"/>
      <c r="E897" s="159"/>
      <c r="F897" s="160"/>
      <c r="G897" s="160"/>
      <c r="H897" s="158"/>
      <c r="I897" s="158"/>
    </row>
    <row r="898">
      <c r="B898" s="158"/>
      <c r="C898" s="158"/>
      <c r="D898" s="159"/>
      <c r="E898" s="159"/>
      <c r="F898" s="160"/>
      <c r="G898" s="160"/>
      <c r="H898" s="158"/>
      <c r="I898" s="158"/>
    </row>
    <row r="899">
      <c r="B899" s="158"/>
      <c r="C899" s="158"/>
      <c r="D899" s="159"/>
      <c r="E899" s="159"/>
      <c r="F899" s="160"/>
      <c r="G899" s="160"/>
      <c r="H899" s="158"/>
      <c r="I899" s="158"/>
    </row>
    <row r="900">
      <c r="B900" s="158"/>
      <c r="C900" s="158"/>
      <c r="D900" s="159"/>
      <c r="E900" s="159"/>
      <c r="F900" s="160"/>
      <c r="G900" s="160"/>
      <c r="H900" s="158"/>
      <c r="I900" s="158"/>
    </row>
    <row r="901">
      <c r="B901" s="158"/>
      <c r="C901" s="158"/>
      <c r="D901" s="159"/>
      <c r="E901" s="159"/>
      <c r="F901" s="160"/>
      <c r="G901" s="160"/>
      <c r="H901" s="158"/>
      <c r="I901" s="158"/>
    </row>
    <row r="902">
      <c r="B902" s="158"/>
      <c r="C902" s="158"/>
      <c r="D902" s="159"/>
      <c r="E902" s="159"/>
      <c r="F902" s="160"/>
      <c r="G902" s="160"/>
      <c r="H902" s="158"/>
      <c r="I902" s="158"/>
    </row>
    <row r="903">
      <c r="B903" s="158"/>
      <c r="C903" s="158"/>
      <c r="D903" s="159"/>
      <c r="E903" s="159"/>
      <c r="F903" s="160"/>
      <c r="G903" s="160"/>
      <c r="H903" s="158"/>
      <c r="I903" s="158"/>
    </row>
    <row r="904">
      <c r="B904" s="158"/>
      <c r="C904" s="158"/>
      <c r="D904" s="159"/>
      <c r="E904" s="159"/>
      <c r="F904" s="160"/>
      <c r="G904" s="160"/>
      <c r="H904" s="158"/>
      <c r="I904" s="158"/>
    </row>
    <row r="905">
      <c r="B905" s="158"/>
      <c r="C905" s="158"/>
      <c r="D905" s="159"/>
      <c r="E905" s="159"/>
      <c r="F905" s="160"/>
      <c r="G905" s="160"/>
      <c r="H905" s="158"/>
      <c r="I905" s="158"/>
    </row>
    <row r="906">
      <c r="B906" s="158"/>
      <c r="C906" s="158"/>
      <c r="D906" s="159"/>
      <c r="E906" s="159"/>
      <c r="F906" s="160"/>
      <c r="G906" s="160"/>
      <c r="H906" s="158"/>
      <c r="I906" s="158"/>
    </row>
    <row r="907">
      <c r="B907" s="158"/>
      <c r="C907" s="158"/>
      <c r="D907" s="159"/>
      <c r="E907" s="159"/>
      <c r="F907" s="160"/>
      <c r="G907" s="160"/>
      <c r="H907" s="158"/>
      <c r="I907" s="158"/>
    </row>
    <row r="908">
      <c r="B908" s="158"/>
      <c r="C908" s="158"/>
      <c r="D908" s="159"/>
      <c r="E908" s="159"/>
      <c r="F908" s="160"/>
      <c r="G908" s="160"/>
      <c r="H908" s="158"/>
      <c r="I908" s="158"/>
    </row>
    <row r="909">
      <c r="B909" s="158"/>
      <c r="C909" s="158"/>
      <c r="D909" s="159"/>
      <c r="E909" s="159"/>
      <c r="F909" s="160"/>
      <c r="G909" s="160"/>
      <c r="H909" s="158"/>
      <c r="I909" s="158"/>
    </row>
    <row r="910">
      <c r="B910" s="158"/>
      <c r="C910" s="158"/>
      <c r="D910" s="159"/>
      <c r="E910" s="159"/>
      <c r="F910" s="160"/>
      <c r="G910" s="160"/>
      <c r="H910" s="158"/>
      <c r="I910" s="158"/>
    </row>
    <row r="911">
      <c r="B911" s="158"/>
      <c r="C911" s="158"/>
      <c r="D911" s="159"/>
      <c r="E911" s="159"/>
      <c r="F911" s="160"/>
      <c r="G911" s="160"/>
      <c r="H911" s="158"/>
      <c r="I911" s="158"/>
    </row>
    <row r="912">
      <c r="B912" s="158"/>
      <c r="C912" s="158"/>
      <c r="D912" s="159"/>
      <c r="E912" s="159"/>
      <c r="F912" s="160"/>
      <c r="G912" s="160"/>
      <c r="H912" s="158"/>
      <c r="I912" s="158"/>
    </row>
    <row r="913">
      <c r="B913" s="158"/>
      <c r="C913" s="158"/>
      <c r="D913" s="159"/>
      <c r="E913" s="159"/>
      <c r="F913" s="160"/>
      <c r="G913" s="160"/>
      <c r="H913" s="158"/>
      <c r="I913" s="158"/>
    </row>
    <row r="914">
      <c r="B914" s="158"/>
      <c r="C914" s="158"/>
      <c r="D914" s="159"/>
      <c r="E914" s="159"/>
      <c r="F914" s="160"/>
      <c r="G914" s="160"/>
      <c r="H914" s="158"/>
      <c r="I914" s="158"/>
    </row>
    <row r="915">
      <c r="B915" s="158"/>
      <c r="C915" s="158"/>
      <c r="D915" s="159"/>
      <c r="E915" s="159"/>
      <c r="F915" s="160"/>
      <c r="G915" s="160"/>
      <c r="H915" s="158"/>
      <c r="I915" s="158"/>
    </row>
    <row r="916">
      <c r="B916" s="158"/>
      <c r="C916" s="158"/>
      <c r="D916" s="159"/>
      <c r="E916" s="159"/>
      <c r="F916" s="160"/>
      <c r="G916" s="160"/>
      <c r="H916" s="158"/>
      <c r="I916" s="158"/>
    </row>
    <row r="917">
      <c r="B917" s="158"/>
      <c r="C917" s="158"/>
      <c r="D917" s="159"/>
      <c r="E917" s="159"/>
      <c r="F917" s="160"/>
      <c r="G917" s="160"/>
      <c r="H917" s="158"/>
      <c r="I917" s="158"/>
    </row>
    <row r="918">
      <c r="B918" s="158"/>
      <c r="C918" s="158"/>
      <c r="D918" s="159"/>
      <c r="E918" s="159"/>
      <c r="F918" s="160"/>
      <c r="G918" s="160"/>
      <c r="H918" s="158"/>
      <c r="I918" s="158"/>
    </row>
    <row r="919">
      <c r="B919" s="158"/>
      <c r="C919" s="158"/>
      <c r="D919" s="159"/>
      <c r="E919" s="159"/>
      <c r="F919" s="160"/>
      <c r="G919" s="160"/>
      <c r="H919" s="158"/>
      <c r="I919" s="158"/>
    </row>
    <row r="920">
      <c r="B920" s="158"/>
      <c r="C920" s="158"/>
      <c r="D920" s="159"/>
      <c r="E920" s="159"/>
      <c r="F920" s="160"/>
      <c r="G920" s="160"/>
      <c r="H920" s="158"/>
      <c r="I920" s="158"/>
    </row>
    <row r="921">
      <c r="B921" s="158"/>
      <c r="C921" s="158"/>
      <c r="D921" s="159"/>
      <c r="E921" s="159"/>
      <c r="F921" s="160"/>
      <c r="G921" s="160"/>
      <c r="H921" s="158"/>
      <c r="I921" s="158"/>
    </row>
    <row r="922">
      <c r="B922" s="158"/>
      <c r="C922" s="158"/>
      <c r="D922" s="159"/>
      <c r="E922" s="159"/>
      <c r="F922" s="160"/>
      <c r="G922" s="160"/>
      <c r="H922" s="158"/>
      <c r="I922" s="158"/>
    </row>
    <row r="923">
      <c r="B923" s="158"/>
      <c r="C923" s="158"/>
      <c r="D923" s="159"/>
      <c r="E923" s="159"/>
      <c r="F923" s="160"/>
      <c r="G923" s="160"/>
      <c r="H923" s="158"/>
      <c r="I923" s="158"/>
    </row>
    <row r="924">
      <c r="B924" s="158"/>
      <c r="C924" s="158"/>
      <c r="D924" s="159"/>
      <c r="E924" s="159"/>
      <c r="F924" s="160"/>
      <c r="G924" s="160"/>
      <c r="H924" s="158"/>
      <c r="I924" s="158"/>
    </row>
    <row r="925">
      <c r="B925" s="158"/>
      <c r="C925" s="158"/>
      <c r="D925" s="159"/>
      <c r="E925" s="159"/>
      <c r="F925" s="160"/>
      <c r="G925" s="160"/>
      <c r="H925" s="158"/>
      <c r="I925" s="158"/>
    </row>
    <row r="926">
      <c r="B926" s="158"/>
      <c r="C926" s="158"/>
      <c r="D926" s="159"/>
      <c r="E926" s="159"/>
      <c r="F926" s="160"/>
      <c r="G926" s="160"/>
      <c r="H926" s="158"/>
      <c r="I926" s="158"/>
    </row>
    <row r="927">
      <c r="B927" s="158"/>
      <c r="C927" s="158"/>
      <c r="D927" s="159"/>
      <c r="E927" s="159"/>
      <c r="F927" s="160"/>
      <c r="G927" s="160"/>
      <c r="H927" s="158"/>
      <c r="I927" s="158"/>
    </row>
    <row r="928">
      <c r="B928" s="158"/>
      <c r="C928" s="158"/>
      <c r="D928" s="159"/>
      <c r="E928" s="159"/>
      <c r="F928" s="160"/>
      <c r="G928" s="160"/>
      <c r="H928" s="158"/>
      <c r="I928" s="158"/>
    </row>
    <row r="929">
      <c r="B929" s="158"/>
      <c r="C929" s="158"/>
      <c r="D929" s="159"/>
      <c r="E929" s="159"/>
      <c r="F929" s="160"/>
      <c r="G929" s="160"/>
      <c r="H929" s="158"/>
      <c r="I929" s="158"/>
    </row>
    <row r="930">
      <c r="B930" s="158"/>
      <c r="C930" s="158"/>
      <c r="D930" s="159"/>
      <c r="E930" s="159"/>
      <c r="F930" s="160"/>
      <c r="G930" s="160"/>
      <c r="H930" s="158"/>
      <c r="I930" s="158"/>
    </row>
    <row r="931">
      <c r="B931" s="158"/>
      <c r="C931" s="158"/>
      <c r="D931" s="159"/>
      <c r="E931" s="159"/>
      <c r="F931" s="160"/>
      <c r="G931" s="160"/>
      <c r="H931" s="158"/>
      <c r="I931" s="158"/>
    </row>
    <row r="932">
      <c r="B932" s="158"/>
      <c r="C932" s="158"/>
      <c r="D932" s="159"/>
      <c r="E932" s="159"/>
      <c r="F932" s="160"/>
      <c r="G932" s="160"/>
      <c r="H932" s="158"/>
      <c r="I932" s="158"/>
    </row>
    <row r="933">
      <c r="B933" s="158"/>
      <c r="C933" s="158"/>
      <c r="D933" s="159"/>
      <c r="E933" s="159"/>
      <c r="F933" s="160"/>
      <c r="G933" s="160"/>
      <c r="H933" s="158"/>
      <c r="I933" s="158"/>
    </row>
    <row r="934">
      <c r="B934" s="158"/>
      <c r="C934" s="158"/>
      <c r="D934" s="159"/>
      <c r="E934" s="159"/>
      <c r="F934" s="160"/>
      <c r="G934" s="160"/>
      <c r="H934" s="158"/>
      <c r="I934" s="158"/>
    </row>
    <row r="935">
      <c r="B935" s="158"/>
      <c r="C935" s="158"/>
      <c r="D935" s="159"/>
      <c r="E935" s="159"/>
      <c r="F935" s="160"/>
      <c r="G935" s="160"/>
      <c r="H935" s="158"/>
      <c r="I935" s="158"/>
    </row>
    <row r="936">
      <c r="B936" s="158"/>
      <c r="C936" s="158"/>
      <c r="D936" s="159"/>
      <c r="E936" s="159"/>
      <c r="F936" s="160"/>
      <c r="G936" s="160"/>
      <c r="H936" s="158"/>
      <c r="I936" s="158"/>
    </row>
    <row r="937">
      <c r="B937" s="158"/>
      <c r="C937" s="158"/>
      <c r="D937" s="159"/>
      <c r="E937" s="159"/>
      <c r="F937" s="160"/>
      <c r="G937" s="160"/>
      <c r="H937" s="158"/>
      <c r="I937" s="158"/>
    </row>
    <row r="938">
      <c r="B938" s="158"/>
      <c r="C938" s="158"/>
      <c r="D938" s="159"/>
      <c r="E938" s="159"/>
      <c r="F938" s="160"/>
      <c r="G938" s="160"/>
      <c r="H938" s="158"/>
      <c r="I938" s="158"/>
    </row>
    <row r="939">
      <c r="B939" s="158"/>
      <c r="C939" s="158"/>
      <c r="D939" s="159"/>
      <c r="E939" s="159"/>
      <c r="F939" s="160"/>
      <c r="G939" s="160"/>
      <c r="H939" s="158"/>
      <c r="I939" s="158"/>
    </row>
    <row r="940">
      <c r="B940" s="158"/>
      <c r="C940" s="158"/>
      <c r="D940" s="159"/>
      <c r="E940" s="159"/>
      <c r="F940" s="160"/>
      <c r="G940" s="160"/>
      <c r="H940" s="158"/>
      <c r="I940" s="158"/>
    </row>
    <row r="941">
      <c r="B941" s="158"/>
      <c r="C941" s="158"/>
      <c r="D941" s="159"/>
      <c r="E941" s="159"/>
      <c r="F941" s="160"/>
      <c r="G941" s="160"/>
      <c r="H941" s="158"/>
      <c r="I941" s="158"/>
    </row>
    <row r="942">
      <c r="B942" s="158"/>
      <c r="C942" s="158"/>
      <c r="D942" s="159"/>
      <c r="E942" s="159"/>
      <c r="F942" s="160"/>
      <c r="G942" s="160"/>
      <c r="H942" s="158"/>
      <c r="I942" s="158"/>
    </row>
    <row r="943">
      <c r="B943" s="158"/>
      <c r="C943" s="158"/>
      <c r="D943" s="159"/>
      <c r="E943" s="159"/>
      <c r="F943" s="160"/>
      <c r="G943" s="160"/>
      <c r="H943" s="158"/>
      <c r="I943" s="158"/>
    </row>
    <row r="944">
      <c r="B944" s="158"/>
      <c r="C944" s="158"/>
      <c r="D944" s="159"/>
      <c r="E944" s="159"/>
      <c r="F944" s="160"/>
      <c r="G944" s="160"/>
      <c r="H944" s="158"/>
      <c r="I944" s="158"/>
    </row>
    <row r="945">
      <c r="B945" s="158"/>
      <c r="C945" s="158"/>
      <c r="D945" s="159"/>
      <c r="E945" s="159"/>
      <c r="F945" s="160"/>
      <c r="G945" s="160"/>
      <c r="H945" s="158"/>
      <c r="I945" s="158"/>
    </row>
    <row r="946">
      <c r="B946" s="158"/>
      <c r="C946" s="158"/>
      <c r="D946" s="159"/>
      <c r="E946" s="159"/>
      <c r="F946" s="160"/>
      <c r="G946" s="160"/>
      <c r="H946" s="158"/>
      <c r="I946" s="158"/>
    </row>
    <row r="947">
      <c r="B947" s="158"/>
      <c r="C947" s="158"/>
      <c r="D947" s="159"/>
      <c r="E947" s="159"/>
      <c r="F947" s="160"/>
      <c r="G947" s="160"/>
      <c r="H947" s="158"/>
      <c r="I947" s="158"/>
    </row>
    <row r="948">
      <c r="B948" s="158"/>
      <c r="C948" s="158"/>
      <c r="D948" s="159"/>
      <c r="E948" s="159"/>
      <c r="F948" s="160"/>
      <c r="G948" s="160"/>
      <c r="H948" s="158"/>
      <c r="I948" s="158"/>
    </row>
    <row r="949">
      <c r="B949" s="158"/>
      <c r="C949" s="158"/>
      <c r="D949" s="159"/>
      <c r="E949" s="159"/>
      <c r="F949" s="160"/>
      <c r="G949" s="160"/>
      <c r="H949" s="158"/>
      <c r="I949" s="158"/>
    </row>
    <row r="950">
      <c r="B950" s="158"/>
      <c r="C950" s="158"/>
      <c r="D950" s="159"/>
      <c r="E950" s="159"/>
      <c r="F950" s="160"/>
      <c r="G950" s="160"/>
      <c r="H950" s="158"/>
      <c r="I950" s="158"/>
    </row>
    <row r="951">
      <c r="B951" s="158"/>
      <c r="C951" s="158"/>
      <c r="D951" s="159"/>
      <c r="E951" s="159"/>
      <c r="F951" s="160"/>
      <c r="G951" s="160"/>
      <c r="H951" s="158"/>
      <c r="I951" s="158"/>
    </row>
    <row r="952">
      <c r="B952" s="158"/>
      <c r="C952" s="158"/>
      <c r="D952" s="159"/>
      <c r="E952" s="159"/>
      <c r="F952" s="160"/>
      <c r="G952" s="160"/>
      <c r="H952" s="158"/>
      <c r="I952" s="158"/>
    </row>
    <row r="953">
      <c r="B953" s="158"/>
      <c r="C953" s="158"/>
      <c r="D953" s="159"/>
      <c r="E953" s="159"/>
      <c r="F953" s="160"/>
      <c r="G953" s="160"/>
      <c r="H953" s="158"/>
      <c r="I953" s="158"/>
    </row>
    <row r="954">
      <c r="B954" s="158"/>
      <c r="C954" s="158"/>
      <c r="D954" s="159"/>
      <c r="E954" s="159"/>
      <c r="F954" s="160"/>
      <c r="G954" s="160"/>
      <c r="H954" s="158"/>
      <c r="I954" s="158"/>
    </row>
    <row r="955">
      <c r="B955" s="158"/>
      <c r="C955" s="158"/>
      <c r="D955" s="159"/>
      <c r="E955" s="159"/>
      <c r="F955" s="160"/>
      <c r="G955" s="160"/>
      <c r="H955" s="158"/>
      <c r="I955" s="158"/>
    </row>
    <row r="956">
      <c r="B956" s="158"/>
      <c r="C956" s="158"/>
      <c r="D956" s="159"/>
      <c r="E956" s="159"/>
      <c r="F956" s="160"/>
      <c r="G956" s="160"/>
      <c r="H956" s="158"/>
      <c r="I956" s="158"/>
    </row>
    <row r="957">
      <c r="B957" s="158"/>
      <c r="C957" s="158"/>
      <c r="D957" s="159"/>
      <c r="E957" s="159"/>
      <c r="F957" s="160"/>
      <c r="G957" s="160"/>
      <c r="H957" s="158"/>
      <c r="I957" s="158"/>
    </row>
    <row r="958">
      <c r="B958" s="158"/>
      <c r="C958" s="158"/>
      <c r="D958" s="159"/>
      <c r="E958" s="159"/>
      <c r="F958" s="160"/>
      <c r="G958" s="160"/>
      <c r="H958" s="158"/>
      <c r="I958" s="158"/>
    </row>
    <row r="959">
      <c r="B959" s="158"/>
      <c r="C959" s="158"/>
      <c r="D959" s="159"/>
      <c r="E959" s="159"/>
      <c r="F959" s="160"/>
      <c r="G959" s="160"/>
      <c r="H959" s="158"/>
      <c r="I959" s="158"/>
    </row>
    <row r="960">
      <c r="B960" s="158"/>
      <c r="C960" s="158"/>
      <c r="D960" s="159"/>
      <c r="E960" s="159"/>
      <c r="F960" s="160"/>
      <c r="G960" s="160"/>
      <c r="H960" s="158"/>
      <c r="I960" s="158"/>
    </row>
    <row r="961">
      <c r="B961" s="158"/>
      <c r="C961" s="158"/>
      <c r="D961" s="159"/>
      <c r="E961" s="159"/>
      <c r="F961" s="160"/>
      <c r="G961" s="160"/>
      <c r="H961" s="158"/>
      <c r="I961" s="158"/>
    </row>
    <row r="962">
      <c r="B962" s="158"/>
      <c r="C962" s="158"/>
      <c r="D962" s="159"/>
      <c r="E962" s="159"/>
      <c r="F962" s="160"/>
      <c r="G962" s="160"/>
      <c r="H962" s="158"/>
      <c r="I962" s="158"/>
    </row>
    <row r="963">
      <c r="B963" s="158"/>
      <c r="C963" s="158"/>
      <c r="D963" s="159"/>
      <c r="E963" s="159"/>
      <c r="F963" s="160"/>
      <c r="G963" s="160"/>
      <c r="H963" s="158"/>
      <c r="I963" s="158"/>
    </row>
    <row r="964">
      <c r="B964" s="158"/>
      <c r="C964" s="158"/>
      <c r="D964" s="159"/>
      <c r="E964" s="159"/>
      <c r="F964" s="160"/>
      <c r="G964" s="160"/>
      <c r="H964" s="158"/>
      <c r="I964" s="158"/>
    </row>
    <row r="965">
      <c r="B965" s="158"/>
      <c r="C965" s="158"/>
      <c r="D965" s="159"/>
      <c r="E965" s="159"/>
      <c r="F965" s="160"/>
      <c r="G965" s="160"/>
      <c r="H965" s="158"/>
      <c r="I965" s="158"/>
    </row>
    <row r="966">
      <c r="B966" s="158"/>
      <c r="C966" s="158"/>
      <c r="D966" s="159"/>
      <c r="E966" s="159"/>
      <c r="F966" s="160"/>
      <c r="G966" s="160"/>
      <c r="H966" s="158"/>
      <c r="I966" s="158"/>
    </row>
    <row r="967">
      <c r="B967" s="158"/>
      <c r="C967" s="158"/>
      <c r="D967" s="159"/>
      <c r="E967" s="159"/>
      <c r="F967" s="160"/>
      <c r="G967" s="160"/>
      <c r="H967" s="158"/>
      <c r="I967" s="158"/>
    </row>
    <row r="968">
      <c r="B968" s="158"/>
      <c r="C968" s="158"/>
      <c r="D968" s="159"/>
      <c r="E968" s="159"/>
      <c r="F968" s="160"/>
      <c r="G968" s="160"/>
      <c r="H968" s="158"/>
      <c r="I968" s="158"/>
    </row>
    <row r="969">
      <c r="B969" s="158"/>
      <c r="C969" s="158"/>
      <c r="D969" s="159"/>
      <c r="E969" s="159"/>
      <c r="F969" s="160"/>
      <c r="G969" s="160"/>
      <c r="H969" s="158"/>
      <c r="I969" s="158"/>
    </row>
    <row r="970">
      <c r="B970" s="158"/>
      <c r="C970" s="158"/>
      <c r="D970" s="159"/>
      <c r="E970" s="159"/>
      <c r="F970" s="160"/>
      <c r="G970" s="160"/>
      <c r="H970" s="158"/>
      <c r="I970" s="158"/>
    </row>
    <row r="971">
      <c r="B971" s="158"/>
      <c r="C971" s="158"/>
      <c r="D971" s="159"/>
      <c r="E971" s="159"/>
      <c r="F971" s="160"/>
      <c r="G971" s="160"/>
      <c r="H971" s="158"/>
      <c r="I971" s="158"/>
    </row>
    <row r="972">
      <c r="B972" s="158"/>
      <c r="C972" s="158"/>
      <c r="D972" s="159"/>
      <c r="E972" s="159"/>
      <c r="F972" s="160"/>
      <c r="G972" s="160"/>
      <c r="H972" s="158"/>
      <c r="I972" s="158"/>
    </row>
    <row r="973">
      <c r="B973" s="158"/>
      <c r="C973" s="158"/>
      <c r="D973" s="159"/>
      <c r="E973" s="159"/>
      <c r="F973" s="160"/>
      <c r="G973" s="160"/>
      <c r="H973" s="158"/>
      <c r="I973" s="158"/>
    </row>
    <row r="974">
      <c r="B974" s="158"/>
      <c r="C974" s="158"/>
      <c r="D974" s="159"/>
      <c r="E974" s="159"/>
      <c r="F974" s="160"/>
      <c r="G974" s="160"/>
      <c r="H974" s="158"/>
      <c r="I974" s="158"/>
    </row>
    <row r="975">
      <c r="B975" s="158"/>
      <c r="C975" s="158"/>
      <c r="D975" s="159"/>
      <c r="E975" s="159"/>
      <c r="F975" s="160"/>
      <c r="G975" s="160"/>
      <c r="H975" s="158"/>
      <c r="I975" s="158"/>
    </row>
    <row r="976">
      <c r="B976" s="158"/>
      <c r="C976" s="158"/>
      <c r="D976" s="159"/>
      <c r="E976" s="159"/>
      <c r="F976" s="160"/>
      <c r="G976" s="160"/>
      <c r="H976" s="158"/>
      <c r="I976" s="158"/>
    </row>
    <row r="977">
      <c r="B977" s="158"/>
      <c r="C977" s="158"/>
      <c r="D977" s="159"/>
      <c r="E977" s="159"/>
      <c r="F977" s="160"/>
      <c r="G977" s="160"/>
      <c r="H977" s="158"/>
      <c r="I977" s="158"/>
    </row>
    <row r="978">
      <c r="B978" s="158"/>
      <c r="C978" s="158"/>
      <c r="D978" s="159"/>
      <c r="E978" s="159"/>
      <c r="F978" s="160"/>
      <c r="G978" s="160"/>
      <c r="H978" s="158"/>
      <c r="I978" s="158"/>
    </row>
    <row r="979">
      <c r="B979" s="158"/>
      <c r="C979" s="158"/>
      <c r="D979" s="159"/>
      <c r="E979" s="159"/>
      <c r="F979" s="160"/>
      <c r="G979" s="160"/>
      <c r="H979" s="158"/>
      <c r="I979" s="158"/>
    </row>
    <row r="980">
      <c r="B980" s="158"/>
      <c r="C980" s="158"/>
      <c r="D980" s="159"/>
      <c r="E980" s="159"/>
      <c r="F980" s="160"/>
      <c r="G980" s="160"/>
      <c r="H980" s="158"/>
      <c r="I980" s="158"/>
    </row>
    <row r="981">
      <c r="B981" s="158"/>
      <c r="C981" s="158"/>
      <c r="D981" s="159"/>
      <c r="E981" s="159"/>
      <c r="F981" s="160"/>
      <c r="G981" s="160"/>
      <c r="H981" s="158"/>
      <c r="I981" s="158"/>
    </row>
    <row r="982">
      <c r="B982" s="158"/>
      <c r="C982" s="158"/>
      <c r="D982" s="159"/>
      <c r="E982" s="159"/>
      <c r="F982" s="160"/>
      <c r="G982" s="160"/>
      <c r="H982" s="158"/>
      <c r="I982" s="158"/>
    </row>
    <row r="983">
      <c r="B983" s="158"/>
      <c r="C983" s="158"/>
      <c r="D983" s="159"/>
      <c r="E983" s="159"/>
      <c r="F983" s="160"/>
      <c r="G983" s="160"/>
      <c r="H983" s="158"/>
      <c r="I983" s="158"/>
    </row>
    <row r="984">
      <c r="B984" s="158"/>
      <c r="C984" s="158"/>
      <c r="D984" s="159"/>
      <c r="E984" s="159"/>
      <c r="F984" s="160"/>
      <c r="G984" s="160"/>
      <c r="H984" s="158"/>
      <c r="I984" s="158"/>
    </row>
    <row r="985">
      <c r="B985" s="158"/>
      <c r="C985" s="158"/>
      <c r="D985" s="159"/>
      <c r="E985" s="159"/>
      <c r="F985" s="160"/>
      <c r="G985" s="160"/>
      <c r="H985" s="158"/>
      <c r="I985" s="158"/>
    </row>
    <row r="986">
      <c r="B986" s="158"/>
      <c r="C986" s="158"/>
      <c r="D986" s="159"/>
      <c r="E986" s="159"/>
      <c r="F986" s="160"/>
      <c r="G986" s="160"/>
      <c r="H986" s="158"/>
      <c r="I986" s="158"/>
    </row>
    <row r="987">
      <c r="B987" s="158"/>
      <c r="C987" s="158"/>
      <c r="D987" s="159"/>
      <c r="E987" s="159"/>
      <c r="F987" s="160"/>
      <c r="G987" s="160"/>
      <c r="H987" s="158"/>
      <c r="I987" s="158"/>
    </row>
    <row r="988">
      <c r="B988" s="158"/>
      <c r="C988" s="158"/>
      <c r="D988" s="159"/>
      <c r="E988" s="159"/>
      <c r="F988" s="160"/>
      <c r="G988" s="160"/>
      <c r="H988" s="158"/>
      <c r="I988" s="158"/>
    </row>
    <row r="989">
      <c r="B989" s="158"/>
      <c r="C989" s="158"/>
      <c r="D989" s="159"/>
      <c r="E989" s="159"/>
      <c r="F989" s="160"/>
      <c r="G989" s="160"/>
      <c r="H989" s="158"/>
      <c r="I989" s="158"/>
    </row>
    <row r="990">
      <c r="B990" s="158"/>
      <c r="C990" s="158"/>
      <c r="D990" s="159"/>
      <c r="E990" s="159"/>
      <c r="F990" s="160"/>
      <c r="G990" s="160"/>
      <c r="H990" s="158"/>
      <c r="I990" s="158"/>
    </row>
    <row r="991">
      <c r="B991" s="158"/>
      <c r="C991" s="158"/>
      <c r="D991" s="159"/>
      <c r="E991" s="159"/>
      <c r="F991" s="160"/>
      <c r="G991" s="160"/>
      <c r="H991" s="158"/>
      <c r="I991" s="158"/>
    </row>
    <row r="992">
      <c r="B992" s="158"/>
      <c r="C992" s="158"/>
      <c r="D992" s="159"/>
      <c r="E992" s="159"/>
      <c r="F992" s="160"/>
      <c r="G992" s="160"/>
      <c r="H992" s="158"/>
      <c r="I992" s="158"/>
    </row>
    <row r="993">
      <c r="B993" s="158"/>
      <c r="C993" s="158"/>
      <c r="D993" s="159"/>
      <c r="E993" s="159"/>
      <c r="F993" s="160"/>
      <c r="G993" s="160"/>
      <c r="H993" s="158"/>
      <c r="I993" s="158"/>
    </row>
    <row r="994">
      <c r="B994" s="158"/>
      <c r="C994" s="158"/>
      <c r="D994" s="159"/>
      <c r="E994" s="159"/>
      <c r="F994" s="160"/>
      <c r="G994" s="160"/>
      <c r="H994" s="158"/>
      <c r="I994" s="158"/>
    </row>
    <row r="995">
      <c r="B995" s="158"/>
      <c r="C995" s="158"/>
      <c r="D995" s="159"/>
      <c r="E995" s="159"/>
      <c r="F995" s="160"/>
      <c r="G995" s="160"/>
      <c r="H995" s="158"/>
      <c r="I995" s="158"/>
    </row>
    <row r="996">
      <c r="B996" s="158"/>
      <c r="C996" s="158"/>
      <c r="D996" s="159"/>
      <c r="E996" s="159"/>
      <c r="F996" s="160"/>
      <c r="G996" s="160"/>
      <c r="H996" s="158"/>
      <c r="I996" s="158"/>
    </row>
    <row r="997">
      <c r="B997" s="158"/>
      <c r="C997" s="158"/>
      <c r="D997" s="159"/>
      <c r="E997" s="159"/>
      <c r="F997" s="160"/>
      <c r="G997" s="160"/>
      <c r="H997" s="158"/>
      <c r="I997" s="158"/>
    </row>
    <row r="998">
      <c r="B998" s="158"/>
      <c r="C998" s="158"/>
      <c r="D998" s="159"/>
      <c r="E998" s="159"/>
      <c r="F998" s="160"/>
      <c r="G998" s="160"/>
      <c r="H998" s="158"/>
      <c r="I998" s="158"/>
    </row>
    <row r="999">
      <c r="B999" s="158"/>
      <c r="C999" s="158"/>
      <c r="D999" s="159"/>
      <c r="E999" s="159"/>
      <c r="F999" s="160"/>
      <c r="G999" s="160"/>
      <c r="H999" s="158"/>
      <c r="I999" s="158"/>
    </row>
    <row r="1000">
      <c r="B1000" s="158"/>
      <c r="C1000" s="158"/>
      <c r="D1000" s="159"/>
      <c r="E1000" s="159"/>
      <c r="F1000" s="160"/>
      <c r="G1000" s="160"/>
      <c r="H1000" s="158"/>
      <c r="I1000" s="158"/>
    </row>
  </sheetData>
  <mergeCells count="2">
    <mergeCell ref="C4:G4"/>
    <mergeCell ref="C5:G5"/>
  </mergeCells>
  <drawing r:id="rId1"/>
  <tableParts count="1">
    <tablePart r:id="rId3"/>
  </tableParts>
</worksheet>
</file>